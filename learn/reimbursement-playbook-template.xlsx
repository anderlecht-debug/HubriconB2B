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Windows" sheetId="2" state="visible" r:id="rId2"/>
    <sheet name="Reason codes" sheetId="3" state="visible" r:id="rId3"/>
    <sheet name="COGS" sheetId="4" state="visible" r:id="rId4"/>
    <sheet name="Ledger" sheetId="5" state="visible" r:id="rId5"/>
    <sheet name="Returns" sheetId="6" state="visible" r:id="rId6"/>
    <sheet name="Reimbursements" sheetId="7" state="visible" r:id="rId7"/>
    <sheet name="Refunds" sheetId="8" state="visible" r:id="rId8"/>
    <sheet name="Claims" sheetId="9" state="visible" r:id="rId9"/>
    <sheet name="Fil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999999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050A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 Reimbursement Playbook — working template (Hubricon)</t>
        </is>
      </c>
    </row>
    <row r="2">
      <c r="A2" t="inlineStr"/>
    </row>
    <row r="3">
      <c r="A3" t="inlineStr">
        <is>
          <t>What this is: one sheet per Amazon report, a Claims sheet that dates and values every claim, and a filing log.</t>
        </is>
      </c>
    </row>
    <row r="4">
      <c r="A4" t="inlineStr">
        <is>
          <t>Every window and approval assumption on the Windows sheet is the same constant Hubricon's engine runs; change a cell there and every claim recalculates.</t>
        </is>
      </c>
    </row>
    <row r="5">
      <c r="A5" t="inlineStr"/>
    </row>
    <row r="6">
      <c r="A6" t="inlineStr">
        <is>
          <t>How to use it:</t>
        </is>
      </c>
    </row>
    <row r="7">
      <c r="A7" t="inlineStr">
        <is>
          <t>1. Windows: set 'As of' to today (it is =TODAY() by default).</t>
        </is>
      </c>
    </row>
    <row r="8">
      <c r="A8" t="inlineStr">
        <is>
          <t>2. COGS: paste your landed cost per SKU (unit cost + inbound freight + packaging). Claims are valued at landed cost; Amazon reimburses at manufacturing cost.</t>
        </is>
      </c>
    </row>
    <row r="9">
      <c r="A9" t="inlineStr">
        <is>
          <t>3. Ledger / Returns / Reimbursements / Refunds: paste the raw exports. The helper columns on the right classify each row.</t>
        </is>
      </c>
    </row>
    <row r="10">
      <c r="A10" t="inlineStr">
        <is>
          <t>4. Claims: one row per loss you are filing. Type, SKU, event date and units are yours; everything else is a formula.</t>
        </is>
      </c>
    </row>
    <row r="11">
      <c r="A11" t="inlineStr">
        <is>
          <t>5. Filing log: the case id, the date filed, what Amazon paid, and whether it paid in cash or in kind.</t>
        </is>
      </c>
    </row>
    <row r="12">
      <c r="A12" t="inlineStr"/>
    </row>
    <row r="13">
      <c r="A13" t="inlineStr">
        <is>
          <t>The rows already here are demo data from a fictional catalogue (Tarnhollow). Delete them before you paste your own.</t>
        </is>
      </c>
    </row>
    <row r="14">
      <c r="A14" t="inlineStr">
        <is>
          <t>Inbound-shipment shortages are not in this playbook: they need the shipment reconciliation export.</t>
        </is>
      </c>
    </row>
    <row r="15">
      <c r="A15" t="inlineStr"/>
    </row>
    <row r="16">
      <c r="A16" t="inlineStr">
        <is>
          <t>Free training and the written playbook: https://www.hubricon.com/learn/reimbursement-playbook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90" customWidth="1" min="3" max="3"/>
    <col width="44" customWidth="1" min="4" max="4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means</t>
        </is>
      </c>
      <c r="D1" s="2" t="inlineStr">
        <is>
          <t>Source</t>
        </is>
      </c>
    </row>
    <row r="2">
      <c r="A2" t="inlineStr">
        <is>
          <t>as_of</t>
        </is>
      </c>
      <c r="B2">
        <f>TODAY()</f>
        <v/>
      </c>
      <c r="C2" t="inlineStr">
        <is>
          <t>The date every claim is judged against; the demo rows were judged as of 2026-09-01</t>
        </is>
      </c>
      <c r="D2" t="inlineStr">
        <is>
          <t>you</t>
        </is>
      </c>
    </row>
    <row r="3">
      <c r="A3" t="inlineStr">
        <is>
          <t>warehouse_eligible_after_days</t>
        </is>
      </c>
      <c r="B3" t="n">
        <v>30</v>
      </c>
      <c r="C3" t="inlineStr">
        <is>
          <t>Days after a warehouse loss or damage before you may file</t>
        </is>
      </c>
      <c r="D3" t="inlineStr">
        <is>
          <t>hubricon_engine.models.recovery</t>
        </is>
      </c>
    </row>
    <row r="4">
      <c r="A4" t="inlineStr">
        <is>
          <t>warehouse_deadline_days</t>
        </is>
      </c>
      <c r="B4" t="n">
        <v>60</v>
      </c>
      <c r="C4" t="inlineStr">
        <is>
          <t>Days after a warehouse loss or damage until the window shuts</t>
        </is>
      </c>
      <c r="D4" t="inlineStr">
        <is>
          <t>hubricon_engine.models.recovery</t>
        </is>
      </c>
    </row>
    <row r="5">
      <c r="A5" t="inlineStr">
        <is>
          <t>refund_min_age_days</t>
        </is>
      </c>
      <c r="B5" t="n">
        <v>45</v>
      </c>
      <c r="C5" t="inlineStr">
        <is>
          <t>A refund younger than this is not a claim yet</t>
        </is>
      </c>
      <c r="D5" t="inlineStr">
        <is>
          <t>hubricon_engine.models.recovery</t>
        </is>
      </c>
    </row>
    <row r="6">
      <c r="A6" t="inlineStr">
        <is>
          <t>refund_eligible_after_days</t>
        </is>
      </c>
      <c r="B6" t="n">
        <v>60</v>
      </c>
      <c r="C6" t="inlineStr">
        <is>
          <t>Days after a refund before a no-return claim may be filed</t>
        </is>
      </c>
      <c r="D6" t="inlineStr">
        <is>
          <t>hubricon_engine.models.recovery</t>
        </is>
      </c>
    </row>
    <row r="7">
      <c r="A7" t="inlineStr">
        <is>
          <t>refund_deadline_days</t>
        </is>
      </c>
      <c r="B7" t="n">
        <v>120</v>
      </c>
      <c r="C7" t="inlineStr">
        <is>
          <t>Days after a refund until the no-return window shuts</t>
        </is>
      </c>
      <c r="D7" t="inlineStr">
        <is>
          <t>hubricon_engine.models.recovery</t>
        </is>
      </c>
    </row>
    <row r="8">
      <c r="A8" t="inlineStr">
        <is>
          <t>damaged_return_deadline_days</t>
        </is>
      </c>
      <c r="B8" t="n">
        <v>60</v>
      </c>
      <c r="C8" t="inlineStr">
        <is>
          <t>Days after a damaged return until the window shuts</t>
        </is>
      </c>
      <c r="D8" t="inlineStr">
        <is>
          <t>hubricon_engine.models.recovery</t>
        </is>
      </c>
    </row>
    <row r="9">
      <c r="A9" t="inlineStr">
        <is>
          <t>expiring_within_days</t>
        </is>
      </c>
      <c r="B9" t="n">
        <v>14</v>
      </c>
      <c r="C9" t="inlineStr">
        <is>
          <t>A claim this close to its deadline is called expiring</t>
        </is>
      </c>
      <c r="D9" t="inlineStr">
        <is>
          <t>hubricon_engine.models.recovery</t>
        </is>
      </c>
    </row>
    <row r="10">
      <c r="A10" t="inlineStr">
        <is>
          <t>found_match_window_days</t>
        </is>
      </c>
      <c r="B10" t="n">
        <v>45</v>
      </c>
      <c r="C10" t="inlineStr">
        <is>
          <t>A 'found' adjustment inside this many days offsets a loss</t>
        </is>
      </c>
      <c r="D10" t="inlineStr">
        <is>
          <t>hubricon_engine.models.recovery</t>
        </is>
      </c>
    </row>
    <row r="11">
      <c r="A11" t="inlineStr">
        <is>
          <t>reimbursement_match_window_days</t>
        </is>
      </c>
      <c r="B11" t="n">
        <v>90</v>
      </c>
      <c r="C11" t="inlineStr">
        <is>
          <t>A paid reimbursement inside this many days offsets a loss</t>
        </is>
      </c>
      <c r="D11" t="inlineStr">
        <is>
          <t>hubricon_engine.models.recovery</t>
        </is>
      </c>
    </row>
    <row r="12">
      <c r="A12" t="inlineStr">
        <is>
          <t>no_cost_value_fraction</t>
        </is>
      </c>
      <c r="B12" t="n">
        <v>0.5</v>
      </c>
      <c r="C12" t="inlineStr">
        <is>
          <t>Value fallback when no landed cost is on file, as a share of price</t>
        </is>
      </c>
      <c r="D12" t="inlineStr">
        <is>
          <t>hubricon_engine.models.recovery</t>
        </is>
      </c>
    </row>
    <row r="14">
      <c r="A14" s="2" t="inlineStr">
        <is>
          <t>Claim type</t>
        </is>
      </c>
      <c r="B14" s="2" t="inlineStr">
        <is>
          <t>P(approve)</t>
        </is>
      </c>
      <c r="C14" s="2" t="inlineStr">
        <is>
          <t>What it means</t>
        </is>
      </c>
      <c r="D14" s="2" t="inlineStr">
        <is>
          <t>Source</t>
        </is>
      </c>
    </row>
    <row r="15">
      <c r="A15" t="inlineStr">
        <is>
          <t>warehouse_lost</t>
        </is>
      </c>
      <c r="B15" t="n">
        <v>0.85</v>
      </c>
      <c r="C15" t="inlineStr">
        <is>
          <t>Stated assumption used for expected value; Amazon's own unreconciled counts approve more often</t>
        </is>
      </c>
      <c r="D15" t="inlineStr">
        <is>
          <t>hubricon_engine.models.recovery.P_APPROVE</t>
        </is>
      </c>
    </row>
    <row r="16">
      <c r="A16" t="inlineStr">
        <is>
          <t>warehouse_damaged</t>
        </is>
      </c>
      <c r="B16" t="n">
        <v>0.85</v>
      </c>
      <c r="C16" t="inlineStr">
        <is>
          <t>Stated assumption used for expected value; Amazon's own unreconciled counts approve more often</t>
        </is>
      </c>
      <c r="D16" t="inlineStr">
        <is>
          <t>hubricon_engine.models.recovery.P_APPROVE</t>
        </is>
      </c>
    </row>
    <row r="17">
      <c r="A17" t="inlineStr">
        <is>
          <t>carrier_damaged</t>
        </is>
      </c>
      <c r="B17" t="n">
        <v>0.7</v>
      </c>
      <c r="C17" t="inlineStr">
        <is>
          <t>Stated assumption used for expected value; Amazon's own unreconciled counts approve more often</t>
        </is>
      </c>
      <c r="D17" t="inlineStr">
        <is>
          <t>hubricon_engine.models.recovery.P_APPROVE</t>
        </is>
      </c>
    </row>
    <row r="18">
      <c r="A18" t="inlineStr">
        <is>
          <t>transit_lost</t>
        </is>
      </c>
      <c r="B18" t="n">
        <v>0.7</v>
      </c>
      <c r="C18" t="inlineStr">
        <is>
          <t>Stated assumption used for expected value; Amazon's own unreconciled counts approve more often</t>
        </is>
      </c>
      <c r="D18" t="inlineStr">
        <is>
          <t>hubricon_engine.models.recovery.P_APPROVE</t>
        </is>
      </c>
    </row>
    <row r="19">
      <c r="A19" t="inlineStr">
        <is>
          <t>refund_no_return</t>
        </is>
      </c>
      <c r="B19" t="n">
        <v>0.7</v>
      </c>
      <c r="C19" t="inlineStr">
        <is>
          <t>Stated assumption used for expected value; Amazon's own unreconciled counts approve more often</t>
        </is>
      </c>
      <c r="D19" t="inlineStr">
        <is>
          <t>hubricon_engine.models.recovery.P_APPROVE</t>
        </is>
      </c>
    </row>
    <row r="20">
      <c r="A20" t="inlineStr">
        <is>
          <t>damaged_return</t>
        </is>
      </c>
      <c r="B20" t="n">
        <v>0.6</v>
      </c>
      <c r="C20" t="inlineStr">
        <is>
          <t>Stated assumption used for expected value; Amazon's own unreconciled counts approve more often</t>
        </is>
      </c>
      <c r="D20" t="inlineStr">
        <is>
          <t>hubricon_engine.models.recovery.P_APPROVE</t>
        </is>
      </c>
    </row>
    <row r="21">
      <c r="A21" t="inlineStr">
        <is>
          <t>reimbursement_reversal</t>
        </is>
      </c>
      <c r="B21" t="n">
        <v>0.5</v>
      </c>
      <c r="C21" t="inlineStr">
        <is>
          <t>Stated assumption used for expected value; Amazon's own unreconciled counts approve more often</t>
        </is>
      </c>
      <c r="D21" t="inlineStr">
        <is>
          <t>hubricon_engine.models.recovery.P_APPROVE</t>
        </is>
      </c>
    </row>
    <row r="23">
      <c r="A23" s="2" t="inlineStr">
        <is>
          <t>Claim type</t>
        </is>
      </c>
      <c r="B23" s="2" t="inlineStr">
        <is>
          <t>Eligible after (days)</t>
        </is>
      </c>
      <c r="C23" s="2" t="inlineStr">
        <is>
          <t>Deadline (days)</t>
        </is>
      </c>
      <c r="D23" s="2" t="inlineStr">
        <is>
          <t>Counted from</t>
        </is>
      </c>
    </row>
    <row r="24">
      <c r="A24" t="inlineStr">
        <is>
          <t>warehouse_lost</t>
        </is>
      </c>
      <c r="B24" t="n">
        <v>30</v>
      </c>
      <c r="C24" t="n">
        <v>60</v>
      </c>
      <c r="D24" t="inlineStr">
        <is>
          <t>the adjustment date</t>
        </is>
      </c>
    </row>
    <row r="25">
      <c r="A25" t="inlineStr">
        <is>
          <t>warehouse_damaged</t>
        </is>
      </c>
      <c r="B25" t="n">
        <v>30</v>
      </c>
      <c r="C25" t="n">
        <v>60</v>
      </c>
      <c r="D25" t="inlineStr">
        <is>
          <t>the adjustment date</t>
        </is>
      </c>
    </row>
    <row r="26">
      <c r="A26" t="inlineStr">
        <is>
          <t>carrier_damaged</t>
        </is>
      </c>
      <c r="B26" t="n">
        <v>30</v>
      </c>
      <c r="C26" t="n">
        <v>60</v>
      </c>
      <c r="D26" t="inlineStr">
        <is>
          <t>the adjustment date</t>
        </is>
      </c>
    </row>
    <row r="27">
      <c r="A27" t="inlineStr">
        <is>
          <t>transit_lost</t>
        </is>
      </c>
      <c r="B27" t="n">
        <v>30</v>
      </c>
      <c r="C27" t="n">
        <v>60</v>
      </c>
      <c r="D27" t="inlineStr">
        <is>
          <t>the adjustment date</t>
        </is>
      </c>
    </row>
    <row r="28">
      <c r="A28" t="inlineStr">
        <is>
          <t>refund_no_return</t>
        </is>
      </c>
      <c r="B28" t="n">
        <v>60</v>
      </c>
      <c r="C28" t="n">
        <v>120</v>
      </c>
      <c r="D28" t="inlineStr">
        <is>
          <t>the refund date</t>
        </is>
      </c>
    </row>
    <row r="29">
      <c r="A29" t="inlineStr">
        <is>
          <t>damaged_return</t>
        </is>
      </c>
      <c r="B29" t="n">
        <v>0</v>
      </c>
      <c r="C29" t="n">
        <v>60</v>
      </c>
      <c r="D29" t="inlineStr">
        <is>
          <t>the return date</t>
        </is>
      </c>
    </row>
    <row r="30">
      <c r="A30" t="inlineStr">
        <is>
          <t>reimbursement_reversal</t>
        </is>
      </c>
      <c r="B30" t="n">
        <v>0</v>
      </c>
      <c r="C30" t="n">
        <v>60</v>
      </c>
      <c r="D30" t="inlineStr">
        <is>
          <t>the reversal date</t>
        </is>
      </c>
    </row>
    <row r="32">
      <c r="A32" s="3" t="inlineStr">
        <is>
          <t>TYPE_TABLE_ROW</t>
        </is>
      </c>
      <c r="B32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</cols>
  <sheetData>
    <row r="1">
      <c r="A1" s="2" t="inlineStr">
        <is>
          <t>Ledger reason</t>
        </is>
      </c>
      <c r="B1" s="2" t="inlineStr">
        <is>
          <t>Class</t>
        </is>
      </c>
      <c r="C1" s="2" t="inlineStr">
        <is>
          <t>Claimable?</t>
        </is>
      </c>
    </row>
    <row r="2">
      <c r="A2" t="inlineStr">
        <is>
          <t>5</t>
        </is>
      </c>
      <c r="B2" t="inlineStr">
        <is>
          <t>found</t>
        </is>
      </c>
      <c r="C2" t="inlineStr">
        <is>
          <t>no</t>
        </is>
      </c>
    </row>
    <row r="3">
      <c r="A3" t="inlineStr">
        <is>
          <t>6</t>
        </is>
      </c>
      <c r="B3" t="inlineStr">
        <is>
          <t>transit_lost</t>
        </is>
      </c>
      <c r="C3" t="inlineStr">
        <is>
          <t>yes</t>
        </is>
      </c>
    </row>
    <row r="4">
      <c r="A4" t="inlineStr">
        <is>
          <t>D</t>
        </is>
      </c>
      <c r="B4" t="inlineStr">
        <is>
          <t>warehouse_damaged</t>
        </is>
      </c>
      <c r="C4" t="inlineStr">
        <is>
          <t>yes</t>
        </is>
      </c>
    </row>
    <row r="5">
      <c r="A5" t="inlineStr">
        <is>
          <t>E</t>
        </is>
      </c>
      <c r="B5" t="inlineStr">
        <is>
          <t>customer_damaged</t>
        </is>
      </c>
      <c r="C5" t="inlineStr">
        <is>
          <t>no</t>
        </is>
      </c>
    </row>
    <row r="6">
      <c r="A6" t="inlineStr">
        <is>
          <t>F</t>
        </is>
      </c>
      <c r="B6" t="inlineStr">
        <is>
          <t>found</t>
        </is>
      </c>
      <c r="C6" t="inlineStr">
        <is>
          <t>no</t>
        </is>
      </c>
    </row>
    <row r="7">
      <c r="A7" t="inlineStr">
        <is>
          <t>H</t>
        </is>
      </c>
      <c r="B7" t="inlineStr">
        <is>
          <t>carrier_damaged</t>
        </is>
      </c>
      <c r="C7" t="inlineStr">
        <is>
          <t>yes</t>
        </is>
      </c>
    </row>
    <row r="8">
      <c r="A8" t="inlineStr">
        <is>
          <t>K</t>
        </is>
      </c>
      <c r="B8" t="inlineStr">
        <is>
          <t>carrier_damaged</t>
        </is>
      </c>
      <c r="C8" t="inlineStr">
        <is>
          <t>yes</t>
        </is>
      </c>
    </row>
    <row r="9">
      <c r="A9" t="inlineStr">
        <is>
          <t>M</t>
        </is>
      </c>
      <c r="B9" t="inlineStr">
        <is>
          <t>warehouse_lost</t>
        </is>
      </c>
      <c r="C9" t="inlineStr">
        <is>
          <t>yes</t>
        </is>
      </c>
    </row>
    <row r="10">
      <c r="A10" t="inlineStr">
        <is>
          <t>N</t>
        </is>
      </c>
      <c r="B10" t="inlineStr">
        <is>
          <t>warehouse_lost</t>
        </is>
      </c>
      <c r="C10" t="inlineStr">
        <is>
          <t>yes</t>
        </is>
      </c>
    </row>
    <row r="11">
      <c r="A11" t="inlineStr">
        <is>
          <t>O</t>
        </is>
      </c>
      <c r="B11" t="inlineStr">
        <is>
          <t>transfer</t>
        </is>
      </c>
      <c r="C11" t="inlineStr">
        <is>
          <t>no</t>
        </is>
      </c>
    </row>
    <row r="12">
      <c r="A12" t="inlineStr">
        <is>
          <t>P</t>
        </is>
      </c>
      <c r="B12" t="inlineStr">
        <is>
          <t>disposed</t>
        </is>
      </c>
      <c r="C12" t="inlineStr">
        <is>
          <t>no</t>
        </is>
      </c>
    </row>
    <row r="13">
      <c r="A13" t="inlineStr">
        <is>
          <t>Q</t>
        </is>
      </c>
      <c r="B13" t="inlineStr">
        <is>
          <t>warehouse_damaged</t>
        </is>
      </c>
      <c r="C13" t="inlineStr">
        <is>
          <t>yes</t>
        </is>
      </c>
    </row>
    <row r="14">
      <c r="A14" t="inlineStr">
        <is>
          <t>U</t>
        </is>
      </c>
      <c r="B14" t="inlineStr">
        <is>
          <t>transfer</t>
        </is>
      </c>
      <c r="C14" t="inlineStr">
        <is>
          <t>no</t>
        </is>
      </c>
    </row>
    <row r="15">
      <c r="A15" t="inlineStr">
        <is>
          <t>X</t>
        </is>
      </c>
      <c r="B15" t="inlineStr">
        <is>
          <t>transfer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6" customWidth="1" min="4" max="4"/>
    <col width="22" customWidth="1" min="5" max="5"/>
    <col width="22" customWidth="1" min="6" max="6"/>
    <col width="20" customWidth="1" min="7" max="7"/>
  </cols>
  <sheetData>
    <row r="1">
      <c r="A1" s="2" t="inlineStr">
        <is>
          <t>sku</t>
        </is>
      </c>
      <c r="B1" s="2" t="inlineStr">
        <is>
          <t>product_name</t>
        </is>
      </c>
      <c r="C1" s="2" t="inlineStr">
        <is>
          <t>unit_cost_usd</t>
        </is>
      </c>
      <c r="D1" s="2" t="inlineStr">
        <is>
          <t>inbound_freight_per_unit_usd</t>
        </is>
      </c>
      <c r="E1" s="2" t="inlineStr">
        <is>
          <t>packaging_per_unit_usd</t>
        </is>
      </c>
      <c r="F1" s="2" t="inlineStr">
        <is>
          <t>other_cost_per_unit_usd</t>
        </is>
      </c>
      <c r="G1" s="2" t="inlineStr">
        <is>
          <t>landed_cost (formula)</t>
        </is>
      </c>
    </row>
    <row r="2">
      <c r="A2" t="inlineStr">
        <is>
          <t>TH-APRWAX-21</t>
        </is>
      </c>
      <c r="B2" t="inlineStr">
        <is>
          <t>Apron Waxed Canvas</t>
        </is>
      </c>
      <c r="C2" t="n">
        <v>9.6</v>
      </c>
      <c r="D2" t="n">
        <v>0.6</v>
      </c>
      <c r="E2" t="n">
        <v>0.4</v>
      </c>
      <c r="F2" t="n">
        <v>0</v>
      </c>
      <c r="G2">
        <f>SUM(C2:F2)</f>
        <v/>
      </c>
    </row>
    <row r="3">
      <c r="A3" t="inlineStr">
        <is>
          <t>TH-BAMCUT-05</t>
        </is>
      </c>
      <c r="B3" t="inlineStr">
        <is>
          <t>Bamboo Cutting Board L</t>
        </is>
      </c>
      <c r="C3" t="n">
        <v>6.1</v>
      </c>
      <c r="D3" t="n">
        <v>1.4</v>
      </c>
      <c r="E3" t="n">
        <v>0.4</v>
      </c>
      <c r="F3" t="n">
        <v>0</v>
      </c>
      <c r="G3">
        <f>SUM(C3:F3)</f>
        <v/>
      </c>
    </row>
    <row r="4">
      <c r="A4" t="inlineStr">
        <is>
          <t>TH-BAMCUT-06</t>
        </is>
      </c>
      <c r="B4" t="inlineStr">
        <is>
          <t>Bamboo Cutting Board M</t>
        </is>
      </c>
      <c r="C4" t="n">
        <v>4.2</v>
      </c>
      <c r="D4" t="n">
        <v>1</v>
      </c>
      <c r="E4" t="n">
        <v>0.3</v>
      </c>
      <c r="F4" t="n">
        <v>0</v>
      </c>
      <c r="G4">
        <f>SUM(C4:F4)</f>
        <v/>
      </c>
    </row>
    <row r="5">
      <c r="A5" t="inlineStr">
        <is>
          <t>TH-BREKNI-10</t>
        </is>
      </c>
      <c r="B5" t="inlineStr">
        <is>
          <t>Bread Knife 10in</t>
        </is>
      </c>
      <c r="C5" t="n">
        <v>6.8</v>
      </c>
      <c r="D5" t="n">
        <v>0.7</v>
      </c>
      <c r="E5" t="n">
        <v>0.5</v>
      </c>
      <c r="F5" t="n">
        <v>0</v>
      </c>
      <c r="G5">
        <f>SUM(C5:F5)</f>
        <v/>
      </c>
    </row>
    <row r="6">
      <c r="A6" t="inlineStr">
        <is>
          <t>TH-CARSTE-04</t>
        </is>
      </c>
      <c r="B6" t="inlineStr">
        <is>
          <t>Carbon Steel Wok</t>
        </is>
      </c>
      <c r="C6" t="n">
        <v>13.2</v>
      </c>
      <c r="D6" t="n">
        <v>2.3</v>
      </c>
      <c r="E6" t="n">
        <v>0.6</v>
      </c>
      <c r="F6" t="n">
        <v>0</v>
      </c>
      <c r="G6">
        <f>SUM(C6:F6)</f>
        <v/>
      </c>
    </row>
    <row r="7">
      <c r="A7" t="inlineStr">
        <is>
          <t>TH-CASIRO-01</t>
        </is>
      </c>
      <c r="B7" t="inlineStr">
        <is>
          <t>Cast Iron Skillet 10in</t>
        </is>
      </c>
      <c r="C7" t="n">
        <v>9.4</v>
      </c>
      <c r="D7" t="n">
        <v>2.1</v>
      </c>
      <c r="E7" t="n">
        <v>0.6</v>
      </c>
      <c r="F7" t="n">
        <v>0</v>
      </c>
      <c r="G7">
        <f>SUM(C7:F7)</f>
        <v/>
      </c>
    </row>
    <row r="8">
      <c r="A8" t="inlineStr">
        <is>
          <t>TH-CASIRO-02</t>
        </is>
      </c>
      <c r="B8" t="inlineStr">
        <is>
          <t>Cast Iron Skillet 12in</t>
        </is>
      </c>
      <c r="C8" t="n">
        <v>12.8</v>
      </c>
      <c r="D8" t="n">
        <v>2.6</v>
      </c>
      <c r="E8" t="n">
        <v>0.7</v>
      </c>
      <c r="F8" t="n">
        <v>0</v>
      </c>
      <c r="G8">
        <f>SUM(C8:F8)</f>
        <v/>
      </c>
    </row>
    <row r="9">
      <c r="A9" t="inlineStr">
        <is>
          <t>TH-CHEKNI-08</t>
        </is>
      </c>
      <c r="B9" t="inlineStr">
        <is>
          <t>Chef Knife 8in</t>
        </is>
      </c>
      <c r="C9" t="n">
        <v>14.6</v>
      </c>
      <c r="D9" t="n">
        <v>1.1</v>
      </c>
      <c r="E9" t="n">
        <v>0.9</v>
      </c>
      <c r="F9" t="n">
        <v>0</v>
      </c>
      <c r="G9">
        <f>SUM(C9:F9)</f>
        <v/>
      </c>
    </row>
    <row r="10">
      <c r="A10" t="inlineStr">
        <is>
          <t>TH-COFCAN-19</t>
        </is>
      </c>
      <c r="B10" t="inlineStr">
        <is>
          <t>Coffee Canister Airtight</t>
        </is>
      </c>
      <c r="C10" t="n">
        <v>5</v>
      </c>
      <c r="D10" t="n">
        <v>0.8</v>
      </c>
      <c r="E10" t="n">
        <v>0.4</v>
      </c>
      <c r="F10" t="n">
        <v>0</v>
      </c>
      <c r="G10">
        <f>SUM(C10:F10)</f>
        <v/>
      </c>
    </row>
    <row r="11">
      <c r="A11" t="inlineStr">
        <is>
          <t>TH-ENADUT-03</t>
        </is>
      </c>
      <c r="B11" t="inlineStr">
        <is>
          <t>Enamel Dutch Oven 5qt</t>
        </is>
      </c>
      <c r="C11" t="n">
        <v>24.5</v>
      </c>
      <c r="D11" t="n">
        <v>4.2</v>
      </c>
      <c r="E11" t="n">
        <v>1.1</v>
      </c>
      <c r="F11" t="n">
        <v>0</v>
      </c>
      <c r="G11">
        <f>SUM(C11:F11)</f>
        <v/>
      </c>
    </row>
    <row r="12">
      <c r="A12" t="inlineStr">
        <is>
          <t>TH-FREPRE-17</t>
        </is>
      </c>
      <c r="B12" t="inlineStr">
        <is>
          <t>French Press 34oz</t>
        </is>
      </c>
      <c r="C12" t="n">
        <v>7.1</v>
      </c>
      <c r="D12" t="n">
        <v>1.3</v>
      </c>
      <c r="E12" t="n">
        <v>0.6</v>
      </c>
      <c r="F12" t="n">
        <v>0</v>
      </c>
      <c r="G12">
        <f>SUM(C12:F12)</f>
        <v/>
      </c>
    </row>
    <row r="13">
      <c r="A13" t="inlineStr">
        <is>
          <t>TH-KITTOW-24</t>
        </is>
      </c>
      <c r="B13" t="inlineStr">
        <is>
          <t>Kitchen Towels Linen 4pk</t>
        </is>
      </c>
      <c r="C13" t="n">
        <v>5.5</v>
      </c>
      <c r="D13" t="n">
        <v>0.5</v>
      </c>
      <c r="E13" t="n">
        <v>0.3</v>
      </c>
      <c r="F13" t="n">
        <v>0</v>
      </c>
      <c r="G13">
        <f>SUM(C13:F13)</f>
        <v/>
      </c>
    </row>
    <row r="14">
      <c r="A14" t="inlineStr">
        <is>
          <t>TH-KNISHA-11</t>
        </is>
      </c>
      <c r="B14" t="inlineStr">
        <is>
          <t>Knife Sharpener Whetstone</t>
        </is>
      </c>
      <c r="C14" t="n">
        <v>5.2</v>
      </c>
      <c r="D14" t="n">
        <v>0.9</v>
      </c>
      <c r="E14" t="n">
        <v>0.4</v>
      </c>
      <c r="F14" t="n">
        <v>0</v>
      </c>
      <c r="G14">
        <f>SUM(C14:F14)</f>
        <v/>
      </c>
    </row>
    <row r="15">
      <c r="A15" t="inlineStr">
        <is>
          <t>TH-MEACUP-14</t>
        </is>
      </c>
      <c r="B15" t="inlineStr">
        <is>
          <t>Measuring Cups Steel</t>
        </is>
      </c>
      <c r="C15" t="n">
        <v>4.7</v>
      </c>
      <c r="D15" t="n">
        <v>0.7</v>
      </c>
      <c r="E15" t="n">
        <v>0.4</v>
      </c>
      <c r="F15" t="n">
        <v>0</v>
      </c>
      <c r="G15">
        <f>SUM(C15:F15)</f>
        <v/>
      </c>
    </row>
    <row r="16">
      <c r="A16" t="inlineStr">
        <is>
          <t>TH-OVEMIT-22</t>
        </is>
      </c>
      <c r="B16" t="inlineStr">
        <is>
          <t>Oven Mitts Aramid Pair</t>
        </is>
      </c>
      <c r="C16" t="n">
        <v>4.1</v>
      </c>
      <c r="D16" t="n">
        <v>0.4</v>
      </c>
      <c r="E16" t="n">
        <v>0.3</v>
      </c>
      <c r="F16" t="n">
        <v>0</v>
      </c>
      <c r="G16">
        <f>SUM(C16:F16)</f>
        <v/>
      </c>
    </row>
    <row r="17">
      <c r="A17" t="inlineStr">
        <is>
          <t>TH-PARKNI-09</t>
        </is>
      </c>
      <c r="B17" t="inlineStr">
        <is>
          <t>Paring Knife 3.5in</t>
        </is>
      </c>
      <c r="C17" t="n">
        <v>3.9</v>
      </c>
      <c r="D17" t="n">
        <v>0.5</v>
      </c>
      <c r="E17" t="n">
        <v>0.4</v>
      </c>
      <c r="F17" t="n">
        <v>0</v>
      </c>
      <c r="G17">
        <f>SUM(C17:F17)</f>
        <v/>
      </c>
    </row>
    <row r="18">
      <c r="A18" t="inlineStr">
        <is>
          <t>TH-PEPMIL-16</t>
        </is>
      </c>
      <c r="B18" t="inlineStr">
        <is>
          <t>Pepper Mill Walnut</t>
        </is>
      </c>
      <c r="C18" t="n">
        <v>8.199999999999999</v>
      </c>
      <c r="D18" t="n">
        <v>0.9</v>
      </c>
      <c r="E18" t="n">
        <v>0.5</v>
      </c>
      <c r="F18" t="n">
        <v>0</v>
      </c>
      <c r="G18">
        <f>SUM(C18:F18)</f>
        <v/>
      </c>
    </row>
    <row r="19">
      <c r="A19" t="inlineStr">
        <is>
          <t>TH-POUOVE-18</t>
        </is>
      </c>
      <c r="B19" t="inlineStr">
        <is>
          <t>Pour Over Kettle Gooseneck</t>
        </is>
      </c>
      <c r="C19" t="n">
        <v>11.4</v>
      </c>
      <c r="D19" t="n">
        <v>1.6</v>
      </c>
      <c r="E19" t="n">
        <v>0.7</v>
      </c>
      <c r="F19" t="n">
        <v>0</v>
      </c>
      <c r="G19">
        <f>SUM(C19:F19)</f>
        <v/>
      </c>
    </row>
    <row r="20">
      <c r="A20" t="inlineStr">
        <is>
          <t>TH-SALCEL-15</t>
        </is>
      </c>
      <c r="B20" t="inlineStr">
        <is>
          <t>Salt Cellar Acacia</t>
        </is>
      </c>
      <c r="C20" t="n">
        <v>3.3</v>
      </c>
      <c r="D20" t="n">
        <v>0.5</v>
      </c>
      <c r="E20" t="n">
        <v>0.3</v>
      </c>
      <c r="F20" t="n">
        <v>0</v>
      </c>
      <c r="G20">
        <f>SUM(C20:F20)</f>
        <v/>
      </c>
    </row>
    <row r="21">
      <c r="A21" t="inlineStr">
        <is>
          <t>TH-SILSPA-13</t>
        </is>
      </c>
      <c r="B21" t="inlineStr">
        <is>
          <t>Silicone Spatula Set</t>
        </is>
      </c>
      <c r="C21" t="n">
        <v>2.6</v>
      </c>
      <c r="D21" t="n">
        <v>0.4</v>
      </c>
      <c r="E21" t="n">
        <v>0.3</v>
      </c>
      <c r="F21" t="n">
        <v>0</v>
      </c>
      <c r="G21">
        <f>SUM(C21:F21)</f>
        <v/>
      </c>
    </row>
    <row r="22">
      <c r="A22" t="inlineStr">
        <is>
          <t>TH-STAMIX-12</t>
        </is>
      </c>
      <c r="B22" t="inlineStr">
        <is>
          <t>Stainless Mixing Bowls 5pc</t>
        </is>
      </c>
      <c r="C22" t="n">
        <v>9.1</v>
      </c>
      <c r="D22" t="n">
        <v>2.4</v>
      </c>
      <c r="E22" t="n">
        <v>0.8</v>
      </c>
      <c r="F22" t="n">
        <v>0</v>
      </c>
      <c r="G22">
        <f>SUM(C22:F22)</f>
        <v/>
      </c>
    </row>
    <row r="23">
      <c r="A23" t="inlineStr">
        <is>
          <t>TH-TEAINF-20</t>
        </is>
      </c>
      <c r="B23" t="inlineStr">
        <is>
          <t>Tea Infuser Mug</t>
        </is>
      </c>
      <c r="C23" t="n">
        <v>3.8</v>
      </c>
      <c r="D23" t="n">
        <v>0.6</v>
      </c>
      <c r="E23" t="n">
        <v>0.3</v>
      </c>
      <c r="F23" t="n">
        <v>0</v>
      </c>
      <c r="G23">
        <f>SUM(C23:F23)</f>
        <v/>
      </c>
    </row>
    <row r="24">
      <c r="A24" t="inlineStr">
        <is>
          <t>TH-TRICOR-23</t>
        </is>
      </c>
      <c r="B24" t="inlineStr">
        <is>
          <t>Trivet Cork Set</t>
        </is>
      </c>
      <c r="C24" t="n">
        <v>2.1</v>
      </c>
      <c r="D24" t="n">
        <v>0.3</v>
      </c>
      <c r="E24" t="n">
        <v>0.2</v>
      </c>
      <c r="F24" t="n">
        <v>0</v>
      </c>
      <c r="G24">
        <f>SUM(C24:F24)</f>
        <v/>
      </c>
    </row>
    <row r="25">
      <c r="A25" t="inlineStr">
        <is>
          <t>TH-WALSER-07</t>
        </is>
      </c>
      <c r="B25" t="inlineStr">
        <is>
          <t>Walnut Serving Tray</t>
        </is>
      </c>
      <c r="C25" t="n">
        <v>10.9</v>
      </c>
      <c r="D25" t="n">
        <v>1.7</v>
      </c>
      <c r="E25" t="n">
        <v>0.5</v>
      </c>
      <c r="F25" t="n">
        <v>0</v>
      </c>
      <c r="G25">
        <f>SUM(C25:F25)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28" customWidth="1" min="5" max="5"/>
    <col width="12" customWidth="1" min="6" max="6"/>
    <col width="14" customWidth="1" min="7" max="7"/>
    <col width="10" customWidth="1" min="8" max="8"/>
    <col width="10" customWidth="1" min="9" max="9"/>
    <col width="14" customWidth="1" min="10" max="10"/>
    <col width="8" customWidth="1" min="11" max="11"/>
    <col width="8" customWidth="1" min="12" max="12"/>
    <col width="10" customWidth="1" min="13" max="13"/>
    <col width="12" customWidth="1" min="14" max="14"/>
    <col width="20" customWidth="1" min="15" max="15"/>
    <col width="12" customWidth="1" min="16" max="16"/>
    <col width="12" customWidth="1" min="17" max="17"/>
  </cols>
  <sheetData>
    <row r="1">
      <c r="A1" s="2" t="inlineStr">
        <is>
          <t>Date</t>
        </is>
      </c>
      <c r="B1" s="2" t="inlineStr">
        <is>
          <t>FNSKU</t>
        </is>
      </c>
      <c r="C1" s="2" t="inlineStr">
        <is>
          <t>ASIN</t>
        </is>
      </c>
      <c r="D1" s="2" t="inlineStr">
        <is>
          <t>MSKU</t>
        </is>
      </c>
      <c r="E1" s="2" t="inlineStr">
        <is>
          <t>Title</t>
        </is>
      </c>
      <c r="F1" s="2" t="inlineStr">
        <is>
          <t>Event Type</t>
        </is>
      </c>
      <c r="G1" s="2" t="inlineStr">
        <is>
          <t>Reference ID</t>
        </is>
      </c>
      <c r="H1" s="2" t="inlineStr">
        <is>
          <t>Quantity</t>
        </is>
      </c>
      <c r="I1" s="2" t="inlineStr">
        <is>
          <t>Fulfillment Center</t>
        </is>
      </c>
      <c r="J1" s="2" t="inlineStr">
        <is>
          <t>Disposition</t>
        </is>
      </c>
      <c r="K1" s="2" t="inlineStr">
        <is>
          <t>Reason</t>
        </is>
      </c>
      <c r="L1" s="2" t="inlineStr">
        <is>
          <t>Country</t>
        </is>
      </c>
      <c r="M1" s="2" t="inlineStr">
        <is>
          <t>Reconciled Quantity</t>
        </is>
      </c>
      <c r="N1" s="2" t="inlineStr">
        <is>
          <t>Unreconciled Quantity</t>
        </is>
      </c>
      <c r="O1" s="2" t="inlineStr">
        <is>
          <t>Class (helper)</t>
        </is>
      </c>
      <c r="P1" s="2" t="inlineStr">
        <is>
          <t>Claimable (helper)</t>
        </is>
      </c>
      <c r="Q1" s="2" t="inlineStr">
        <is>
          <t>Units lost (helper)</t>
        </is>
      </c>
    </row>
    <row r="2">
      <c r="A2" t="inlineStr">
        <is>
          <t>2026-02-20</t>
        </is>
      </c>
      <c r="B2" t="inlineStr">
        <is>
          <t>X0TH0012</t>
        </is>
      </c>
      <c r="C2" t="inlineStr">
        <is>
          <t>B0TH012KX</t>
        </is>
      </c>
      <c r="D2" t="inlineStr">
        <is>
          <t>TH-STAMIX-12</t>
        </is>
      </c>
      <c r="E2" t="inlineStr">
        <is>
          <t>Stainless Mixing Bowls 5pc</t>
        </is>
      </c>
      <c r="F2" t="inlineStr">
        <is>
          <t>Receipts</t>
        </is>
      </c>
      <c r="G2" t="inlineStr">
        <is>
          <t>FBA15TH77123</t>
        </is>
      </c>
      <c r="H2" t="n">
        <v>495</v>
      </c>
      <c r="I2" t="inlineStr">
        <is>
          <t>MDW2</t>
        </is>
      </c>
      <c r="J2" t="inlineStr">
        <is>
          <t>SELLABLE</t>
        </is>
      </c>
      <c r="L2" t="inlineStr">
        <is>
          <t>US</t>
        </is>
      </c>
      <c r="M2" t="n">
        <v>0</v>
      </c>
      <c r="N2" t="n">
        <v>0</v>
      </c>
      <c r="O2">
        <f>IFERROR(VLOOKUP(K2,'Reason codes'!$A$2:$B$40,2,FALSE),"")</f>
        <v/>
      </c>
      <c r="P2">
        <f>IF(AND(ISNUMBER(SEARCH("adjust",F2)),OR(O2="warehouse_lost",O2="warehouse_damaged",O2="carrier_damaged",O2="transit_lost")),"yes","no")</f>
        <v/>
      </c>
      <c r="Q2">
        <f>IF(P2="yes",IF(N2&lt;&gt;"",N2,MAX(0,-H2)),0)</f>
        <v/>
      </c>
    </row>
    <row r="3">
      <c r="A3" t="inlineStr">
        <is>
          <t>2026-02-20</t>
        </is>
      </c>
      <c r="B3" t="inlineStr">
        <is>
          <t>X0TH0020</t>
        </is>
      </c>
      <c r="C3" t="inlineStr">
        <is>
          <t>B0TH020KX</t>
        </is>
      </c>
      <c r="D3" t="inlineStr">
        <is>
          <t>TH-TEAINF-20</t>
        </is>
      </c>
      <c r="E3" t="inlineStr">
        <is>
          <t>Tea Infuser Mug</t>
        </is>
      </c>
      <c r="F3" t="inlineStr">
        <is>
          <t>Receipts</t>
        </is>
      </c>
      <c r="G3" t="inlineStr">
        <is>
          <t>FBA15TH77209</t>
        </is>
      </c>
      <c r="H3" t="n">
        <v>570</v>
      </c>
      <c r="I3" t="inlineStr">
        <is>
          <t>PHX7</t>
        </is>
      </c>
      <c r="J3" t="inlineStr">
        <is>
          <t>SELLABLE</t>
        </is>
      </c>
      <c r="L3" t="inlineStr">
        <is>
          <t>US</t>
        </is>
      </c>
      <c r="M3" t="n">
        <v>0</v>
      </c>
      <c r="N3" t="n">
        <v>0</v>
      </c>
      <c r="O3">
        <f>IFERROR(VLOOKUP(K3,'Reason codes'!$A$2:$B$40,2,FALSE),"")</f>
        <v/>
      </c>
      <c r="P3">
        <f>IF(AND(ISNUMBER(SEARCH("adjust",F3)),OR(O3="warehouse_lost",O3="warehouse_damaged",O3="carrier_damaged",O3="transit_lost")),"yes","no")</f>
        <v/>
      </c>
      <c r="Q3">
        <f>IF(P3="yes",IF(N3&lt;&gt;"",N3,MAX(0,-H3)),0)</f>
        <v/>
      </c>
    </row>
    <row r="4">
      <c r="A4" t="inlineStr">
        <is>
          <t>2026-02-24</t>
        </is>
      </c>
      <c r="B4" t="inlineStr">
        <is>
          <t>X0TH0005</t>
        </is>
      </c>
      <c r="C4" t="inlineStr">
        <is>
          <t>B0TH005KX</t>
        </is>
      </c>
      <c r="D4" t="inlineStr">
        <is>
          <t>TH-BAMCUT-05</t>
        </is>
      </c>
      <c r="E4" t="inlineStr">
        <is>
          <t>Bamboo Cutting Board L</t>
        </is>
      </c>
      <c r="F4" t="inlineStr">
        <is>
          <t>Receipts</t>
        </is>
      </c>
      <c r="G4" t="inlineStr">
        <is>
          <t>FBA15TH77047</t>
        </is>
      </c>
      <c r="H4" t="n">
        <v>810</v>
      </c>
      <c r="I4" t="inlineStr">
        <is>
          <t>DFW6</t>
        </is>
      </c>
      <c r="J4" t="inlineStr">
        <is>
          <t>SELLABLE</t>
        </is>
      </c>
      <c r="L4" t="inlineStr">
        <is>
          <t>US</t>
        </is>
      </c>
      <c r="M4" t="n">
        <v>0</v>
      </c>
      <c r="N4" t="n">
        <v>0</v>
      </c>
      <c r="O4">
        <f>IFERROR(VLOOKUP(K4,'Reason codes'!$A$2:$B$40,2,FALSE),"")</f>
        <v/>
      </c>
      <c r="P4">
        <f>IF(AND(ISNUMBER(SEARCH("adjust",F4)),OR(O4="warehouse_lost",O4="warehouse_damaged",O4="carrier_damaged",O4="transit_lost")),"yes","no")</f>
        <v/>
      </c>
      <c r="Q4">
        <f>IF(P4="yes",IF(N4&lt;&gt;"",N4,MAX(0,-H4)),0)</f>
        <v/>
      </c>
    </row>
    <row r="5">
      <c r="A5" t="inlineStr">
        <is>
          <t>2026-03-05</t>
        </is>
      </c>
      <c r="B5" t="inlineStr">
        <is>
          <t>X0TH0014</t>
        </is>
      </c>
      <c r="C5" t="inlineStr">
        <is>
          <t>B0TH014KX</t>
        </is>
      </c>
      <c r="D5" t="inlineStr">
        <is>
          <t>TH-MEACUP-14</t>
        </is>
      </c>
      <c r="E5" t="inlineStr">
        <is>
          <t>Measuring Cups Steel</t>
        </is>
      </c>
      <c r="F5" t="inlineStr">
        <is>
          <t>Receipts</t>
        </is>
      </c>
      <c r="G5" t="inlineStr">
        <is>
          <t>FBA15TH77146</t>
        </is>
      </c>
      <c r="H5" t="n">
        <v>705</v>
      </c>
      <c r="I5" t="inlineStr">
        <is>
          <t>DFW6</t>
        </is>
      </c>
      <c r="J5" t="inlineStr">
        <is>
          <t>SELLABLE</t>
        </is>
      </c>
      <c r="L5" t="inlineStr">
        <is>
          <t>US</t>
        </is>
      </c>
      <c r="M5" t="n">
        <v>0</v>
      </c>
      <c r="N5" t="n">
        <v>0</v>
      </c>
      <c r="O5">
        <f>IFERROR(VLOOKUP(K5,'Reason codes'!$A$2:$B$40,2,FALSE),"")</f>
        <v/>
      </c>
      <c r="P5">
        <f>IF(AND(ISNUMBER(SEARCH("adjust",F5)),OR(O5="warehouse_lost",O5="warehouse_damaged",O5="carrier_damaged",O5="transit_lost")),"yes","no")</f>
        <v/>
      </c>
      <c r="Q5">
        <f>IF(P5="yes",IF(N5&lt;&gt;"",N5,MAX(0,-H5)),0)</f>
        <v/>
      </c>
    </row>
    <row r="6">
      <c r="A6" t="inlineStr">
        <is>
          <t>2026-03-11</t>
        </is>
      </c>
      <c r="B6" t="inlineStr">
        <is>
          <t>X0TH0006</t>
        </is>
      </c>
      <c r="C6" t="inlineStr">
        <is>
          <t>B0TH006KX</t>
        </is>
      </c>
      <c r="D6" t="inlineStr">
        <is>
          <t>TH-BAMCUT-06</t>
        </is>
      </c>
      <c r="E6" t="inlineStr">
        <is>
          <t>Bamboo Cutting Board M</t>
        </is>
      </c>
      <c r="F6" t="inlineStr">
        <is>
          <t>Receipts</t>
        </is>
      </c>
      <c r="G6" t="inlineStr">
        <is>
          <t>FBA15TH77055</t>
        </is>
      </c>
      <c r="H6" t="n">
        <v>1080</v>
      </c>
      <c r="I6" t="inlineStr">
        <is>
          <t>LAX9</t>
        </is>
      </c>
      <c r="J6" t="inlineStr">
        <is>
          <t>SELLABLE</t>
        </is>
      </c>
      <c r="L6" t="inlineStr">
        <is>
          <t>US</t>
        </is>
      </c>
      <c r="M6" t="n">
        <v>0</v>
      </c>
      <c r="N6" t="n">
        <v>0</v>
      </c>
      <c r="O6">
        <f>IFERROR(VLOOKUP(K6,'Reason codes'!$A$2:$B$40,2,FALSE),"")</f>
        <v/>
      </c>
      <c r="P6">
        <f>IF(AND(ISNUMBER(SEARCH("adjust",F6)),OR(O6="warehouse_lost",O6="warehouse_damaged",O6="carrier_damaged",O6="transit_lost")),"yes","no")</f>
        <v/>
      </c>
      <c r="Q6">
        <f>IF(P6="yes",IF(N6&lt;&gt;"",N6,MAX(0,-H6)),0)</f>
        <v/>
      </c>
    </row>
    <row r="7">
      <c r="A7" t="inlineStr">
        <is>
          <t>2026-03-15</t>
        </is>
      </c>
      <c r="B7" t="inlineStr">
        <is>
          <t>X0TH0014</t>
        </is>
      </c>
      <c r="C7" t="inlineStr">
        <is>
          <t>B0TH014KX</t>
        </is>
      </c>
      <c r="D7" t="inlineStr">
        <is>
          <t>TH-MEACUP-14</t>
        </is>
      </c>
      <c r="E7" t="inlineStr">
        <is>
          <t>Measuring Cups Steel</t>
        </is>
      </c>
      <c r="F7" t="inlineStr">
        <is>
          <t>Receipts</t>
        </is>
      </c>
      <c r="G7" t="inlineStr">
        <is>
          <t>FBA15TH77145</t>
        </is>
      </c>
      <c r="H7" t="n">
        <v>705</v>
      </c>
      <c r="I7" t="inlineStr">
        <is>
          <t>PHX7</t>
        </is>
      </c>
      <c r="J7" t="inlineStr">
        <is>
          <t>SELLABLE</t>
        </is>
      </c>
      <c r="L7" t="inlineStr">
        <is>
          <t>US</t>
        </is>
      </c>
      <c r="M7" t="n">
        <v>0</v>
      </c>
      <c r="N7" t="n">
        <v>0</v>
      </c>
      <c r="O7">
        <f>IFERROR(VLOOKUP(K7,'Reason codes'!$A$2:$B$40,2,FALSE),"")</f>
        <v/>
      </c>
      <c r="P7">
        <f>IF(AND(ISNUMBER(SEARCH("adjust",F7)),OR(O7="warehouse_lost",O7="warehouse_damaged",O7="carrier_damaged",O7="transit_lost")),"yes","no")</f>
        <v/>
      </c>
      <c r="Q7">
        <f>IF(P7="yes",IF(N7&lt;&gt;"",N7,MAX(0,-H7)),0)</f>
        <v/>
      </c>
    </row>
    <row r="8">
      <c r="A8" t="inlineStr">
        <is>
          <t>2026-03-22</t>
        </is>
      </c>
      <c r="B8" t="inlineStr">
        <is>
          <t>X0TH0023</t>
        </is>
      </c>
      <c r="C8" t="inlineStr">
        <is>
          <t>B0TH023KX</t>
        </is>
      </c>
      <c r="D8" t="inlineStr">
        <is>
          <t>TH-TRICOR-23</t>
        </is>
      </c>
      <c r="E8" t="inlineStr">
        <is>
          <t>Trivet Cork Set</t>
        </is>
      </c>
      <c r="F8" t="inlineStr">
        <is>
          <t>Receipts</t>
        </is>
      </c>
      <c r="G8" t="inlineStr">
        <is>
          <t>FBA15TH77243</t>
        </is>
      </c>
      <c r="H8" t="n">
        <v>915</v>
      </c>
      <c r="I8" t="inlineStr">
        <is>
          <t>ONT8</t>
        </is>
      </c>
      <c r="J8" t="inlineStr">
        <is>
          <t>SELLABLE</t>
        </is>
      </c>
      <c r="L8" t="inlineStr">
        <is>
          <t>US</t>
        </is>
      </c>
      <c r="M8" t="n">
        <v>0</v>
      </c>
      <c r="N8" t="n">
        <v>0</v>
      </c>
      <c r="O8">
        <f>IFERROR(VLOOKUP(K8,'Reason codes'!$A$2:$B$40,2,FALSE),"")</f>
        <v/>
      </c>
      <c r="P8">
        <f>IF(AND(ISNUMBER(SEARCH("adjust",F8)),OR(O8="warehouse_lost",O8="warehouse_damaged",O8="carrier_damaged",O8="transit_lost")),"yes","no")</f>
        <v/>
      </c>
      <c r="Q8">
        <f>IF(P8="yes",IF(N8&lt;&gt;"",N8,MAX(0,-H8)),0)</f>
        <v/>
      </c>
    </row>
    <row r="9">
      <c r="A9" t="inlineStr">
        <is>
          <t>2026-03-23</t>
        </is>
      </c>
      <c r="B9" t="inlineStr">
        <is>
          <t>X0TH0002</t>
        </is>
      </c>
      <c r="C9" t="inlineStr">
        <is>
          <t>B0TH002KX</t>
        </is>
      </c>
      <c r="D9" t="inlineStr">
        <is>
          <t>TH-CASIRO-02</t>
        </is>
      </c>
      <c r="E9" t="inlineStr">
        <is>
          <t>Cast Iron Skillet 12in</t>
        </is>
      </c>
      <c r="F9" t="inlineStr">
        <is>
          <t>Receipts</t>
        </is>
      </c>
      <c r="G9" t="inlineStr">
        <is>
          <t>FBA15TH77010</t>
        </is>
      </c>
      <c r="H9" t="n">
        <v>615</v>
      </c>
      <c r="I9" t="inlineStr">
        <is>
          <t>LAX9</t>
        </is>
      </c>
      <c r="J9" t="inlineStr">
        <is>
          <t>SELLABLE</t>
        </is>
      </c>
      <c r="L9" t="inlineStr">
        <is>
          <t>US</t>
        </is>
      </c>
      <c r="M9" t="n">
        <v>0</v>
      </c>
      <c r="N9" t="n">
        <v>0</v>
      </c>
      <c r="O9">
        <f>IFERROR(VLOOKUP(K9,'Reason codes'!$A$2:$B$40,2,FALSE),"")</f>
        <v/>
      </c>
      <c r="P9">
        <f>IF(AND(ISNUMBER(SEARCH("adjust",F9)),OR(O9="warehouse_lost",O9="warehouse_damaged",O9="carrier_damaged",O9="transit_lost")),"yes","no")</f>
        <v/>
      </c>
      <c r="Q9">
        <f>IF(P9="yes",IF(N9&lt;&gt;"",N9,MAX(0,-H9)),0)</f>
        <v/>
      </c>
    </row>
    <row r="10">
      <c r="A10" t="inlineStr">
        <is>
          <t>2026-03-23</t>
        </is>
      </c>
      <c r="B10" t="inlineStr">
        <is>
          <t>X0TH0011</t>
        </is>
      </c>
      <c r="C10" t="inlineStr">
        <is>
          <t>B0TH011KX</t>
        </is>
      </c>
      <c r="D10" t="inlineStr">
        <is>
          <t>TH-KNISHA-11</t>
        </is>
      </c>
      <c r="E10" t="inlineStr">
        <is>
          <t>Knife Sharpener Whetstone</t>
        </is>
      </c>
      <c r="F10" t="inlineStr">
        <is>
          <t>Receipts</t>
        </is>
      </c>
      <c r="G10" t="inlineStr">
        <is>
          <t>FBA15TH77108</t>
        </is>
      </c>
      <c r="H10" t="n">
        <v>570</v>
      </c>
      <c r="I10" t="inlineStr">
        <is>
          <t>LAX9</t>
        </is>
      </c>
      <c r="J10" t="inlineStr">
        <is>
          <t>SELLABLE</t>
        </is>
      </c>
      <c r="L10" t="inlineStr">
        <is>
          <t>US</t>
        </is>
      </c>
      <c r="M10" t="n">
        <v>0</v>
      </c>
      <c r="N10" t="n">
        <v>0</v>
      </c>
      <c r="O10">
        <f>IFERROR(VLOOKUP(K10,'Reason codes'!$A$2:$B$40,2,FALSE),"")</f>
        <v/>
      </c>
      <c r="P10">
        <f>IF(AND(ISNUMBER(SEARCH("adjust",F10)),OR(O10="warehouse_lost",O10="warehouse_damaged",O10="carrier_damaged",O10="transit_lost")),"yes","no")</f>
        <v/>
      </c>
      <c r="Q10">
        <f>IF(P10="yes",IF(N10&lt;&gt;"",N10,MAX(0,-H10)),0)</f>
        <v/>
      </c>
    </row>
    <row r="11">
      <c r="A11" t="inlineStr">
        <is>
          <t>2026-03-26</t>
        </is>
      </c>
      <c r="B11" t="inlineStr">
        <is>
          <t>X0TH0013</t>
        </is>
      </c>
      <c r="C11" t="inlineStr">
        <is>
          <t>B0TH013KX</t>
        </is>
      </c>
      <c r="D11" t="inlineStr">
        <is>
          <t>TH-SILSPA-13</t>
        </is>
      </c>
      <c r="E11" t="inlineStr">
        <is>
          <t>Silicone Spatula Set</t>
        </is>
      </c>
      <c r="F11" t="inlineStr">
        <is>
          <t>Receipts</t>
        </is>
      </c>
      <c r="G11" t="inlineStr">
        <is>
          <t>FBA15TH77135</t>
        </is>
      </c>
      <c r="H11" t="n">
        <v>1350</v>
      </c>
      <c r="I11" t="inlineStr">
        <is>
          <t>PHX7</t>
        </is>
      </c>
      <c r="J11" t="inlineStr">
        <is>
          <t>SELLABLE</t>
        </is>
      </c>
      <c r="L11" t="inlineStr">
        <is>
          <t>US</t>
        </is>
      </c>
      <c r="M11" t="n">
        <v>0</v>
      </c>
      <c r="N11" t="n">
        <v>0</v>
      </c>
      <c r="O11">
        <f>IFERROR(VLOOKUP(K11,'Reason codes'!$A$2:$B$40,2,FALSE),"")</f>
        <v/>
      </c>
      <c r="P11">
        <f>IF(AND(ISNUMBER(SEARCH("adjust",F11)),OR(O11="warehouse_lost",O11="warehouse_damaged",O11="carrier_damaged",O11="transit_lost")),"yes","no")</f>
        <v/>
      </c>
      <c r="Q11">
        <f>IF(P11="yes",IF(N11&lt;&gt;"",N11,MAX(0,-H11)),0)</f>
        <v/>
      </c>
    </row>
    <row r="12">
      <c r="A12" t="inlineStr">
        <is>
          <t>2026-03-27</t>
        </is>
      </c>
      <c r="B12" t="inlineStr">
        <is>
          <t>X0TH0003</t>
        </is>
      </c>
      <c r="C12" t="inlineStr">
        <is>
          <t>B0TH003KX</t>
        </is>
      </c>
      <c r="D12" t="inlineStr">
        <is>
          <t>TH-ENADUT-03</t>
        </is>
      </c>
      <c r="E12" t="inlineStr">
        <is>
          <t>Enamel Dutch Oven 5qt</t>
        </is>
      </c>
      <c r="F12" t="inlineStr">
        <is>
          <t>Receipts</t>
        </is>
      </c>
      <c r="G12" t="inlineStr">
        <is>
          <t>FBA15TH77025</t>
        </is>
      </c>
      <c r="H12" t="n">
        <v>390</v>
      </c>
      <c r="I12" t="inlineStr">
        <is>
          <t>LAX9</t>
        </is>
      </c>
      <c r="J12" t="inlineStr">
        <is>
          <t>SELLABLE</t>
        </is>
      </c>
      <c r="L12" t="inlineStr">
        <is>
          <t>US</t>
        </is>
      </c>
      <c r="M12" t="n">
        <v>0</v>
      </c>
      <c r="N12" t="n">
        <v>0</v>
      </c>
      <c r="O12">
        <f>IFERROR(VLOOKUP(K12,'Reason codes'!$A$2:$B$40,2,FALSE),"")</f>
        <v/>
      </c>
      <c r="P12">
        <f>IF(AND(ISNUMBER(SEARCH("adjust",F12)),OR(O12="warehouse_lost",O12="warehouse_damaged",O12="carrier_damaged",O12="transit_lost")),"yes","no")</f>
        <v/>
      </c>
      <c r="Q12">
        <f>IF(P12="yes",IF(N12&lt;&gt;"",N12,MAX(0,-H12)),0)</f>
        <v/>
      </c>
    </row>
    <row r="13">
      <c r="A13" t="inlineStr">
        <is>
          <t>2026-03-27</t>
        </is>
      </c>
      <c r="B13" t="inlineStr">
        <is>
          <t>X0TH0010</t>
        </is>
      </c>
      <c r="C13" t="inlineStr">
        <is>
          <t>B0TH010KX</t>
        </is>
      </c>
      <c r="D13" t="inlineStr">
        <is>
          <t>TH-BREKNI-10</t>
        </is>
      </c>
      <c r="E13" t="inlineStr">
        <is>
          <t>Bread Knife 10in</t>
        </is>
      </c>
      <c r="F13" t="inlineStr">
        <is>
          <t>Receipts</t>
        </is>
      </c>
      <c r="G13" t="inlineStr">
        <is>
          <t>FBA15TH77096</t>
        </is>
      </c>
      <c r="H13" t="n">
        <v>420</v>
      </c>
      <c r="I13" t="inlineStr">
        <is>
          <t>MDW2</t>
        </is>
      </c>
      <c r="J13" t="inlineStr">
        <is>
          <t>SELLABLE</t>
        </is>
      </c>
      <c r="L13" t="inlineStr">
        <is>
          <t>US</t>
        </is>
      </c>
      <c r="M13" t="n">
        <v>0</v>
      </c>
      <c r="N13" t="n">
        <v>0</v>
      </c>
      <c r="O13">
        <f>IFERROR(VLOOKUP(K13,'Reason codes'!$A$2:$B$40,2,FALSE),"")</f>
        <v/>
      </c>
      <c r="P13">
        <f>IF(AND(ISNUMBER(SEARCH("adjust",F13)),OR(O13="warehouse_lost",O13="warehouse_damaged",O13="carrier_damaged",O13="transit_lost")),"yes","no")</f>
        <v/>
      </c>
      <c r="Q13">
        <f>IF(P13="yes",IF(N13&lt;&gt;"",N13,MAX(0,-H13)),0)</f>
        <v/>
      </c>
    </row>
    <row r="14">
      <c r="A14" t="inlineStr">
        <is>
          <t>2026-04-01</t>
        </is>
      </c>
      <c r="B14" t="inlineStr">
        <is>
          <t>X0TH0015</t>
        </is>
      </c>
      <c r="C14" t="inlineStr">
        <is>
          <t>B0TH015KX</t>
        </is>
      </c>
      <c r="D14" t="inlineStr">
        <is>
          <t>TH-SALCEL-15</t>
        </is>
      </c>
      <c r="E14" t="inlineStr">
        <is>
          <t>Salt Cellar Acacia</t>
        </is>
      </c>
      <c r="F14" t="inlineStr">
        <is>
          <t>Receipts</t>
        </is>
      </c>
      <c r="G14" t="inlineStr">
        <is>
          <t>FBA15TH77160</t>
        </is>
      </c>
      <c r="H14" t="n">
        <v>525</v>
      </c>
      <c r="I14" t="inlineStr">
        <is>
          <t>DFW6</t>
        </is>
      </c>
      <c r="J14" t="inlineStr">
        <is>
          <t>SELLABLE</t>
        </is>
      </c>
      <c r="L14" t="inlineStr">
        <is>
          <t>US</t>
        </is>
      </c>
      <c r="M14" t="n">
        <v>0</v>
      </c>
      <c r="N14" t="n">
        <v>0</v>
      </c>
      <c r="O14">
        <f>IFERROR(VLOOKUP(K14,'Reason codes'!$A$2:$B$40,2,FALSE),"")</f>
        <v/>
      </c>
      <c r="P14">
        <f>IF(AND(ISNUMBER(SEARCH("adjust",F14)),OR(O14="warehouse_lost",O14="warehouse_damaged",O14="carrier_damaged",O14="transit_lost")),"yes","no")</f>
        <v/>
      </c>
      <c r="Q14">
        <f>IF(P14="yes",IF(N14&lt;&gt;"",N14,MAX(0,-H14)),0)</f>
        <v/>
      </c>
    </row>
    <row r="15">
      <c r="A15" t="inlineStr">
        <is>
          <t>2026-04-06</t>
        </is>
      </c>
      <c r="B15" t="inlineStr">
        <is>
          <t>X0TH0021</t>
        </is>
      </c>
      <c r="C15" t="inlineStr">
        <is>
          <t>B0TH021KX</t>
        </is>
      </c>
      <c r="D15" t="inlineStr">
        <is>
          <t>TH-APRWAX-21</t>
        </is>
      </c>
      <c r="E15" t="inlineStr">
        <is>
          <t>Apron Waxed Canvas</t>
        </is>
      </c>
      <c r="F15" t="inlineStr">
        <is>
          <t>Receipts</t>
        </is>
      </c>
      <c r="G15" t="inlineStr">
        <is>
          <t>FBA15TH77220</t>
        </is>
      </c>
      <c r="H15" t="n">
        <v>315</v>
      </c>
      <c r="I15" t="inlineStr">
        <is>
          <t>ONT8</t>
        </is>
      </c>
      <c r="J15" t="inlineStr">
        <is>
          <t>SELLABLE</t>
        </is>
      </c>
      <c r="L15" t="inlineStr">
        <is>
          <t>US</t>
        </is>
      </c>
      <c r="M15" t="n">
        <v>0</v>
      </c>
      <c r="N15" t="n">
        <v>0</v>
      </c>
      <c r="O15">
        <f>IFERROR(VLOOKUP(K15,'Reason codes'!$A$2:$B$40,2,FALSE),"")</f>
        <v/>
      </c>
      <c r="P15">
        <f>IF(AND(ISNUMBER(SEARCH("adjust",F15)),OR(O15="warehouse_lost",O15="warehouse_damaged",O15="carrier_damaged",O15="transit_lost")),"yes","no")</f>
        <v/>
      </c>
      <c r="Q15">
        <f>IF(P15="yes",IF(N15&lt;&gt;"",N15,MAX(0,-H15)),0)</f>
        <v/>
      </c>
    </row>
    <row r="16">
      <c r="A16" t="inlineStr">
        <is>
          <t>2026-04-10</t>
        </is>
      </c>
      <c r="B16" t="inlineStr">
        <is>
          <t>X0TH0001</t>
        </is>
      </c>
      <c r="C16" t="inlineStr">
        <is>
          <t>B0TH001KX</t>
        </is>
      </c>
      <c r="D16" t="inlineStr">
        <is>
          <t>TH-CASIRO-01</t>
        </is>
      </c>
      <c r="E16" t="inlineStr">
        <is>
          <t>Cast Iron Skillet 10in</t>
        </is>
      </c>
      <c r="F16" t="inlineStr">
        <is>
          <t>Receipts</t>
        </is>
      </c>
      <c r="G16" t="inlineStr">
        <is>
          <t>FBA15TH77000</t>
        </is>
      </c>
      <c r="H16" t="n">
        <v>930</v>
      </c>
      <c r="I16" t="inlineStr">
        <is>
          <t>PHX7</t>
        </is>
      </c>
      <c r="J16" t="inlineStr">
        <is>
          <t>SELLABLE</t>
        </is>
      </c>
      <c r="L16" t="inlineStr">
        <is>
          <t>US</t>
        </is>
      </c>
      <c r="M16" t="n">
        <v>0</v>
      </c>
      <c r="N16" t="n">
        <v>0</v>
      </c>
      <c r="O16">
        <f>IFERROR(VLOOKUP(K16,'Reason codes'!$A$2:$B$40,2,FALSE),"")</f>
        <v/>
      </c>
      <c r="P16">
        <f>IF(AND(ISNUMBER(SEARCH("adjust",F16)),OR(O16="warehouse_lost",O16="warehouse_damaged",O16="carrier_damaged",O16="transit_lost")),"yes","no")</f>
        <v/>
      </c>
      <c r="Q16">
        <f>IF(P16="yes",IF(N16&lt;&gt;"",N16,MAX(0,-H16)),0)</f>
        <v/>
      </c>
    </row>
    <row r="17">
      <c r="A17" t="inlineStr">
        <is>
          <t>2026-04-18</t>
        </is>
      </c>
      <c r="B17" t="inlineStr">
        <is>
          <t>X0TH0021</t>
        </is>
      </c>
      <c r="C17" t="inlineStr">
        <is>
          <t>B0TH021KX</t>
        </is>
      </c>
      <c r="D17" t="inlineStr">
        <is>
          <t>TH-APRWAX-21</t>
        </is>
      </c>
      <c r="E17" t="inlineStr">
        <is>
          <t>Apron Waxed Canvas</t>
        </is>
      </c>
      <c r="F17" t="inlineStr">
        <is>
          <t>Receipts</t>
        </is>
      </c>
      <c r="G17" t="inlineStr">
        <is>
          <t>FBA15TH77221</t>
        </is>
      </c>
      <c r="H17" t="n">
        <v>315</v>
      </c>
      <c r="I17" t="inlineStr">
        <is>
          <t>PHX7</t>
        </is>
      </c>
      <c r="J17" t="inlineStr">
        <is>
          <t>SELLABLE</t>
        </is>
      </c>
      <c r="L17" t="inlineStr">
        <is>
          <t>US</t>
        </is>
      </c>
      <c r="M17" t="n">
        <v>0</v>
      </c>
      <c r="N17" t="n">
        <v>0</v>
      </c>
      <c r="O17">
        <f>IFERROR(VLOOKUP(K17,'Reason codes'!$A$2:$B$40,2,FALSE),"")</f>
        <v/>
      </c>
      <c r="P17">
        <f>IF(AND(ISNUMBER(SEARCH("adjust",F17)),OR(O17="warehouse_lost",O17="warehouse_damaged",O17="carrier_damaged",O17="transit_lost")),"yes","no")</f>
        <v/>
      </c>
      <c r="Q17">
        <f>IF(P17="yes",IF(N17&lt;&gt;"",N17,MAX(0,-H17)),0)</f>
        <v/>
      </c>
    </row>
    <row r="18">
      <c r="A18" t="inlineStr">
        <is>
          <t>2026-04-19</t>
        </is>
      </c>
      <c r="B18" t="inlineStr">
        <is>
          <t>X0TH0005</t>
        </is>
      </c>
      <c r="C18" t="inlineStr">
        <is>
          <t>B0TH005KX</t>
        </is>
      </c>
      <c r="D18" t="inlineStr">
        <is>
          <t>TH-BAMCUT-05</t>
        </is>
      </c>
      <c r="E18" t="inlineStr">
        <is>
          <t>Bamboo Cutting Board L</t>
        </is>
      </c>
      <c r="F18" t="inlineStr">
        <is>
          <t>Receipts</t>
        </is>
      </c>
      <c r="G18" t="inlineStr">
        <is>
          <t>FBA15TH77046</t>
        </is>
      </c>
      <c r="H18" t="n">
        <v>810</v>
      </c>
      <c r="I18" t="inlineStr">
        <is>
          <t>MDW2</t>
        </is>
      </c>
      <c r="J18" t="inlineStr">
        <is>
          <t>SELLABLE</t>
        </is>
      </c>
      <c r="L18" t="inlineStr">
        <is>
          <t>US</t>
        </is>
      </c>
      <c r="M18" t="n">
        <v>0</v>
      </c>
      <c r="N18" t="n">
        <v>0</v>
      </c>
      <c r="O18">
        <f>IFERROR(VLOOKUP(K18,'Reason codes'!$A$2:$B$40,2,FALSE),"")</f>
        <v/>
      </c>
      <c r="P18">
        <f>IF(AND(ISNUMBER(SEARCH("adjust",F18)),OR(O18="warehouse_lost",O18="warehouse_damaged",O18="carrier_damaged",O18="transit_lost")),"yes","no")</f>
        <v/>
      </c>
      <c r="Q18">
        <f>IF(P18="yes",IF(N18&lt;&gt;"",N18,MAX(0,-H18)),0)</f>
        <v/>
      </c>
    </row>
    <row r="19">
      <c r="A19" t="inlineStr">
        <is>
          <t>2026-04-22</t>
        </is>
      </c>
      <c r="B19" t="inlineStr">
        <is>
          <t>X0TH0012</t>
        </is>
      </c>
      <c r="C19" t="inlineStr">
        <is>
          <t>B0TH012KX</t>
        </is>
      </c>
      <c r="D19" t="inlineStr">
        <is>
          <t>TH-STAMIX-12</t>
        </is>
      </c>
      <c r="E19" t="inlineStr">
        <is>
          <t>Stainless Mixing Bowls 5pc</t>
        </is>
      </c>
      <c r="F19" t="inlineStr">
        <is>
          <t>Receipts</t>
        </is>
      </c>
      <c r="G19" t="inlineStr">
        <is>
          <t>FBA15TH77124</t>
        </is>
      </c>
      <c r="H19" t="n">
        <v>495</v>
      </c>
      <c r="I19" t="inlineStr">
        <is>
          <t>LAX9</t>
        </is>
      </c>
      <c r="J19" t="inlineStr">
        <is>
          <t>SELLABLE</t>
        </is>
      </c>
      <c r="L19" t="inlineStr">
        <is>
          <t>US</t>
        </is>
      </c>
      <c r="M19" t="n">
        <v>0</v>
      </c>
      <c r="N19" t="n">
        <v>0</v>
      </c>
      <c r="O19">
        <f>IFERROR(VLOOKUP(K19,'Reason codes'!$A$2:$B$40,2,FALSE),"")</f>
        <v/>
      </c>
      <c r="P19">
        <f>IF(AND(ISNUMBER(SEARCH("adjust",F19)),OR(O19="warehouse_lost",O19="warehouse_damaged",O19="carrier_damaged",O19="transit_lost")),"yes","no")</f>
        <v/>
      </c>
      <c r="Q19">
        <f>IF(P19="yes",IF(N19&lt;&gt;"",N19,MAX(0,-H19)),0)</f>
        <v/>
      </c>
    </row>
    <row r="20">
      <c r="A20" t="inlineStr">
        <is>
          <t>2026-04-24</t>
        </is>
      </c>
      <c r="B20" t="inlineStr">
        <is>
          <t>X0TH0018</t>
        </is>
      </c>
      <c r="C20" t="inlineStr">
        <is>
          <t>B0TH018KX</t>
        </is>
      </c>
      <c r="D20" t="inlineStr">
        <is>
          <t>TH-POUOVE-18</t>
        </is>
      </c>
      <c r="E20" t="inlineStr">
        <is>
          <t>Pour Over Kettle Gooseneck</t>
        </is>
      </c>
      <c r="F20" t="inlineStr">
        <is>
          <t>Receipts</t>
        </is>
      </c>
      <c r="G20" t="inlineStr">
        <is>
          <t>FBA15TH77187</t>
        </is>
      </c>
      <c r="H20" t="n">
        <v>360</v>
      </c>
      <c r="I20" t="inlineStr">
        <is>
          <t>ONT8</t>
        </is>
      </c>
      <c r="J20" t="inlineStr">
        <is>
          <t>SELLABLE</t>
        </is>
      </c>
      <c r="L20" t="inlineStr">
        <is>
          <t>US</t>
        </is>
      </c>
      <c r="M20" t="n">
        <v>0</v>
      </c>
      <c r="N20" t="n">
        <v>0</v>
      </c>
      <c r="O20">
        <f>IFERROR(VLOOKUP(K20,'Reason codes'!$A$2:$B$40,2,FALSE),"")</f>
        <v/>
      </c>
      <c r="P20">
        <f>IF(AND(ISNUMBER(SEARCH("adjust",F20)),OR(O20="warehouse_lost",O20="warehouse_damaged",O20="carrier_damaged",O20="transit_lost")),"yes","no")</f>
        <v/>
      </c>
      <c r="Q20">
        <f>IF(P20="yes",IF(N20&lt;&gt;"",N20,MAX(0,-H20)),0)</f>
        <v/>
      </c>
    </row>
    <row r="21">
      <c r="A21" t="inlineStr">
        <is>
          <t>2026-04-27</t>
        </is>
      </c>
      <c r="B21" t="inlineStr">
        <is>
          <t>X0TH0007</t>
        </is>
      </c>
      <c r="C21" t="inlineStr">
        <is>
          <t>B0TH007KX</t>
        </is>
      </c>
      <c r="D21" t="inlineStr">
        <is>
          <t>TH-WALSER-07</t>
        </is>
      </c>
      <c r="E21" t="inlineStr">
        <is>
          <t>Walnut Serving Tray</t>
        </is>
      </c>
      <c r="F21" t="inlineStr">
        <is>
          <t>Receipts</t>
        </is>
      </c>
      <c r="G21" t="inlineStr">
        <is>
          <t>FBA15TH77066</t>
        </is>
      </c>
      <c r="H21" t="n">
        <v>285</v>
      </c>
      <c r="I21" t="inlineStr">
        <is>
          <t>PHX7</t>
        </is>
      </c>
      <c r="J21" t="inlineStr">
        <is>
          <t>SELLABLE</t>
        </is>
      </c>
      <c r="L21" t="inlineStr">
        <is>
          <t>US</t>
        </is>
      </c>
      <c r="M21" t="n">
        <v>0</v>
      </c>
      <c r="N21" t="n">
        <v>0</v>
      </c>
      <c r="O21">
        <f>IFERROR(VLOOKUP(K21,'Reason codes'!$A$2:$B$40,2,FALSE),"")</f>
        <v/>
      </c>
      <c r="P21">
        <f>IF(AND(ISNUMBER(SEARCH("adjust",F21)),OR(O21="warehouse_lost",O21="warehouse_damaged",O21="carrier_damaged",O21="transit_lost")),"yes","no")</f>
        <v/>
      </c>
      <c r="Q21">
        <f>IF(P21="yes",IF(N21&lt;&gt;"",N21,MAX(0,-H21)),0)</f>
        <v/>
      </c>
    </row>
    <row r="22">
      <c r="A22" t="inlineStr">
        <is>
          <t>2026-05-04</t>
        </is>
      </c>
      <c r="B22" t="inlineStr">
        <is>
          <t>X0TH0004</t>
        </is>
      </c>
      <c r="C22" t="inlineStr">
        <is>
          <t>B0TH004KX</t>
        </is>
      </c>
      <c r="D22" t="inlineStr">
        <is>
          <t>TH-CARSTE-04</t>
        </is>
      </c>
      <c r="E22" t="inlineStr">
        <is>
          <t>Carbon Steel Wok</t>
        </is>
      </c>
      <c r="F22" t="inlineStr">
        <is>
          <t>Receipts</t>
        </is>
      </c>
      <c r="G22" t="inlineStr">
        <is>
          <t>FBA15TH77034</t>
        </is>
      </c>
      <c r="H22" t="n">
        <v>450</v>
      </c>
      <c r="I22" t="inlineStr">
        <is>
          <t>LAX9</t>
        </is>
      </c>
      <c r="J22" t="inlineStr">
        <is>
          <t>SELLABLE</t>
        </is>
      </c>
      <c r="L22" t="inlineStr">
        <is>
          <t>US</t>
        </is>
      </c>
      <c r="M22" t="n">
        <v>0</v>
      </c>
      <c r="N22" t="n">
        <v>0</v>
      </c>
      <c r="O22">
        <f>IFERROR(VLOOKUP(K22,'Reason codes'!$A$2:$B$40,2,FALSE),"")</f>
        <v/>
      </c>
      <c r="P22">
        <f>IF(AND(ISNUMBER(SEARCH("adjust",F22)),OR(O22="warehouse_lost",O22="warehouse_damaged",O22="carrier_damaged",O22="transit_lost")),"yes","no")</f>
        <v/>
      </c>
      <c r="Q22">
        <f>IF(P22="yes",IF(N22&lt;&gt;"",N22,MAX(0,-H22)),0)</f>
        <v/>
      </c>
    </row>
    <row r="23">
      <c r="A23" t="inlineStr">
        <is>
          <t>2026-05-04</t>
        </is>
      </c>
      <c r="B23" t="inlineStr">
        <is>
          <t>X0TH0016</t>
        </is>
      </c>
      <c r="C23" t="inlineStr">
        <is>
          <t>B0TH016KX</t>
        </is>
      </c>
      <c r="D23" t="inlineStr">
        <is>
          <t>TH-PEPMIL-16</t>
        </is>
      </c>
      <c r="E23" t="inlineStr">
        <is>
          <t>Pepper Mill Walnut</t>
        </is>
      </c>
      <c r="F23" t="inlineStr">
        <is>
          <t>Receipts</t>
        </is>
      </c>
      <c r="G23" t="inlineStr">
        <is>
          <t>FBA15TH77169</t>
        </is>
      </c>
      <c r="H23" t="n">
        <v>390</v>
      </c>
      <c r="I23" t="inlineStr">
        <is>
          <t>PHX7</t>
        </is>
      </c>
      <c r="J23" t="inlineStr">
        <is>
          <t>SELLABLE</t>
        </is>
      </c>
      <c r="L23" t="inlineStr">
        <is>
          <t>US</t>
        </is>
      </c>
      <c r="M23" t="n">
        <v>0</v>
      </c>
      <c r="N23" t="n">
        <v>0</v>
      </c>
      <c r="O23">
        <f>IFERROR(VLOOKUP(K23,'Reason codes'!$A$2:$B$40,2,FALSE),"")</f>
        <v/>
      </c>
      <c r="P23">
        <f>IF(AND(ISNUMBER(SEARCH("adjust",F23)),OR(O23="warehouse_lost",O23="warehouse_damaged",O23="carrier_damaged",O23="transit_lost")),"yes","no")</f>
        <v/>
      </c>
      <c r="Q23">
        <f>IF(P23="yes",IF(N23&lt;&gt;"",N23,MAX(0,-H23)),0)</f>
        <v/>
      </c>
    </row>
    <row r="24">
      <c r="A24" t="inlineStr">
        <is>
          <t>2026-05-04</t>
        </is>
      </c>
      <c r="B24" t="inlineStr">
        <is>
          <t>X0TH0022</t>
        </is>
      </c>
      <c r="C24" t="inlineStr">
        <is>
          <t>B0TH022KX</t>
        </is>
      </c>
      <c r="D24" t="inlineStr">
        <is>
          <t>TH-OVEMIT-22</t>
        </is>
      </c>
      <c r="E24" t="inlineStr">
        <is>
          <t>Oven Mitts Aramid Pair</t>
        </is>
      </c>
      <c r="F24" t="inlineStr">
        <is>
          <t>Receipts</t>
        </is>
      </c>
      <c r="G24" t="inlineStr">
        <is>
          <t>FBA15TH77230</t>
        </is>
      </c>
      <c r="H24" t="n">
        <v>780</v>
      </c>
      <c r="I24" t="inlineStr">
        <is>
          <t>MDW2</t>
        </is>
      </c>
      <c r="J24" t="inlineStr">
        <is>
          <t>SELLABLE</t>
        </is>
      </c>
      <c r="L24" t="inlineStr">
        <is>
          <t>US</t>
        </is>
      </c>
      <c r="M24" t="n">
        <v>0</v>
      </c>
      <c r="N24" t="n">
        <v>0</v>
      </c>
      <c r="O24">
        <f>IFERROR(VLOOKUP(K24,'Reason codes'!$A$2:$B$40,2,FALSE),"")</f>
        <v/>
      </c>
      <c r="P24">
        <f>IF(AND(ISNUMBER(SEARCH("adjust",F24)),OR(O24="warehouse_lost",O24="warehouse_damaged",O24="carrier_damaged",O24="transit_lost")),"yes","no")</f>
        <v/>
      </c>
      <c r="Q24">
        <f>IF(P24="yes",IF(N24&lt;&gt;"",N24,MAX(0,-H24)),0)</f>
        <v/>
      </c>
    </row>
    <row r="25">
      <c r="A25" t="inlineStr">
        <is>
          <t>2026-05-08</t>
        </is>
      </c>
      <c r="B25" t="inlineStr">
        <is>
          <t>X0TH0016</t>
        </is>
      </c>
      <c r="C25" t="inlineStr">
        <is>
          <t>B0TH016KX</t>
        </is>
      </c>
      <c r="D25" t="inlineStr">
        <is>
          <t>TH-PEPMIL-16</t>
        </is>
      </c>
      <c r="E25" t="inlineStr">
        <is>
          <t>Pepper Mill Walnut</t>
        </is>
      </c>
      <c r="F25" t="inlineStr">
        <is>
          <t>Receipts</t>
        </is>
      </c>
      <c r="G25" t="inlineStr">
        <is>
          <t>FBA15TH77168</t>
        </is>
      </c>
      <c r="H25" t="n">
        <v>390</v>
      </c>
      <c r="I25" t="inlineStr">
        <is>
          <t>ONT8</t>
        </is>
      </c>
      <c r="J25" t="inlineStr">
        <is>
          <t>SELLABLE</t>
        </is>
      </c>
      <c r="L25" t="inlineStr">
        <is>
          <t>US</t>
        </is>
      </c>
      <c r="M25" t="n">
        <v>0</v>
      </c>
      <c r="N25" t="n">
        <v>0</v>
      </c>
      <c r="O25">
        <f>IFERROR(VLOOKUP(K25,'Reason codes'!$A$2:$B$40,2,FALSE),"")</f>
        <v/>
      </c>
      <c r="P25">
        <f>IF(AND(ISNUMBER(SEARCH("adjust",F25)),OR(O25="warehouse_lost",O25="warehouse_damaged",O25="carrier_damaged",O25="transit_lost")),"yes","no")</f>
        <v/>
      </c>
      <c r="Q25">
        <f>IF(P25="yes",IF(N25&lt;&gt;"",N25,MAX(0,-H25)),0)</f>
        <v/>
      </c>
    </row>
    <row r="26">
      <c r="A26" t="inlineStr">
        <is>
          <t>2026-05-10</t>
        </is>
      </c>
      <c r="B26" t="inlineStr">
        <is>
          <t>X0TH0001</t>
        </is>
      </c>
      <c r="C26" t="inlineStr">
        <is>
          <t>B0TH001KX</t>
        </is>
      </c>
      <c r="D26" t="inlineStr">
        <is>
          <t>TH-CASIRO-01</t>
        </is>
      </c>
      <c r="E26" t="inlineStr">
        <is>
          <t>Cast Iron Skillet 10in</t>
        </is>
      </c>
      <c r="F26" t="inlineStr">
        <is>
          <t>Receipts</t>
        </is>
      </c>
      <c r="G26" t="inlineStr">
        <is>
          <t>FBA15TH77001</t>
        </is>
      </c>
      <c r="H26" t="n">
        <v>930</v>
      </c>
      <c r="I26" t="inlineStr">
        <is>
          <t>MDW2</t>
        </is>
      </c>
      <c r="J26" t="inlineStr">
        <is>
          <t>SELLABLE</t>
        </is>
      </c>
      <c r="L26" t="inlineStr">
        <is>
          <t>US</t>
        </is>
      </c>
      <c r="M26" t="n">
        <v>0</v>
      </c>
      <c r="N26" t="n">
        <v>0</v>
      </c>
      <c r="O26">
        <f>IFERROR(VLOOKUP(K26,'Reason codes'!$A$2:$B$40,2,FALSE),"")</f>
        <v/>
      </c>
      <c r="P26">
        <f>IF(AND(ISNUMBER(SEARCH("adjust",F26)),OR(O26="warehouse_lost",O26="warehouse_damaged",O26="carrier_damaged",O26="transit_lost")),"yes","no")</f>
        <v/>
      </c>
      <c r="Q26">
        <f>IF(P26="yes",IF(N26&lt;&gt;"",N26,MAX(0,-H26)),0)</f>
        <v/>
      </c>
    </row>
    <row r="27">
      <c r="A27" t="inlineStr">
        <is>
          <t>2026-05-13</t>
        </is>
      </c>
      <c r="B27" t="inlineStr">
        <is>
          <t>X0TH0024</t>
        </is>
      </c>
      <c r="C27" t="inlineStr">
        <is>
          <t>B0TH024KX</t>
        </is>
      </c>
      <c r="D27" t="inlineStr">
        <is>
          <t>TH-KITTOW-24</t>
        </is>
      </c>
      <c r="E27" t="inlineStr">
        <is>
          <t>Kitchen Towels Linen 4pk</t>
        </is>
      </c>
      <c r="F27" t="inlineStr">
        <is>
          <t>Receipts</t>
        </is>
      </c>
      <c r="G27" t="inlineStr">
        <is>
          <t>FBA15TH77252</t>
        </is>
      </c>
      <c r="H27" t="n">
        <v>510</v>
      </c>
      <c r="I27" t="inlineStr">
        <is>
          <t>PHX7</t>
        </is>
      </c>
      <c r="J27" t="inlineStr">
        <is>
          <t>SELLABLE</t>
        </is>
      </c>
      <c r="L27" t="inlineStr">
        <is>
          <t>US</t>
        </is>
      </c>
      <c r="M27" t="n">
        <v>0</v>
      </c>
      <c r="N27" t="n">
        <v>0</v>
      </c>
      <c r="O27">
        <f>IFERROR(VLOOKUP(K27,'Reason codes'!$A$2:$B$40,2,FALSE),"")</f>
        <v/>
      </c>
      <c r="P27">
        <f>IF(AND(ISNUMBER(SEARCH("adjust",F27)),OR(O27="warehouse_lost",O27="warehouse_damaged",O27="carrier_damaged",O27="transit_lost")),"yes","no")</f>
        <v/>
      </c>
      <c r="Q27">
        <f>IF(P27="yes",IF(N27&lt;&gt;"",N27,MAX(0,-H27)),0)</f>
        <v/>
      </c>
    </row>
    <row r="28">
      <c r="A28" t="inlineStr">
        <is>
          <t>2026-05-15</t>
        </is>
      </c>
      <c r="B28" t="inlineStr">
        <is>
          <t>X0TH0003</t>
        </is>
      </c>
      <c r="C28" t="inlineStr">
        <is>
          <t>B0TH003KX</t>
        </is>
      </c>
      <c r="D28" t="inlineStr">
        <is>
          <t>TH-ENADUT-03</t>
        </is>
      </c>
      <c r="E28" t="inlineStr">
        <is>
          <t>Enamel Dutch Oven 5qt</t>
        </is>
      </c>
      <c r="F28" t="inlineStr">
        <is>
          <t>Adjustments</t>
        </is>
      </c>
      <c r="G28" t="inlineStr">
        <is>
          <t>ADJ-77029</t>
        </is>
      </c>
      <c r="H28" t="n">
        <v>-4</v>
      </c>
      <c r="I28" t="inlineStr">
        <is>
          <t>MDW2</t>
        </is>
      </c>
      <c r="J28" t="inlineStr">
        <is>
          <t>SELLABLE</t>
        </is>
      </c>
      <c r="K28" t="inlineStr">
        <is>
          <t>N</t>
        </is>
      </c>
      <c r="L28" t="inlineStr">
        <is>
          <t>US</t>
        </is>
      </c>
      <c r="M28" t="n">
        <v>4</v>
      </c>
      <c r="O28">
        <f>IFERROR(VLOOKUP(K28,'Reason codes'!$A$2:$B$40,2,FALSE),"")</f>
        <v/>
      </c>
      <c r="P28">
        <f>IF(AND(ISNUMBER(SEARCH("adjust",F28)),OR(O28="warehouse_lost",O28="warehouse_damaged",O28="carrier_damaged",O28="transit_lost")),"yes","no")</f>
        <v/>
      </c>
      <c r="Q28">
        <f>IF(P28="yes",IF(N28&lt;&gt;"",N28,MAX(0,-H28)),0)</f>
        <v/>
      </c>
    </row>
    <row r="29">
      <c r="A29" t="inlineStr">
        <is>
          <t>2026-05-18</t>
        </is>
      </c>
      <c r="B29" t="inlineStr">
        <is>
          <t>X0TH0001</t>
        </is>
      </c>
      <c r="C29" t="inlineStr">
        <is>
          <t>B0TH001KX</t>
        </is>
      </c>
      <c r="D29" t="inlineStr">
        <is>
          <t>TH-CASIRO-01</t>
        </is>
      </c>
      <c r="E29" t="inlineStr">
        <is>
          <t>Cast Iron Skillet 10in</t>
        </is>
      </c>
      <c r="F29" t="inlineStr">
        <is>
          <t>Adjustments</t>
        </is>
      </c>
      <c r="G29" t="inlineStr">
        <is>
          <t>ADJ-77002</t>
        </is>
      </c>
      <c r="H29" t="n">
        <v>-3</v>
      </c>
      <c r="I29" t="inlineStr">
        <is>
          <t>PHX7</t>
        </is>
      </c>
      <c r="J29" t="inlineStr">
        <is>
          <t>SELLABLE</t>
        </is>
      </c>
      <c r="K29" t="inlineStr">
        <is>
          <t>N</t>
        </is>
      </c>
      <c r="L29" t="inlineStr">
        <is>
          <t>US</t>
        </is>
      </c>
      <c r="M29" t="n">
        <v>0</v>
      </c>
      <c r="N29" t="n">
        <v>3</v>
      </c>
      <c r="O29">
        <f>IFERROR(VLOOKUP(K29,'Reason codes'!$A$2:$B$40,2,FALSE),"")</f>
        <v/>
      </c>
      <c r="P29">
        <f>IF(AND(ISNUMBER(SEARCH("adjust",F29)),OR(O29="warehouse_lost",O29="warehouse_damaged",O29="carrier_damaged",O29="transit_lost")),"yes","no")</f>
        <v/>
      </c>
      <c r="Q29">
        <f>IF(P29="yes",IF(N29&lt;&gt;"",N29,MAX(0,-H29)),0)</f>
        <v/>
      </c>
    </row>
    <row r="30">
      <c r="A30" t="inlineStr">
        <is>
          <t>2026-05-20</t>
        </is>
      </c>
      <c r="B30" t="inlineStr">
        <is>
          <t>X0TH0005</t>
        </is>
      </c>
      <c r="C30" t="inlineStr">
        <is>
          <t>B0TH005KX</t>
        </is>
      </c>
      <c r="D30" t="inlineStr">
        <is>
          <t>TH-BAMCUT-05</t>
        </is>
      </c>
      <c r="E30" t="inlineStr">
        <is>
          <t>Bamboo Cutting Board L</t>
        </is>
      </c>
      <c r="F30" t="inlineStr">
        <is>
          <t>Adjustments</t>
        </is>
      </c>
      <c r="G30" t="inlineStr">
        <is>
          <t>ADJ-77050</t>
        </is>
      </c>
      <c r="H30" t="n">
        <v>-2</v>
      </c>
      <c r="I30" t="inlineStr">
        <is>
          <t>DFW6</t>
        </is>
      </c>
      <c r="J30" t="inlineStr">
        <is>
          <t>SELLABLE</t>
        </is>
      </c>
      <c r="K30" t="inlineStr">
        <is>
          <t>N</t>
        </is>
      </c>
      <c r="L30" t="inlineStr">
        <is>
          <t>US</t>
        </is>
      </c>
      <c r="M30" t="n">
        <v>2</v>
      </c>
      <c r="O30">
        <f>IFERROR(VLOOKUP(K30,'Reason codes'!$A$2:$B$40,2,FALSE),"")</f>
        <v/>
      </c>
      <c r="P30">
        <f>IF(AND(ISNUMBER(SEARCH("adjust",F30)),OR(O30="warehouse_lost",O30="warehouse_damaged",O30="carrier_damaged",O30="transit_lost")),"yes","no")</f>
        <v/>
      </c>
      <c r="Q30">
        <f>IF(P30="yes",IF(N30&lt;&gt;"",N30,MAX(0,-H30)),0)</f>
        <v/>
      </c>
    </row>
    <row r="31">
      <c r="A31" t="inlineStr">
        <is>
          <t>2026-05-20</t>
        </is>
      </c>
      <c r="B31" t="inlineStr">
        <is>
          <t>X0TH0009</t>
        </is>
      </c>
      <c r="C31" t="inlineStr">
        <is>
          <t>B0TH009KX</t>
        </is>
      </c>
      <c r="D31" t="inlineStr">
        <is>
          <t>TH-PARKNI-09</t>
        </is>
      </c>
      <c r="E31" t="inlineStr">
        <is>
          <t>Paring Knife 3.5in</t>
        </is>
      </c>
      <c r="F31" t="inlineStr">
        <is>
          <t>Adjustments</t>
        </is>
      </c>
      <c r="G31" t="inlineStr">
        <is>
          <t>ADJ-77089</t>
        </is>
      </c>
      <c r="H31" t="n">
        <v>-2</v>
      </c>
      <c r="I31" t="inlineStr">
        <is>
          <t>MDW2</t>
        </is>
      </c>
      <c r="J31" t="inlineStr">
        <is>
          <t>SELLABLE</t>
        </is>
      </c>
      <c r="K31" t="inlineStr">
        <is>
          <t>N</t>
        </is>
      </c>
      <c r="L31" t="inlineStr">
        <is>
          <t>US</t>
        </is>
      </c>
      <c r="M31" t="n">
        <v>0</v>
      </c>
      <c r="N31" t="n">
        <v>2</v>
      </c>
      <c r="O31">
        <f>IFERROR(VLOOKUP(K31,'Reason codes'!$A$2:$B$40,2,FALSE),"")</f>
        <v/>
      </c>
      <c r="P31">
        <f>IF(AND(ISNUMBER(SEARCH("adjust",F31)),OR(O31="warehouse_lost",O31="warehouse_damaged",O31="carrier_damaged",O31="transit_lost")),"yes","no")</f>
        <v/>
      </c>
      <c r="Q31">
        <f>IF(P31="yes",IF(N31&lt;&gt;"",N31,MAX(0,-H31)),0)</f>
        <v/>
      </c>
    </row>
    <row r="32">
      <c r="A32" t="inlineStr">
        <is>
          <t>2026-05-21</t>
        </is>
      </c>
      <c r="B32" t="inlineStr">
        <is>
          <t>X0TH0004</t>
        </is>
      </c>
      <c r="C32" t="inlineStr">
        <is>
          <t>B0TH004KX</t>
        </is>
      </c>
      <c r="D32" t="inlineStr">
        <is>
          <t>TH-CARSTE-04</t>
        </is>
      </c>
      <c r="E32" t="inlineStr">
        <is>
          <t>Carbon Steel Wok</t>
        </is>
      </c>
      <c r="F32" t="inlineStr">
        <is>
          <t>Receipts</t>
        </is>
      </c>
      <c r="G32" t="inlineStr">
        <is>
          <t>FBA15TH77035</t>
        </is>
      </c>
      <c r="H32" t="n">
        <v>450</v>
      </c>
      <c r="I32" t="inlineStr">
        <is>
          <t>LAX9</t>
        </is>
      </c>
      <c r="J32" t="inlineStr">
        <is>
          <t>SELLABLE</t>
        </is>
      </c>
      <c r="L32" t="inlineStr">
        <is>
          <t>US</t>
        </is>
      </c>
      <c r="M32" t="n">
        <v>0</v>
      </c>
      <c r="N32" t="n">
        <v>0</v>
      </c>
      <c r="O32">
        <f>IFERROR(VLOOKUP(K32,'Reason codes'!$A$2:$B$40,2,FALSE),"")</f>
        <v/>
      </c>
      <c r="P32">
        <f>IF(AND(ISNUMBER(SEARCH("adjust",F32)),OR(O32="warehouse_lost",O32="warehouse_damaged",O32="carrier_damaged",O32="transit_lost")),"yes","no")</f>
        <v/>
      </c>
      <c r="Q32">
        <f>IF(P32="yes",IF(N32&lt;&gt;"",N32,MAX(0,-H32)),0)</f>
        <v/>
      </c>
    </row>
    <row r="33">
      <c r="A33" t="inlineStr">
        <is>
          <t>2026-05-23</t>
        </is>
      </c>
      <c r="B33" t="inlineStr">
        <is>
          <t>X0TH0008</t>
        </is>
      </c>
      <c r="C33" t="inlineStr">
        <is>
          <t>B0TH008KX</t>
        </is>
      </c>
      <c r="D33" t="inlineStr">
        <is>
          <t>TH-CHEKNI-08</t>
        </is>
      </c>
      <c r="E33" t="inlineStr">
        <is>
          <t>Chef Knife 8in</t>
        </is>
      </c>
      <c r="F33" t="inlineStr">
        <is>
          <t>Receipts</t>
        </is>
      </c>
      <c r="G33" t="inlineStr">
        <is>
          <t>FBA15TH77075</t>
        </is>
      </c>
      <c r="H33" t="n">
        <v>675</v>
      </c>
      <c r="I33" t="inlineStr">
        <is>
          <t>ONT8</t>
        </is>
      </c>
      <c r="J33" t="inlineStr">
        <is>
          <t>SELLABLE</t>
        </is>
      </c>
      <c r="L33" t="inlineStr">
        <is>
          <t>US</t>
        </is>
      </c>
      <c r="M33" t="n">
        <v>0</v>
      </c>
      <c r="N33" t="n">
        <v>0</v>
      </c>
      <c r="O33">
        <f>IFERROR(VLOOKUP(K33,'Reason codes'!$A$2:$B$40,2,FALSE),"")</f>
        <v/>
      </c>
      <c r="P33">
        <f>IF(AND(ISNUMBER(SEARCH("adjust",F33)),OR(O33="warehouse_lost",O33="warehouse_damaged",O33="carrier_damaged",O33="transit_lost")),"yes","no")</f>
        <v/>
      </c>
      <c r="Q33">
        <f>IF(P33="yes",IF(N33&lt;&gt;"",N33,MAX(0,-H33)),0)</f>
        <v/>
      </c>
    </row>
    <row r="34">
      <c r="A34" t="inlineStr">
        <is>
          <t>2026-05-25</t>
        </is>
      </c>
      <c r="B34" t="inlineStr">
        <is>
          <t>X0TH0006</t>
        </is>
      </c>
      <c r="C34" t="inlineStr">
        <is>
          <t>B0TH006KX</t>
        </is>
      </c>
      <c r="D34" t="inlineStr">
        <is>
          <t>TH-BAMCUT-06</t>
        </is>
      </c>
      <c r="E34" t="inlineStr">
        <is>
          <t>Bamboo Cutting Board M</t>
        </is>
      </c>
      <c r="F34" t="inlineStr">
        <is>
          <t>Adjustments</t>
        </is>
      </c>
      <c r="G34" t="inlineStr">
        <is>
          <t>ADJ-77058</t>
        </is>
      </c>
      <c r="H34" t="n">
        <v>-7</v>
      </c>
      <c r="I34" t="inlineStr">
        <is>
          <t>PHX7</t>
        </is>
      </c>
      <c r="J34" t="inlineStr">
        <is>
          <t>SELLABLE</t>
        </is>
      </c>
      <c r="K34" t="inlineStr">
        <is>
          <t>N</t>
        </is>
      </c>
      <c r="L34" t="inlineStr">
        <is>
          <t>US</t>
        </is>
      </c>
      <c r="M34" t="n">
        <v>0</v>
      </c>
      <c r="N34" t="n">
        <v>7</v>
      </c>
      <c r="O34">
        <f>IFERROR(VLOOKUP(K34,'Reason codes'!$A$2:$B$40,2,FALSE),"")</f>
        <v/>
      </c>
      <c r="P34">
        <f>IF(AND(ISNUMBER(SEARCH("adjust",F34)),OR(O34="warehouse_lost",O34="warehouse_damaged",O34="carrier_damaged",O34="transit_lost")),"yes","no")</f>
        <v/>
      </c>
      <c r="Q34">
        <f>IF(P34="yes",IF(N34&lt;&gt;"",N34,MAX(0,-H34)),0)</f>
        <v/>
      </c>
    </row>
    <row r="35">
      <c r="A35" t="inlineStr">
        <is>
          <t>2026-05-26</t>
        </is>
      </c>
      <c r="B35" t="inlineStr">
        <is>
          <t>X0TH0015</t>
        </is>
      </c>
      <c r="C35" t="inlineStr">
        <is>
          <t>B0TH015KX</t>
        </is>
      </c>
      <c r="D35" t="inlineStr">
        <is>
          <t>TH-SALCEL-15</t>
        </is>
      </c>
      <c r="E35" t="inlineStr">
        <is>
          <t>Salt Cellar Acacia</t>
        </is>
      </c>
      <c r="F35" t="inlineStr">
        <is>
          <t>Adjustments</t>
        </is>
      </c>
      <c r="G35" t="inlineStr">
        <is>
          <t>ADJ-77163</t>
        </is>
      </c>
      <c r="H35" t="n">
        <v>-8</v>
      </c>
      <c r="I35" t="inlineStr">
        <is>
          <t>MDW2</t>
        </is>
      </c>
      <c r="J35" t="inlineStr">
        <is>
          <t>SELLABLE</t>
        </is>
      </c>
      <c r="K35" t="inlineStr">
        <is>
          <t>N</t>
        </is>
      </c>
      <c r="L35" t="inlineStr">
        <is>
          <t>US</t>
        </is>
      </c>
      <c r="M35" t="n">
        <v>0</v>
      </c>
      <c r="N35" t="n">
        <v>8</v>
      </c>
      <c r="O35">
        <f>IFERROR(VLOOKUP(K35,'Reason codes'!$A$2:$B$40,2,FALSE),"")</f>
        <v/>
      </c>
      <c r="P35">
        <f>IF(AND(ISNUMBER(SEARCH("adjust",F35)),OR(O35="warehouse_lost",O35="warehouse_damaged",O35="carrier_damaged",O35="transit_lost")),"yes","no")</f>
        <v/>
      </c>
      <c r="Q35">
        <f>IF(P35="yes",IF(N35&lt;&gt;"",N35,MAX(0,-H35)),0)</f>
        <v/>
      </c>
    </row>
    <row r="36">
      <c r="A36" t="inlineStr">
        <is>
          <t>2026-05-27</t>
        </is>
      </c>
      <c r="B36" t="inlineStr">
        <is>
          <t>X0TH0010</t>
        </is>
      </c>
      <c r="C36" t="inlineStr">
        <is>
          <t>B0TH010KX</t>
        </is>
      </c>
      <c r="D36" t="inlineStr">
        <is>
          <t>TH-BREKNI-10</t>
        </is>
      </c>
      <c r="E36" t="inlineStr">
        <is>
          <t>Bread Knife 10in</t>
        </is>
      </c>
      <c r="F36" t="inlineStr">
        <is>
          <t>Adjustments</t>
        </is>
      </c>
      <c r="G36" t="inlineStr">
        <is>
          <t>ADJ-77099</t>
        </is>
      </c>
      <c r="H36" t="n">
        <v>-5</v>
      </c>
      <c r="I36" t="inlineStr">
        <is>
          <t>ONT8</t>
        </is>
      </c>
      <c r="J36" t="inlineStr">
        <is>
          <t>SELLABLE</t>
        </is>
      </c>
      <c r="K36" t="inlineStr">
        <is>
          <t>N</t>
        </is>
      </c>
      <c r="L36" t="inlineStr">
        <is>
          <t>US</t>
        </is>
      </c>
      <c r="M36" t="n">
        <v>5</v>
      </c>
      <c r="O36">
        <f>IFERROR(VLOOKUP(K36,'Reason codes'!$A$2:$B$40,2,FALSE),"")</f>
        <v/>
      </c>
      <c r="P36">
        <f>IF(AND(ISNUMBER(SEARCH("adjust",F36)),OR(O36="warehouse_lost",O36="warehouse_damaged",O36="carrier_damaged",O36="transit_lost")),"yes","no")</f>
        <v/>
      </c>
      <c r="Q36">
        <f>IF(P36="yes",IF(N36&lt;&gt;"",N36,MAX(0,-H36)),0)</f>
        <v/>
      </c>
    </row>
    <row r="37">
      <c r="A37" t="inlineStr">
        <is>
          <t>2026-05-30</t>
        </is>
      </c>
      <c r="B37" t="inlineStr">
        <is>
          <t>X0TH0011</t>
        </is>
      </c>
      <c r="C37" t="inlineStr">
        <is>
          <t>B0TH011KX</t>
        </is>
      </c>
      <c r="D37" t="inlineStr">
        <is>
          <t>TH-KNISHA-11</t>
        </is>
      </c>
      <c r="E37" t="inlineStr">
        <is>
          <t>Knife Sharpener Whetstone</t>
        </is>
      </c>
      <c r="F37" t="inlineStr">
        <is>
          <t>Adjustments</t>
        </is>
      </c>
      <c r="G37" t="inlineStr">
        <is>
          <t>ADJ-77113</t>
        </is>
      </c>
      <c r="H37" t="n">
        <v>-3</v>
      </c>
      <c r="I37" t="inlineStr">
        <is>
          <t>LAX9</t>
        </is>
      </c>
      <c r="J37" t="inlineStr">
        <is>
          <t>SELLABLE</t>
        </is>
      </c>
      <c r="K37" t="inlineStr">
        <is>
          <t>N</t>
        </is>
      </c>
      <c r="L37" t="inlineStr">
        <is>
          <t>US</t>
        </is>
      </c>
      <c r="M37" t="n">
        <v>0</v>
      </c>
      <c r="N37" t="n">
        <v>3</v>
      </c>
      <c r="O37">
        <f>IFERROR(VLOOKUP(K37,'Reason codes'!$A$2:$B$40,2,FALSE),"")</f>
        <v/>
      </c>
      <c r="P37">
        <f>IF(AND(ISNUMBER(SEARCH("adjust",F37)),OR(O37="warehouse_lost",O37="warehouse_damaged",O37="carrier_damaged",O37="transit_lost")),"yes","no")</f>
        <v/>
      </c>
      <c r="Q37">
        <f>IF(P37="yes",IF(N37&lt;&gt;"",N37,MAX(0,-H37)),0)</f>
        <v/>
      </c>
    </row>
    <row r="38">
      <c r="A38" t="inlineStr">
        <is>
          <t>2026-05-30</t>
        </is>
      </c>
      <c r="B38" t="inlineStr">
        <is>
          <t>X0TH0014</t>
        </is>
      </c>
      <c r="C38" t="inlineStr">
        <is>
          <t>B0TH014KX</t>
        </is>
      </c>
      <c r="D38" t="inlineStr">
        <is>
          <t>TH-MEACUP-14</t>
        </is>
      </c>
      <c r="E38" t="inlineStr">
        <is>
          <t>Measuring Cups Steel</t>
        </is>
      </c>
      <c r="F38" t="inlineStr">
        <is>
          <t>Adjustments</t>
        </is>
      </c>
      <c r="G38" t="inlineStr">
        <is>
          <t>ADJ-77150</t>
        </is>
      </c>
      <c r="H38" t="n">
        <v>-8</v>
      </c>
      <c r="I38" t="inlineStr">
        <is>
          <t>LAX9</t>
        </is>
      </c>
      <c r="J38" t="inlineStr">
        <is>
          <t>SELLABLE</t>
        </is>
      </c>
      <c r="K38" t="inlineStr">
        <is>
          <t>N</t>
        </is>
      </c>
      <c r="L38" t="inlineStr">
        <is>
          <t>US</t>
        </is>
      </c>
      <c r="M38" t="n">
        <v>0</v>
      </c>
      <c r="N38" t="n">
        <v>8</v>
      </c>
      <c r="O38">
        <f>IFERROR(VLOOKUP(K38,'Reason codes'!$A$2:$B$40,2,FALSE),"")</f>
        <v/>
      </c>
      <c r="P38">
        <f>IF(AND(ISNUMBER(SEARCH("adjust",F38)),OR(O38="warehouse_lost",O38="warehouse_damaged",O38="carrier_damaged",O38="transit_lost")),"yes","no")</f>
        <v/>
      </c>
      <c r="Q38">
        <f>IF(P38="yes",IF(N38&lt;&gt;"",N38,MAX(0,-H38)),0)</f>
        <v/>
      </c>
    </row>
    <row r="39">
      <c r="A39" t="inlineStr">
        <is>
          <t>2026-06-01</t>
        </is>
      </c>
      <c r="B39" t="inlineStr">
        <is>
          <t>X0TH0008</t>
        </is>
      </c>
      <c r="C39" t="inlineStr">
        <is>
          <t>B0TH008KX</t>
        </is>
      </c>
      <c r="D39" t="inlineStr">
        <is>
          <t>TH-CHEKNI-08</t>
        </is>
      </c>
      <c r="E39" t="inlineStr">
        <is>
          <t>Chef Knife 8in</t>
        </is>
      </c>
      <c r="F39" t="inlineStr">
        <is>
          <t>Adjustments</t>
        </is>
      </c>
      <c r="G39" t="inlineStr">
        <is>
          <t>ADJ-77080</t>
        </is>
      </c>
      <c r="H39" t="n">
        <v>-4</v>
      </c>
      <c r="I39" t="inlineStr">
        <is>
          <t>LAX9</t>
        </is>
      </c>
      <c r="J39" t="inlineStr">
        <is>
          <t>SELLABLE</t>
        </is>
      </c>
      <c r="K39" t="inlineStr">
        <is>
          <t>N</t>
        </is>
      </c>
      <c r="L39" t="inlineStr">
        <is>
          <t>US</t>
        </is>
      </c>
      <c r="M39" t="n">
        <v>0</v>
      </c>
      <c r="N39" t="n">
        <v>4</v>
      </c>
      <c r="O39">
        <f>IFERROR(VLOOKUP(K39,'Reason codes'!$A$2:$B$40,2,FALSE),"")</f>
        <v/>
      </c>
      <c r="P39">
        <f>IF(AND(ISNUMBER(SEARCH("adjust",F39)),OR(O39="warehouse_lost",O39="warehouse_damaged",O39="carrier_damaged",O39="transit_lost")),"yes","no")</f>
        <v/>
      </c>
      <c r="Q39">
        <f>IF(P39="yes",IF(N39&lt;&gt;"",N39,MAX(0,-H39)),0)</f>
        <v/>
      </c>
    </row>
    <row r="40">
      <c r="A40" t="inlineStr">
        <is>
          <t>2026-06-01</t>
        </is>
      </c>
      <c r="B40" t="inlineStr">
        <is>
          <t>X0TH0010</t>
        </is>
      </c>
      <c r="C40" t="inlineStr">
        <is>
          <t>B0TH010KX</t>
        </is>
      </c>
      <c r="D40" t="inlineStr">
        <is>
          <t>TH-BREKNI-10</t>
        </is>
      </c>
      <c r="E40" t="inlineStr">
        <is>
          <t>Bread Knife 10in</t>
        </is>
      </c>
      <c r="F40" t="inlineStr">
        <is>
          <t>Receipts</t>
        </is>
      </c>
      <c r="G40" t="inlineStr">
        <is>
          <t>FBA15TH77097</t>
        </is>
      </c>
      <c r="H40" t="n">
        <v>420</v>
      </c>
      <c r="I40" t="inlineStr">
        <is>
          <t>MDW2</t>
        </is>
      </c>
      <c r="J40" t="inlineStr">
        <is>
          <t>SELLABLE</t>
        </is>
      </c>
      <c r="L40" t="inlineStr">
        <is>
          <t>US</t>
        </is>
      </c>
      <c r="M40" t="n">
        <v>0</v>
      </c>
      <c r="N40" t="n">
        <v>0</v>
      </c>
      <c r="O40">
        <f>IFERROR(VLOOKUP(K40,'Reason codes'!$A$2:$B$40,2,FALSE),"")</f>
        <v/>
      </c>
      <c r="P40">
        <f>IF(AND(ISNUMBER(SEARCH("adjust",F40)),OR(O40="warehouse_lost",O40="warehouse_damaged",O40="carrier_damaged",O40="transit_lost")),"yes","no")</f>
        <v/>
      </c>
      <c r="Q40">
        <f>IF(P40="yes",IF(N40&lt;&gt;"",N40,MAX(0,-H40)),0)</f>
        <v/>
      </c>
    </row>
    <row r="41">
      <c r="A41" t="inlineStr">
        <is>
          <t>2026-06-03</t>
        </is>
      </c>
      <c r="B41" t="inlineStr">
        <is>
          <t>X0TH0007</t>
        </is>
      </c>
      <c r="C41" t="inlineStr">
        <is>
          <t>B0TH007KX</t>
        </is>
      </c>
      <c r="D41" t="inlineStr">
        <is>
          <t>TH-WALSER-07</t>
        </is>
      </c>
      <c r="E41" t="inlineStr">
        <is>
          <t>Walnut Serving Tray</t>
        </is>
      </c>
      <c r="F41" t="inlineStr">
        <is>
          <t>Receipts</t>
        </is>
      </c>
      <c r="G41" t="inlineStr">
        <is>
          <t>FBA15TH77065</t>
        </is>
      </c>
      <c r="H41" t="n">
        <v>285</v>
      </c>
      <c r="I41" t="inlineStr">
        <is>
          <t>LAX9</t>
        </is>
      </c>
      <c r="J41" t="inlineStr">
        <is>
          <t>SELLABLE</t>
        </is>
      </c>
      <c r="L41" t="inlineStr">
        <is>
          <t>US</t>
        </is>
      </c>
      <c r="M41" t="n">
        <v>0</v>
      </c>
      <c r="N41" t="n">
        <v>0</v>
      </c>
      <c r="O41">
        <f>IFERROR(VLOOKUP(K41,'Reason codes'!$A$2:$B$40,2,FALSE),"")</f>
        <v/>
      </c>
      <c r="P41">
        <f>IF(AND(ISNUMBER(SEARCH("adjust",F41)),OR(O41="warehouse_lost",O41="warehouse_damaged",O41="carrier_damaged",O41="transit_lost")),"yes","no")</f>
        <v/>
      </c>
      <c r="Q41">
        <f>IF(P41="yes",IF(N41&lt;&gt;"",N41,MAX(0,-H41)),0)</f>
        <v/>
      </c>
    </row>
    <row r="42">
      <c r="A42" t="inlineStr">
        <is>
          <t>2026-06-03</t>
        </is>
      </c>
      <c r="B42" t="inlineStr">
        <is>
          <t>X0TH0024</t>
        </is>
      </c>
      <c r="C42" t="inlineStr">
        <is>
          <t>B0TH024KX</t>
        </is>
      </c>
      <c r="D42" t="inlineStr">
        <is>
          <t>TH-KITTOW-24</t>
        </is>
      </c>
      <c r="E42" t="inlineStr">
        <is>
          <t>Kitchen Towels Linen 4pk</t>
        </is>
      </c>
      <c r="F42" t="inlineStr">
        <is>
          <t>Receipts</t>
        </is>
      </c>
      <c r="G42" t="inlineStr">
        <is>
          <t>FBA15TH77251</t>
        </is>
      </c>
      <c r="H42" t="n">
        <v>510</v>
      </c>
      <c r="I42" t="inlineStr">
        <is>
          <t>DFW6</t>
        </is>
      </c>
      <c r="J42" t="inlineStr">
        <is>
          <t>SELLABLE</t>
        </is>
      </c>
      <c r="L42" t="inlineStr">
        <is>
          <t>US</t>
        </is>
      </c>
      <c r="M42" t="n">
        <v>0</v>
      </c>
      <c r="N42" t="n">
        <v>0</v>
      </c>
      <c r="O42">
        <f>IFERROR(VLOOKUP(K42,'Reason codes'!$A$2:$B$40,2,FALSE),"")</f>
        <v/>
      </c>
      <c r="P42">
        <f>IF(AND(ISNUMBER(SEARCH("adjust",F42)),OR(O42="warehouse_lost",O42="warehouse_damaged",O42="carrier_damaged",O42="transit_lost")),"yes","no")</f>
        <v/>
      </c>
      <c r="Q42">
        <f>IF(P42="yes",IF(N42&lt;&gt;"",N42,MAX(0,-H42)),0)</f>
        <v/>
      </c>
    </row>
    <row r="43">
      <c r="A43" t="inlineStr">
        <is>
          <t>2026-06-04</t>
        </is>
      </c>
      <c r="B43" t="inlineStr">
        <is>
          <t>X0TH0016</t>
        </is>
      </c>
      <c r="C43" t="inlineStr">
        <is>
          <t>B0TH016KX</t>
        </is>
      </c>
      <c r="D43" t="inlineStr">
        <is>
          <t>TH-PEPMIL-16</t>
        </is>
      </c>
      <c r="E43" t="inlineStr">
        <is>
          <t>Pepper Mill Walnut</t>
        </is>
      </c>
      <c r="F43" t="inlineStr">
        <is>
          <t>Adjustments</t>
        </is>
      </c>
      <c r="G43" t="inlineStr">
        <is>
          <t>ADJ-77173</t>
        </is>
      </c>
      <c r="H43" t="n">
        <v>-7</v>
      </c>
      <c r="I43" t="inlineStr">
        <is>
          <t>DFW6</t>
        </is>
      </c>
      <c r="J43" t="inlineStr">
        <is>
          <t>SELLABLE</t>
        </is>
      </c>
      <c r="K43" t="inlineStr">
        <is>
          <t>N</t>
        </is>
      </c>
      <c r="L43" t="inlineStr">
        <is>
          <t>US</t>
        </is>
      </c>
      <c r="M43" t="n">
        <v>7</v>
      </c>
      <c r="O43">
        <f>IFERROR(VLOOKUP(K43,'Reason codes'!$A$2:$B$40,2,FALSE),"")</f>
        <v/>
      </c>
      <c r="P43">
        <f>IF(AND(ISNUMBER(SEARCH("adjust",F43)),OR(O43="warehouse_lost",O43="warehouse_damaged",O43="carrier_damaged",O43="transit_lost")),"yes","no")</f>
        <v/>
      </c>
      <c r="Q43">
        <f>IF(P43="yes",IF(N43&lt;&gt;"",N43,MAX(0,-H43)),0)</f>
        <v/>
      </c>
    </row>
    <row r="44">
      <c r="A44" t="inlineStr">
        <is>
          <t>2026-06-09</t>
        </is>
      </c>
      <c r="B44" t="inlineStr">
        <is>
          <t>X0TH0007</t>
        </is>
      </c>
      <c r="C44" t="inlineStr">
        <is>
          <t>B0TH007KX</t>
        </is>
      </c>
      <c r="D44" t="inlineStr">
        <is>
          <t>TH-WALSER-07</t>
        </is>
      </c>
      <c r="E44" t="inlineStr">
        <is>
          <t>Walnut Serving Tray</t>
        </is>
      </c>
      <c r="F44" t="inlineStr">
        <is>
          <t>Adjustments</t>
        </is>
      </c>
      <c r="G44" t="inlineStr">
        <is>
          <t>ADJ-77070</t>
        </is>
      </c>
      <c r="H44" t="n">
        <v>-6</v>
      </c>
      <c r="I44" t="inlineStr">
        <is>
          <t>MDW2</t>
        </is>
      </c>
      <c r="J44" t="inlineStr">
        <is>
          <t>SELLABLE</t>
        </is>
      </c>
      <c r="K44" t="inlineStr">
        <is>
          <t>N</t>
        </is>
      </c>
      <c r="L44" t="inlineStr">
        <is>
          <t>US</t>
        </is>
      </c>
      <c r="M44" t="n">
        <v>6</v>
      </c>
      <c r="O44">
        <f>IFERROR(VLOOKUP(K44,'Reason codes'!$A$2:$B$40,2,FALSE),"")</f>
        <v/>
      </c>
      <c r="P44">
        <f>IF(AND(ISNUMBER(SEARCH("adjust",F44)),OR(O44="warehouse_lost",O44="warehouse_damaged",O44="carrier_damaged",O44="transit_lost")),"yes","no")</f>
        <v/>
      </c>
      <c r="Q44">
        <f>IF(P44="yes",IF(N44&lt;&gt;"",N44,MAX(0,-H44)),0)</f>
        <v/>
      </c>
    </row>
    <row r="45">
      <c r="A45" t="inlineStr">
        <is>
          <t>2026-06-09</t>
        </is>
      </c>
      <c r="B45" t="inlineStr">
        <is>
          <t>X0TH0019</t>
        </is>
      </c>
      <c r="C45" t="inlineStr">
        <is>
          <t>B0TH019KX</t>
        </is>
      </c>
      <c r="D45" t="inlineStr">
        <is>
          <t>TH-COFCAN-19</t>
        </is>
      </c>
      <c r="E45" t="inlineStr">
        <is>
          <t>Coffee Canister Airtight</t>
        </is>
      </c>
      <c r="F45" t="inlineStr">
        <is>
          <t>Adjustments</t>
        </is>
      </c>
      <c r="G45" t="inlineStr">
        <is>
          <t>ADJ-77202</t>
        </is>
      </c>
      <c r="H45" t="n">
        <v>-4</v>
      </c>
      <c r="I45" t="inlineStr">
        <is>
          <t>MDW2</t>
        </is>
      </c>
      <c r="J45" t="inlineStr">
        <is>
          <t>SELLABLE</t>
        </is>
      </c>
      <c r="K45" t="inlineStr">
        <is>
          <t>N</t>
        </is>
      </c>
      <c r="L45" t="inlineStr">
        <is>
          <t>US</t>
        </is>
      </c>
      <c r="M45" t="n">
        <v>4</v>
      </c>
      <c r="O45">
        <f>IFERROR(VLOOKUP(K45,'Reason codes'!$A$2:$B$40,2,FALSE),"")</f>
        <v/>
      </c>
      <c r="P45">
        <f>IF(AND(ISNUMBER(SEARCH("adjust",F45)),OR(O45="warehouse_lost",O45="warehouse_damaged",O45="carrier_damaged",O45="transit_lost")),"yes","no")</f>
        <v/>
      </c>
      <c r="Q45">
        <f>IF(P45="yes",IF(N45&lt;&gt;"",N45,MAX(0,-H45)),0)</f>
        <v/>
      </c>
    </row>
    <row r="46">
      <c r="A46" t="inlineStr">
        <is>
          <t>2026-06-10</t>
        </is>
      </c>
      <c r="B46" t="inlineStr">
        <is>
          <t>X0TH0020</t>
        </is>
      </c>
      <c r="C46" t="inlineStr">
        <is>
          <t>B0TH020KX</t>
        </is>
      </c>
      <c r="D46" t="inlineStr">
        <is>
          <t>TH-TEAINF-20</t>
        </is>
      </c>
      <c r="E46" t="inlineStr">
        <is>
          <t>Tea Infuser Mug</t>
        </is>
      </c>
      <c r="F46" t="inlineStr">
        <is>
          <t>Receipts</t>
        </is>
      </c>
      <c r="G46" t="inlineStr">
        <is>
          <t>FBA15TH77208</t>
        </is>
      </c>
      <c r="H46" t="n">
        <v>570</v>
      </c>
      <c r="I46" t="inlineStr">
        <is>
          <t>MDW2</t>
        </is>
      </c>
      <c r="J46" t="inlineStr">
        <is>
          <t>SELLABLE</t>
        </is>
      </c>
      <c r="L46" t="inlineStr">
        <is>
          <t>US</t>
        </is>
      </c>
      <c r="M46" t="n">
        <v>0</v>
      </c>
      <c r="N46" t="n">
        <v>0</v>
      </c>
      <c r="O46">
        <f>IFERROR(VLOOKUP(K46,'Reason codes'!$A$2:$B$40,2,FALSE),"")</f>
        <v/>
      </c>
      <c r="P46">
        <f>IF(AND(ISNUMBER(SEARCH("adjust",F46)),OR(O46="warehouse_lost",O46="warehouse_damaged",O46="carrier_damaged",O46="transit_lost")),"yes","no")</f>
        <v/>
      </c>
      <c r="Q46">
        <f>IF(P46="yes",IF(N46&lt;&gt;"",N46,MAX(0,-H46)),0)</f>
        <v/>
      </c>
    </row>
    <row r="47">
      <c r="A47" t="inlineStr">
        <is>
          <t>2026-06-15</t>
        </is>
      </c>
      <c r="B47" t="inlineStr">
        <is>
          <t>X0TH0009</t>
        </is>
      </c>
      <c r="C47" t="inlineStr">
        <is>
          <t>B0TH009KX</t>
        </is>
      </c>
      <c r="D47" t="inlineStr">
        <is>
          <t>TH-PARKNI-09</t>
        </is>
      </c>
      <c r="E47" t="inlineStr">
        <is>
          <t>Paring Knife 3.5in</t>
        </is>
      </c>
      <c r="F47" t="inlineStr">
        <is>
          <t>Receipts</t>
        </is>
      </c>
      <c r="G47" t="inlineStr">
        <is>
          <t>FBA15TH77086</t>
        </is>
      </c>
      <c r="H47" t="n">
        <v>915</v>
      </c>
      <c r="I47" t="inlineStr">
        <is>
          <t>ONT8</t>
        </is>
      </c>
      <c r="J47" t="inlineStr">
        <is>
          <t>SELLABLE</t>
        </is>
      </c>
      <c r="L47" t="inlineStr">
        <is>
          <t>US</t>
        </is>
      </c>
      <c r="M47" t="n">
        <v>0</v>
      </c>
      <c r="N47" t="n">
        <v>0</v>
      </c>
      <c r="O47">
        <f>IFERROR(VLOOKUP(K47,'Reason codes'!$A$2:$B$40,2,FALSE),"")</f>
        <v/>
      </c>
      <c r="P47">
        <f>IF(AND(ISNUMBER(SEARCH("adjust",F47)),OR(O47="warehouse_lost",O47="warehouse_damaged",O47="carrier_damaged",O47="transit_lost")),"yes","no")</f>
        <v/>
      </c>
      <c r="Q47">
        <f>IF(P47="yes",IF(N47&lt;&gt;"",N47,MAX(0,-H47)),0)</f>
        <v/>
      </c>
    </row>
    <row r="48">
      <c r="A48" t="inlineStr">
        <is>
          <t>2026-06-15</t>
        </is>
      </c>
      <c r="B48" t="inlineStr">
        <is>
          <t>X0TH0022</t>
        </is>
      </c>
      <c r="C48" t="inlineStr">
        <is>
          <t>B0TH022KX</t>
        </is>
      </c>
      <c r="D48" t="inlineStr">
        <is>
          <t>TH-OVEMIT-22</t>
        </is>
      </c>
      <c r="E48" t="inlineStr">
        <is>
          <t>Oven Mitts Aramid Pair</t>
        </is>
      </c>
      <c r="F48" t="inlineStr">
        <is>
          <t>Adjustments</t>
        </is>
      </c>
      <c r="G48" t="inlineStr">
        <is>
          <t>ADJ-77235</t>
        </is>
      </c>
      <c r="H48" t="n">
        <v>-6</v>
      </c>
      <c r="I48" t="inlineStr">
        <is>
          <t>DFW6</t>
        </is>
      </c>
      <c r="J48" t="inlineStr">
        <is>
          <t>SELLABLE</t>
        </is>
      </c>
      <c r="K48" t="inlineStr">
        <is>
          <t>N</t>
        </is>
      </c>
      <c r="L48" t="inlineStr">
        <is>
          <t>US</t>
        </is>
      </c>
      <c r="M48" t="n">
        <v>0</v>
      </c>
      <c r="N48" t="n">
        <v>6</v>
      </c>
      <c r="O48">
        <f>IFERROR(VLOOKUP(K48,'Reason codes'!$A$2:$B$40,2,FALSE),"")</f>
        <v/>
      </c>
      <c r="P48">
        <f>IF(AND(ISNUMBER(SEARCH("adjust",F48)),OR(O48="warehouse_lost",O48="warehouse_damaged",O48="carrier_damaged",O48="transit_lost")),"yes","no")</f>
        <v/>
      </c>
      <c r="Q48">
        <f>IF(P48="yes",IF(N48&lt;&gt;"",N48,MAX(0,-H48)),0)</f>
        <v/>
      </c>
    </row>
    <row r="49">
      <c r="A49" t="inlineStr">
        <is>
          <t>2026-06-18</t>
        </is>
      </c>
      <c r="B49" t="inlineStr">
        <is>
          <t>X0TH0019</t>
        </is>
      </c>
      <c r="C49" t="inlineStr">
        <is>
          <t>B0TH019KX</t>
        </is>
      </c>
      <c r="D49" t="inlineStr">
        <is>
          <t>TH-COFCAN-19</t>
        </is>
      </c>
      <c r="E49" t="inlineStr">
        <is>
          <t>Coffee Canister Airtight</t>
        </is>
      </c>
      <c r="F49" t="inlineStr">
        <is>
          <t>Receipts</t>
        </is>
      </c>
      <c r="G49" t="inlineStr">
        <is>
          <t>FBA15TH77196</t>
        </is>
      </c>
      <c r="H49" t="n">
        <v>645</v>
      </c>
      <c r="I49" t="inlineStr">
        <is>
          <t>ONT8</t>
        </is>
      </c>
      <c r="J49" t="inlineStr">
        <is>
          <t>SELLABLE</t>
        </is>
      </c>
      <c r="L49" t="inlineStr">
        <is>
          <t>US</t>
        </is>
      </c>
      <c r="M49" t="n">
        <v>0</v>
      </c>
      <c r="N49" t="n">
        <v>0</v>
      </c>
      <c r="O49">
        <f>IFERROR(VLOOKUP(K49,'Reason codes'!$A$2:$B$40,2,FALSE),"")</f>
        <v/>
      </c>
      <c r="P49">
        <f>IF(AND(ISNUMBER(SEARCH("adjust",F49)),OR(O49="warehouse_lost",O49="warehouse_damaged",O49="carrier_damaged",O49="transit_lost")),"yes","no")</f>
        <v/>
      </c>
      <c r="Q49">
        <f>IF(P49="yes",IF(N49&lt;&gt;"",N49,MAX(0,-H49)),0)</f>
        <v/>
      </c>
    </row>
    <row r="50">
      <c r="A50" t="inlineStr">
        <is>
          <t>2026-06-20</t>
        </is>
      </c>
      <c r="B50" t="inlineStr">
        <is>
          <t>X0TH0004</t>
        </is>
      </c>
      <c r="C50" t="inlineStr">
        <is>
          <t>B0TH004KX</t>
        </is>
      </c>
      <c r="D50" t="inlineStr">
        <is>
          <t>TH-CARSTE-04</t>
        </is>
      </c>
      <c r="E50" t="inlineStr">
        <is>
          <t>Carbon Steel Wok</t>
        </is>
      </c>
      <c r="F50" t="inlineStr">
        <is>
          <t>Adjustments</t>
        </is>
      </c>
      <c r="G50" t="inlineStr">
        <is>
          <t>ADJ-77039</t>
        </is>
      </c>
      <c r="H50" t="n">
        <v>-4</v>
      </c>
      <c r="I50" t="inlineStr">
        <is>
          <t>LAX9</t>
        </is>
      </c>
      <c r="J50" t="inlineStr">
        <is>
          <t>SELLABLE</t>
        </is>
      </c>
      <c r="K50" t="inlineStr">
        <is>
          <t>N</t>
        </is>
      </c>
      <c r="L50" t="inlineStr">
        <is>
          <t>US</t>
        </is>
      </c>
      <c r="M50" t="n">
        <v>0</v>
      </c>
      <c r="N50" t="n">
        <v>4</v>
      </c>
      <c r="O50">
        <f>IFERROR(VLOOKUP(K50,'Reason codes'!$A$2:$B$40,2,FALSE),"")</f>
        <v/>
      </c>
      <c r="P50">
        <f>IF(AND(ISNUMBER(SEARCH("adjust",F50)),OR(O50="warehouse_lost",O50="warehouse_damaged",O50="carrier_damaged",O50="transit_lost")),"yes","no")</f>
        <v/>
      </c>
      <c r="Q50">
        <f>IF(P50="yes",IF(N50&lt;&gt;"",N50,MAX(0,-H50)),0)</f>
        <v/>
      </c>
    </row>
    <row r="51">
      <c r="A51" t="inlineStr">
        <is>
          <t>2026-06-20</t>
        </is>
      </c>
      <c r="B51" t="inlineStr">
        <is>
          <t>X0TH0020</t>
        </is>
      </c>
      <c r="C51" t="inlineStr">
        <is>
          <t>B0TH020KX</t>
        </is>
      </c>
      <c r="D51" t="inlineStr">
        <is>
          <t>TH-TEAINF-20</t>
        </is>
      </c>
      <c r="E51" t="inlineStr">
        <is>
          <t>Tea Infuser Mug</t>
        </is>
      </c>
      <c r="F51" t="inlineStr">
        <is>
          <t>Adjustments</t>
        </is>
      </c>
      <c r="G51" t="inlineStr">
        <is>
          <t>ADJ-77212</t>
        </is>
      </c>
      <c r="H51" t="n">
        <v>-4</v>
      </c>
      <c r="I51" t="inlineStr">
        <is>
          <t>LAX9</t>
        </is>
      </c>
      <c r="J51" t="inlineStr">
        <is>
          <t>SELLABLE</t>
        </is>
      </c>
      <c r="K51" t="inlineStr">
        <is>
          <t>N</t>
        </is>
      </c>
      <c r="L51" t="inlineStr">
        <is>
          <t>US</t>
        </is>
      </c>
      <c r="M51" t="n">
        <v>4</v>
      </c>
      <c r="O51">
        <f>IFERROR(VLOOKUP(K51,'Reason codes'!$A$2:$B$40,2,FALSE),"")</f>
        <v/>
      </c>
      <c r="P51">
        <f>IF(AND(ISNUMBER(SEARCH("adjust",F51)),OR(O51="warehouse_lost",O51="warehouse_damaged",O51="carrier_damaged",O51="transit_lost")),"yes","no")</f>
        <v/>
      </c>
      <c r="Q51">
        <f>IF(P51="yes",IF(N51&lt;&gt;"",N51,MAX(0,-H51)),0)</f>
        <v/>
      </c>
    </row>
    <row r="52">
      <c r="A52" t="inlineStr">
        <is>
          <t>2026-06-22</t>
        </is>
      </c>
      <c r="B52" t="inlineStr">
        <is>
          <t>X0TH0024</t>
        </is>
      </c>
      <c r="C52" t="inlineStr">
        <is>
          <t>B0TH024KX</t>
        </is>
      </c>
      <c r="D52" t="inlineStr">
        <is>
          <t>TH-KITTOW-24</t>
        </is>
      </c>
      <c r="E52" t="inlineStr">
        <is>
          <t>Kitchen Towels Linen 4pk</t>
        </is>
      </c>
      <c r="F52" t="inlineStr">
        <is>
          <t>Adjustments</t>
        </is>
      </c>
      <c r="G52" t="inlineStr">
        <is>
          <t>ADJ-77256</t>
        </is>
      </c>
      <c r="H52" t="n">
        <v>-6</v>
      </c>
      <c r="I52" t="inlineStr">
        <is>
          <t>LAX9</t>
        </is>
      </c>
      <c r="J52" t="inlineStr">
        <is>
          <t>SELLABLE</t>
        </is>
      </c>
      <c r="K52" t="inlineStr">
        <is>
          <t>N</t>
        </is>
      </c>
      <c r="L52" t="inlineStr">
        <is>
          <t>US</t>
        </is>
      </c>
      <c r="M52" t="n">
        <v>6</v>
      </c>
      <c r="O52">
        <f>IFERROR(VLOOKUP(K52,'Reason codes'!$A$2:$B$40,2,FALSE),"")</f>
        <v/>
      </c>
      <c r="P52">
        <f>IF(AND(ISNUMBER(SEARCH("adjust",F52)),OR(O52="warehouse_lost",O52="warehouse_damaged",O52="carrier_damaged",O52="transit_lost")),"yes","no")</f>
        <v/>
      </c>
      <c r="Q52">
        <f>IF(P52="yes",IF(N52&lt;&gt;"",N52,MAX(0,-H52)),0)</f>
        <v/>
      </c>
    </row>
    <row r="53">
      <c r="A53" t="inlineStr">
        <is>
          <t>2026-06-25</t>
        </is>
      </c>
      <c r="B53" t="inlineStr">
        <is>
          <t>X0TH0017</t>
        </is>
      </c>
      <c r="C53" t="inlineStr">
        <is>
          <t>B0TH017KX</t>
        </is>
      </c>
      <c r="D53" t="inlineStr">
        <is>
          <t>TH-FREPRE-17</t>
        </is>
      </c>
      <c r="E53" t="inlineStr">
        <is>
          <t>French Press 34oz</t>
        </is>
      </c>
      <c r="F53" t="inlineStr">
        <is>
          <t>Receipts</t>
        </is>
      </c>
      <c r="G53" t="inlineStr">
        <is>
          <t>FBA15TH77178</t>
        </is>
      </c>
      <c r="H53" t="n">
        <v>585</v>
      </c>
      <c r="I53" t="inlineStr">
        <is>
          <t>LAX9</t>
        </is>
      </c>
      <c r="J53" t="inlineStr">
        <is>
          <t>SELLABLE</t>
        </is>
      </c>
      <c r="L53" t="inlineStr">
        <is>
          <t>US</t>
        </is>
      </c>
      <c r="M53" t="n">
        <v>0</v>
      </c>
      <c r="N53" t="n">
        <v>0</v>
      </c>
      <c r="O53">
        <f>IFERROR(VLOOKUP(K53,'Reason codes'!$A$2:$B$40,2,FALSE),"")</f>
        <v/>
      </c>
      <c r="P53">
        <f>IF(AND(ISNUMBER(SEARCH("adjust",F53)),OR(O53="warehouse_lost",O53="warehouse_damaged",O53="carrier_damaged",O53="transit_lost")),"yes","no")</f>
        <v/>
      </c>
      <c r="Q53">
        <f>IF(P53="yes",IF(N53&lt;&gt;"",N53,MAX(0,-H53)),0)</f>
        <v/>
      </c>
    </row>
    <row r="54">
      <c r="A54" t="inlineStr">
        <is>
          <t>2026-06-27</t>
        </is>
      </c>
      <c r="B54" t="inlineStr">
        <is>
          <t>X0TH0003</t>
        </is>
      </c>
      <c r="C54" t="inlineStr">
        <is>
          <t>B0TH003KX</t>
        </is>
      </c>
      <c r="D54" t="inlineStr">
        <is>
          <t>TH-ENADUT-03</t>
        </is>
      </c>
      <c r="E54" t="inlineStr">
        <is>
          <t>Enamel Dutch Oven 5qt</t>
        </is>
      </c>
      <c r="F54" t="inlineStr">
        <is>
          <t>Receipts</t>
        </is>
      </c>
      <c r="G54" t="inlineStr">
        <is>
          <t>FBA15TH77024</t>
        </is>
      </c>
      <c r="H54" t="n">
        <v>390</v>
      </c>
      <c r="I54" t="inlineStr">
        <is>
          <t>DFW6</t>
        </is>
      </c>
      <c r="J54" t="inlineStr">
        <is>
          <t>SELLABLE</t>
        </is>
      </c>
      <c r="L54" t="inlineStr">
        <is>
          <t>US</t>
        </is>
      </c>
      <c r="M54" t="n">
        <v>0</v>
      </c>
      <c r="N54" t="n">
        <v>0</v>
      </c>
      <c r="O54">
        <f>IFERROR(VLOOKUP(K54,'Reason codes'!$A$2:$B$40,2,FALSE),"")</f>
        <v/>
      </c>
      <c r="P54">
        <f>IF(AND(ISNUMBER(SEARCH("adjust",F54)),OR(O54="warehouse_lost",O54="warehouse_damaged",O54="carrier_damaged",O54="transit_lost")),"yes","no")</f>
        <v/>
      </c>
      <c r="Q54">
        <f>IF(P54="yes",IF(N54&lt;&gt;"",N54,MAX(0,-H54)),0)</f>
        <v/>
      </c>
    </row>
    <row r="55">
      <c r="A55" t="inlineStr">
        <is>
          <t>2026-07-05</t>
        </is>
      </c>
      <c r="B55" t="inlineStr">
        <is>
          <t>X0TH0007</t>
        </is>
      </c>
      <c r="C55" t="inlineStr">
        <is>
          <t>B0TH007KX</t>
        </is>
      </c>
      <c r="D55" t="inlineStr">
        <is>
          <t>TH-WALSER-07</t>
        </is>
      </c>
      <c r="E55" t="inlineStr">
        <is>
          <t>Walnut Serving Tray</t>
        </is>
      </c>
      <c r="F55" t="inlineStr">
        <is>
          <t>Adjustments</t>
        </is>
      </c>
      <c r="G55" t="inlineStr">
        <is>
          <t>ADJ-77069</t>
        </is>
      </c>
      <c r="H55" t="n">
        <v>-9</v>
      </c>
      <c r="I55" t="inlineStr">
        <is>
          <t>ONT8</t>
        </is>
      </c>
      <c r="J55" t="inlineStr">
        <is>
          <t>DAMAGED</t>
        </is>
      </c>
      <c r="K55" t="inlineStr">
        <is>
          <t>K</t>
        </is>
      </c>
      <c r="L55" t="inlineStr">
        <is>
          <t>US</t>
        </is>
      </c>
      <c r="M55" t="n">
        <v>9</v>
      </c>
      <c r="O55">
        <f>IFERROR(VLOOKUP(K55,'Reason codes'!$A$2:$B$40,2,FALSE),"")</f>
        <v/>
      </c>
      <c r="P55">
        <f>IF(AND(ISNUMBER(SEARCH("adjust",F55)),OR(O55="warehouse_lost",O55="warehouse_damaged",O55="carrier_damaged",O55="transit_lost")),"yes","no")</f>
        <v/>
      </c>
      <c r="Q55">
        <f>IF(P55="yes",IF(N55&lt;&gt;"",N55,MAX(0,-H55)),0)</f>
        <v/>
      </c>
    </row>
    <row r="56">
      <c r="A56" t="inlineStr">
        <is>
          <t>2026-07-05</t>
        </is>
      </c>
      <c r="B56" t="inlineStr">
        <is>
          <t>X0TH0008</t>
        </is>
      </c>
      <c r="C56" t="inlineStr">
        <is>
          <t>B0TH008KX</t>
        </is>
      </c>
      <c r="D56" t="inlineStr">
        <is>
          <t>TH-CHEKNI-08</t>
        </is>
      </c>
      <c r="E56" t="inlineStr">
        <is>
          <t>Chef Knife 8in</t>
        </is>
      </c>
      <c r="F56" t="inlineStr">
        <is>
          <t>Adjustments</t>
        </is>
      </c>
      <c r="G56" t="inlineStr">
        <is>
          <t>ADJ-77079</t>
        </is>
      </c>
      <c r="H56" t="n">
        <v>-6</v>
      </c>
      <c r="I56" t="inlineStr">
        <is>
          <t>DFW6</t>
        </is>
      </c>
      <c r="J56" t="inlineStr">
        <is>
          <t>DAMAGED</t>
        </is>
      </c>
      <c r="K56" t="inlineStr">
        <is>
          <t>H</t>
        </is>
      </c>
      <c r="L56" t="inlineStr">
        <is>
          <t>US</t>
        </is>
      </c>
      <c r="M56" t="n">
        <v>6</v>
      </c>
      <c r="O56">
        <f>IFERROR(VLOOKUP(K56,'Reason codes'!$A$2:$B$40,2,FALSE),"")</f>
        <v/>
      </c>
      <c r="P56">
        <f>IF(AND(ISNUMBER(SEARCH("adjust",F56)),OR(O56="warehouse_lost",O56="warehouse_damaged",O56="carrier_damaged",O56="transit_lost")),"yes","no")</f>
        <v/>
      </c>
      <c r="Q56">
        <f>IF(P56="yes",IF(N56&lt;&gt;"",N56,MAX(0,-H56)),0)</f>
        <v/>
      </c>
    </row>
    <row r="57">
      <c r="A57" t="inlineStr">
        <is>
          <t>2026-07-05</t>
        </is>
      </c>
      <c r="B57" t="inlineStr">
        <is>
          <t>X0TH0018</t>
        </is>
      </c>
      <c r="C57" t="inlineStr">
        <is>
          <t>B0TH018KX</t>
        </is>
      </c>
      <c r="D57" t="inlineStr">
        <is>
          <t>TH-POUOVE-18</t>
        </is>
      </c>
      <c r="E57" t="inlineStr">
        <is>
          <t>Pour Over Kettle Gooseneck</t>
        </is>
      </c>
      <c r="F57" t="inlineStr">
        <is>
          <t>Receipts</t>
        </is>
      </c>
      <c r="G57" t="inlineStr">
        <is>
          <t>FBA15TH77188</t>
        </is>
      </c>
      <c r="H57" t="n">
        <v>360</v>
      </c>
      <c r="I57" t="inlineStr">
        <is>
          <t>LAX9</t>
        </is>
      </c>
      <c r="J57" t="inlineStr">
        <is>
          <t>SELLABLE</t>
        </is>
      </c>
      <c r="L57" t="inlineStr">
        <is>
          <t>US</t>
        </is>
      </c>
      <c r="M57" t="n">
        <v>0</v>
      </c>
      <c r="N57" t="n">
        <v>0</v>
      </c>
      <c r="O57">
        <f>IFERROR(VLOOKUP(K57,'Reason codes'!$A$2:$B$40,2,FALSE),"")</f>
        <v/>
      </c>
      <c r="P57">
        <f>IF(AND(ISNUMBER(SEARCH("adjust",F57)),OR(O57="warehouse_lost",O57="warehouse_damaged",O57="carrier_damaged",O57="transit_lost")),"yes","no")</f>
        <v/>
      </c>
      <c r="Q57">
        <f>IF(P57="yes",IF(N57&lt;&gt;"",N57,MAX(0,-H57)),0)</f>
        <v/>
      </c>
    </row>
    <row r="58">
      <c r="A58" t="inlineStr">
        <is>
          <t>2026-07-06</t>
        </is>
      </c>
      <c r="B58" t="inlineStr">
        <is>
          <t>X0TH0014</t>
        </is>
      </c>
      <c r="C58" t="inlineStr">
        <is>
          <t>B0TH014KX</t>
        </is>
      </c>
      <c r="D58" t="inlineStr">
        <is>
          <t>TH-MEACUP-14</t>
        </is>
      </c>
      <c r="E58" t="inlineStr">
        <is>
          <t>Measuring Cups Steel</t>
        </is>
      </c>
      <c r="F58" t="inlineStr">
        <is>
          <t>Adjustments</t>
        </is>
      </c>
      <c r="G58" t="inlineStr">
        <is>
          <t>ADJ-77149</t>
        </is>
      </c>
      <c r="H58" t="n">
        <v>-12</v>
      </c>
      <c r="I58" t="inlineStr">
        <is>
          <t>LAX9</t>
        </is>
      </c>
      <c r="J58" t="inlineStr">
        <is>
          <t>DAMAGED</t>
        </is>
      </c>
      <c r="K58" t="inlineStr">
        <is>
          <t>K</t>
        </is>
      </c>
      <c r="L58" t="inlineStr">
        <is>
          <t>US</t>
        </is>
      </c>
      <c r="M58" t="n">
        <v>12</v>
      </c>
      <c r="O58">
        <f>IFERROR(VLOOKUP(K58,'Reason codes'!$A$2:$B$40,2,FALSE),"")</f>
        <v/>
      </c>
      <c r="P58">
        <f>IF(AND(ISNUMBER(SEARCH("adjust",F58)),OR(O58="warehouse_lost",O58="warehouse_damaged",O58="carrier_damaged",O58="transit_lost")),"yes","no")</f>
        <v/>
      </c>
      <c r="Q58">
        <f>IF(P58="yes",IF(N58&lt;&gt;"",N58,MAX(0,-H58)),0)</f>
        <v/>
      </c>
    </row>
    <row r="59">
      <c r="A59" t="inlineStr">
        <is>
          <t>2026-07-06</t>
        </is>
      </c>
      <c r="B59" t="inlineStr">
        <is>
          <t>X0TH0016</t>
        </is>
      </c>
      <c r="C59" t="inlineStr">
        <is>
          <t>B0TH016KX</t>
        </is>
      </c>
      <c r="D59" t="inlineStr">
        <is>
          <t>TH-PEPMIL-16</t>
        </is>
      </c>
      <c r="E59" t="inlineStr">
        <is>
          <t>Pepper Mill Walnut</t>
        </is>
      </c>
      <c r="F59" t="inlineStr">
        <is>
          <t>Adjustments</t>
        </is>
      </c>
      <c r="G59" t="inlineStr">
        <is>
          <t>ADJ-77172</t>
        </is>
      </c>
      <c r="H59" t="n">
        <v>-13</v>
      </c>
      <c r="I59" t="inlineStr">
        <is>
          <t>DFW6</t>
        </is>
      </c>
      <c r="J59" t="inlineStr">
        <is>
          <t>DAMAGED</t>
        </is>
      </c>
      <c r="K59" t="inlineStr">
        <is>
          <t>H</t>
        </is>
      </c>
      <c r="L59" t="inlineStr">
        <is>
          <t>US</t>
        </is>
      </c>
      <c r="M59" t="n">
        <v>13</v>
      </c>
      <c r="O59">
        <f>IFERROR(VLOOKUP(K59,'Reason codes'!$A$2:$B$40,2,FALSE),"")</f>
        <v/>
      </c>
      <c r="P59">
        <f>IF(AND(ISNUMBER(SEARCH("adjust",F59)),OR(O59="warehouse_lost",O59="warehouse_damaged",O59="carrier_damaged",O59="transit_lost")),"yes","no")</f>
        <v/>
      </c>
      <c r="Q59">
        <f>IF(P59="yes",IF(N59&lt;&gt;"",N59,MAX(0,-H59)),0)</f>
        <v/>
      </c>
    </row>
    <row r="60">
      <c r="A60" t="inlineStr">
        <is>
          <t>2026-07-06</t>
        </is>
      </c>
      <c r="B60" t="inlineStr">
        <is>
          <t>X0TH0022</t>
        </is>
      </c>
      <c r="C60" t="inlineStr">
        <is>
          <t>B0TH022KX</t>
        </is>
      </c>
      <c r="D60" t="inlineStr">
        <is>
          <t>TH-OVEMIT-22</t>
        </is>
      </c>
      <c r="E60" t="inlineStr">
        <is>
          <t>Oven Mitts Aramid Pair</t>
        </is>
      </c>
      <c r="F60" t="inlineStr">
        <is>
          <t>Adjustments</t>
        </is>
      </c>
      <c r="G60" t="inlineStr">
        <is>
          <t>ADJ-77234</t>
        </is>
      </c>
      <c r="H60" t="n">
        <v>-4</v>
      </c>
      <c r="I60" t="inlineStr">
        <is>
          <t>DFW6</t>
        </is>
      </c>
      <c r="J60" t="inlineStr">
        <is>
          <t>DAMAGED</t>
        </is>
      </c>
      <c r="K60" t="inlineStr">
        <is>
          <t>H</t>
        </is>
      </c>
      <c r="L60" t="inlineStr">
        <is>
          <t>US</t>
        </is>
      </c>
      <c r="M60" t="n">
        <v>4</v>
      </c>
      <c r="O60">
        <f>IFERROR(VLOOKUP(K60,'Reason codes'!$A$2:$B$40,2,FALSE),"")</f>
        <v/>
      </c>
      <c r="P60">
        <f>IF(AND(ISNUMBER(SEARCH("adjust",F60)),OR(O60="warehouse_lost",O60="warehouse_damaged",O60="carrier_damaged",O60="transit_lost")),"yes","no")</f>
        <v/>
      </c>
      <c r="Q60">
        <f>IF(P60="yes",IF(N60&lt;&gt;"",N60,MAX(0,-H60)),0)</f>
        <v/>
      </c>
    </row>
    <row r="61">
      <c r="A61" t="inlineStr">
        <is>
          <t>2026-07-07</t>
        </is>
      </c>
      <c r="B61" t="inlineStr">
        <is>
          <t>X0TH0010</t>
        </is>
      </c>
      <c r="C61" t="inlineStr">
        <is>
          <t>B0TH010KX</t>
        </is>
      </c>
      <c r="D61" t="inlineStr">
        <is>
          <t>TH-BREKNI-10</t>
        </is>
      </c>
      <c r="E61" t="inlineStr">
        <is>
          <t>Bread Knife 10in</t>
        </is>
      </c>
      <c r="F61" t="inlineStr">
        <is>
          <t>Adjustments</t>
        </is>
      </c>
      <c r="G61" t="inlineStr">
        <is>
          <t>ADJ-77098</t>
        </is>
      </c>
      <c r="H61" t="n">
        <v>-7</v>
      </c>
      <c r="I61" t="inlineStr">
        <is>
          <t>LAX9</t>
        </is>
      </c>
      <c r="J61" t="inlineStr">
        <is>
          <t>SELLABLE</t>
        </is>
      </c>
      <c r="K61" t="inlineStr">
        <is>
          <t>6</t>
        </is>
      </c>
      <c r="L61" t="inlineStr">
        <is>
          <t>US</t>
        </is>
      </c>
      <c r="M61" t="n">
        <v>7</v>
      </c>
      <c r="O61">
        <f>IFERROR(VLOOKUP(K61,'Reason codes'!$A$2:$B$40,2,FALSE),"")</f>
        <v/>
      </c>
      <c r="P61">
        <f>IF(AND(ISNUMBER(SEARCH("adjust",F61)),OR(O61="warehouse_lost",O61="warehouse_damaged",O61="carrier_damaged",O61="transit_lost")),"yes","no")</f>
        <v/>
      </c>
      <c r="Q61">
        <f>IF(P61="yes",IF(N61&lt;&gt;"",N61,MAX(0,-H61)),0)</f>
        <v/>
      </c>
    </row>
    <row r="62">
      <c r="A62" t="inlineStr">
        <is>
          <t>2026-07-07</t>
        </is>
      </c>
      <c r="B62" t="inlineStr">
        <is>
          <t>X0TH0011</t>
        </is>
      </c>
      <c r="C62" t="inlineStr">
        <is>
          <t>B0TH011KX</t>
        </is>
      </c>
      <c r="D62" t="inlineStr">
        <is>
          <t>TH-KNISHA-11</t>
        </is>
      </c>
      <c r="E62" t="inlineStr">
        <is>
          <t>Knife Sharpener Whetstone</t>
        </is>
      </c>
      <c r="F62" t="inlineStr">
        <is>
          <t>Adjustments</t>
        </is>
      </c>
      <c r="G62" t="inlineStr">
        <is>
          <t>ADJ-77112</t>
        </is>
      </c>
      <c r="H62" t="n">
        <v>-4</v>
      </c>
      <c r="I62" t="inlineStr">
        <is>
          <t>DFW6</t>
        </is>
      </c>
      <c r="J62" t="inlineStr">
        <is>
          <t>DAMAGED</t>
        </is>
      </c>
      <c r="K62" t="inlineStr">
        <is>
          <t>K</t>
        </is>
      </c>
      <c r="L62" t="inlineStr">
        <is>
          <t>US</t>
        </is>
      </c>
      <c r="M62" t="n">
        <v>4</v>
      </c>
      <c r="O62">
        <f>IFERROR(VLOOKUP(K62,'Reason codes'!$A$2:$B$40,2,FALSE),"")</f>
        <v/>
      </c>
      <c r="P62">
        <f>IF(AND(ISNUMBER(SEARCH("adjust",F62)),OR(O62="warehouse_lost",O62="warehouse_damaged",O62="carrier_damaged",O62="transit_lost")),"yes","no")</f>
        <v/>
      </c>
      <c r="Q62">
        <f>IF(P62="yes",IF(N62&lt;&gt;"",N62,MAX(0,-H62)),0)</f>
        <v/>
      </c>
    </row>
    <row r="63">
      <c r="A63" t="inlineStr">
        <is>
          <t>2026-07-08</t>
        </is>
      </c>
      <c r="B63" t="inlineStr">
        <is>
          <t>X0TH0004</t>
        </is>
      </c>
      <c r="C63" t="inlineStr">
        <is>
          <t>B0TH004KX</t>
        </is>
      </c>
      <c r="D63" t="inlineStr">
        <is>
          <t>TH-CARSTE-04</t>
        </is>
      </c>
      <c r="E63" t="inlineStr">
        <is>
          <t>Carbon Steel Wok</t>
        </is>
      </c>
      <c r="F63" t="inlineStr">
        <is>
          <t>Adjustments</t>
        </is>
      </c>
      <c r="G63" t="inlineStr">
        <is>
          <t>ADJ-77038</t>
        </is>
      </c>
      <c r="H63" t="n">
        <v>-7</v>
      </c>
      <c r="I63" t="inlineStr">
        <is>
          <t>DFW6</t>
        </is>
      </c>
      <c r="J63" t="inlineStr">
        <is>
          <t>SELLABLE</t>
        </is>
      </c>
      <c r="K63" t="inlineStr">
        <is>
          <t>6</t>
        </is>
      </c>
      <c r="L63" t="inlineStr">
        <is>
          <t>US</t>
        </is>
      </c>
      <c r="M63" t="n">
        <v>0</v>
      </c>
      <c r="N63" t="n">
        <v>7</v>
      </c>
      <c r="O63">
        <f>IFERROR(VLOOKUP(K63,'Reason codes'!$A$2:$B$40,2,FALSE),"")</f>
        <v/>
      </c>
      <c r="P63">
        <f>IF(AND(ISNUMBER(SEARCH("adjust",F63)),OR(O63="warehouse_lost",O63="warehouse_damaged",O63="carrier_damaged",O63="transit_lost")),"yes","no")</f>
        <v/>
      </c>
      <c r="Q63">
        <f>IF(P63="yes",IF(N63&lt;&gt;"",N63,MAX(0,-H63)),0)</f>
        <v/>
      </c>
    </row>
    <row r="64">
      <c r="A64" t="inlineStr">
        <is>
          <t>2026-07-08</t>
        </is>
      </c>
      <c r="B64" t="inlineStr">
        <is>
          <t>X0TH0023</t>
        </is>
      </c>
      <c r="C64" t="inlineStr">
        <is>
          <t>B0TH023KX</t>
        </is>
      </c>
      <c r="D64" t="inlineStr">
        <is>
          <t>TH-TRICOR-23</t>
        </is>
      </c>
      <c r="E64" t="inlineStr">
        <is>
          <t>Trivet Cork Set</t>
        </is>
      </c>
      <c r="F64" t="inlineStr">
        <is>
          <t>Receipts</t>
        </is>
      </c>
      <c r="G64" t="inlineStr">
        <is>
          <t>FBA15TH77242</t>
        </is>
      </c>
      <c r="H64" t="n">
        <v>915</v>
      </c>
      <c r="I64" t="inlineStr">
        <is>
          <t>ONT8</t>
        </is>
      </c>
      <c r="J64" t="inlineStr">
        <is>
          <t>SELLABLE</t>
        </is>
      </c>
      <c r="L64" t="inlineStr">
        <is>
          <t>US</t>
        </is>
      </c>
      <c r="M64" t="n">
        <v>0</v>
      </c>
      <c r="N64" t="n">
        <v>0</v>
      </c>
      <c r="O64">
        <f>IFERROR(VLOOKUP(K64,'Reason codes'!$A$2:$B$40,2,FALSE),"")</f>
        <v/>
      </c>
      <c r="P64">
        <f>IF(AND(ISNUMBER(SEARCH("adjust",F64)),OR(O64="warehouse_lost",O64="warehouse_damaged",O64="carrier_damaged",O64="transit_lost")),"yes","no")</f>
        <v/>
      </c>
      <c r="Q64">
        <f>IF(P64="yes",IF(N64&lt;&gt;"",N64,MAX(0,-H64)),0)</f>
        <v/>
      </c>
    </row>
    <row r="65">
      <c r="A65" t="inlineStr">
        <is>
          <t>2026-07-09</t>
        </is>
      </c>
      <c r="B65" t="inlineStr">
        <is>
          <t>X0TH0022</t>
        </is>
      </c>
      <c r="C65" t="inlineStr">
        <is>
          <t>B0TH022KX</t>
        </is>
      </c>
      <c r="D65" t="inlineStr">
        <is>
          <t>TH-OVEMIT-22</t>
        </is>
      </c>
      <c r="E65" t="inlineStr">
        <is>
          <t>Oven Mitts Aramid Pair</t>
        </is>
      </c>
      <c r="F65" t="inlineStr">
        <is>
          <t>Adjustments</t>
        </is>
      </c>
      <c r="G65" t="inlineStr">
        <is>
          <t>ADJ-77232</t>
        </is>
      </c>
      <c r="H65" t="n">
        <v>-19</v>
      </c>
      <c r="I65" t="inlineStr">
        <is>
          <t>MDW2</t>
        </is>
      </c>
      <c r="J65" t="inlineStr">
        <is>
          <t>SELLABLE</t>
        </is>
      </c>
      <c r="K65" t="inlineStr">
        <is>
          <t>M</t>
        </is>
      </c>
      <c r="L65" t="inlineStr">
        <is>
          <t>US</t>
        </is>
      </c>
      <c r="M65" t="n">
        <v>19</v>
      </c>
      <c r="O65">
        <f>IFERROR(VLOOKUP(K65,'Reason codes'!$A$2:$B$40,2,FALSE),"")</f>
        <v/>
      </c>
      <c r="P65">
        <f>IF(AND(ISNUMBER(SEARCH("adjust",F65)),OR(O65="warehouse_lost",O65="warehouse_damaged",O65="carrier_damaged",O65="transit_lost")),"yes","no")</f>
        <v/>
      </c>
      <c r="Q65">
        <f>IF(P65="yes",IF(N65&lt;&gt;"",N65,MAX(0,-H65)),0)</f>
        <v/>
      </c>
    </row>
    <row r="66">
      <c r="A66" t="inlineStr">
        <is>
          <t>2026-07-10</t>
        </is>
      </c>
      <c r="B66" t="inlineStr">
        <is>
          <t>X0TH0003</t>
        </is>
      </c>
      <c r="C66" t="inlineStr">
        <is>
          <t>B0TH003KX</t>
        </is>
      </c>
      <c r="D66" t="inlineStr">
        <is>
          <t>TH-ENADUT-03</t>
        </is>
      </c>
      <c r="E66" t="inlineStr">
        <is>
          <t>Enamel Dutch Oven 5qt</t>
        </is>
      </c>
      <c r="F66" t="inlineStr">
        <is>
          <t>Adjustments</t>
        </is>
      </c>
      <c r="G66" t="inlineStr">
        <is>
          <t>ADJ-77028</t>
        </is>
      </c>
      <c r="H66" t="n">
        <v>-8</v>
      </c>
      <c r="I66" t="inlineStr">
        <is>
          <t>LAX9</t>
        </is>
      </c>
      <c r="J66" t="inlineStr">
        <is>
          <t>DAMAGED</t>
        </is>
      </c>
      <c r="K66" t="inlineStr">
        <is>
          <t>H</t>
        </is>
      </c>
      <c r="L66" t="inlineStr">
        <is>
          <t>US</t>
        </is>
      </c>
      <c r="M66" t="n">
        <v>8</v>
      </c>
      <c r="O66">
        <f>IFERROR(VLOOKUP(K66,'Reason codes'!$A$2:$B$40,2,FALSE),"")</f>
        <v/>
      </c>
      <c r="P66">
        <f>IF(AND(ISNUMBER(SEARCH("adjust",F66)),OR(O66="warehouse_lost",O66="warehouse_damaged",O66="carrier_damaged",O66="transit_lost")),"yes","no")</f>
        <v/>
      </c>
      <c r="Q66">
        <f>IF(P66="yes",IF(N66&lt;&gt;"",N66,MAX(0,-H66)),0)</f>
        <v/>
      </c>
    </row>
    <row r="67">
      <c r="A67" t="inlineStr">
        <is>
          <t>2026-07-10</t>
        </is>
      </c>
      <c r="B67" t="inlineStr">
        <is>
          <t>X0TH0005</t>
        </is>
      </c>
      <c r="C67" t="inlineStr">
        <is>
          <t>B0TH005KX</t>
        </is>
      </c>
      <c r="D67" t="inlineStr">
        <is>
          <t>TH-BAMCUT-05</t>
        </is>
      </c>
      <c r="E67" t="inlineStr">
        <is>
          <t>Bamboo Cutting Board L</t>
        </is>
      </c>
      <c r="F67" t="inlineStr">
        <is>
          <t>Adjustments</t>
        </is>
      </c>
      <c r="G67" t="inlineStr">
        <is>
          <t>ADJ-77049</t>
        </is>
      </c>
      <c r="H67" t="n">
        <v>-6</v>
      </c>
      <c r="I67" t="inlineStr">
        <is>
          <t>MDW2</t>
        </is>
      </c>
      <c r="J67" t="inlineStr">
        <is>
          <t>DAMAGED</t>
        </is>
      </c>
      <c r="K67" t="inlineStr">
        <is>
          <t>H</t>
        </is>
      </c>
      <c r="L67" t="inlineStr">
        <is>
          <t>US</t>
        </is>
      </c>
      <c r="M67" t="n">
        <v>6</v>
      </c>
      <c r="O67">
        <f>IFERROR(VLOOKUP(K67,'Reason codes'!$A$2:$B$40,2,FALSE),"")</f>
        <v/>
      </c>
      <c r="P67">
        <f>IF(AND(ISNUMBER(SEARCH("adjust",F67)),OR(O67="warehouse_lost",O67="warehouse_damaged",O67="carrier_damaged",O67="transit_lost")),"yes","no")</f>
        <v/>
      </c>
      <c r="Q67">
        <f>IF(P67="yes",IF(N67&lt;&gt;"",N67,MAX(0,-H67)),0)</f>
        <v/>
      </c>
    </row>
    <row r="68">
      <c r="A68" t="inlineStr">
        <is>
          <t>2026-07-10</t>
        </is>
      </c>
      <c r="B68" t="inlineStr">
        <is>
          <t>X0TH0012</t>
        </is>
      </c>
      <c r="C68" t="inlineStr">
        <is>
          <t>B0TH012KX</t>
        </is>
      </c>
      <c r="D68" t="inlineStr">
        <is>
          <t>TH-STAMIX-12</t>
        </is>
      </c>
      <c r="E68" t="inlineStr">
        <is>
          <t>Stainless Mixing Bowls 5pc</t>
        </is>
      </c>
      <c r="F68" t="inlineStr">
        <is>
          <t>Adjustments</t>
        </is>
      </c>
      <c r="G68" t="inlineStr">
        <is>
          <t>ADJ-77125</t>
        </is>
      </c>
      <c r="H68" t="n">
        <v>-18</v>
      </c>
      <c r="I68" t="inlineStr">
        <is>
          <t>ONT8</t>
        </is>
      </c>
      <c r="J68" t="inlineStr">
        <is>
          <t>SELLABLE</t>
        </is>
      </c>
      <c r="K68" t="inlineStr">
        <is>
          <t>M</t>
        </is>
      </c>
      <c r="L68" t="inlineStr">
        <is>
          <t>US</t>
        </is>
      </c>
      <c r="M68" t="n">
        <v>0</v>
      </c>
      <c r="N68" t="n">
        <v>18</v>
      </c>
      <c r="O68">
        <f>IFERROR(VLOOKUP(K68,'Reason codes'!$A$2:$B$40,2,FALSE),"")</f>
        <v/>
      </c>
      <c r="P68">
        <f>IF(AND(ISNUMBER(SEARCH("adjust",F68)),OR(O68="warehouse_lost",O68="warehouse_damaged",O68="carrier_damaged",O68="transit_lost")),"yes","no")</f>
        <v/>
      </c>
      <c r="Q68">
        <f>IF(P68="yes",IF(N68&lt;&gt;"",N68,MAX(0,-H68)),0)</f>
        <v/>
      </c>
    </row>
    <row r="69">
      <c r="A69" t="inlineStr">
        <is>
          <t>2026-07-10</t>
        </is>
      </c>
      <c r="B69" t="inlineStr">
        <is>
          <t>X0TH0017</t>
        </is>
      </c>
      <c r="C69" t="inlineStr">
        <is>
          <t>B0TH017KX</t>
        </is>
      </c>
      <c r="D69" t="inlineStr">
        <is>
          <t>TH-FREPRE-17</t>
        </is>
      </c>
      <c r="E69" t="inlineStr">
        <is>
          <t>French Press 34oz</t>
        </is>
      </c>
      <c r="F69" t="inlineStr">
        <is>
          <t>Adjustments</t>
        </is>
      </c>
      <c r="G69" t="inlineStr">
        <is>
          <t>ADJ-77181</t>
        </is>
      </c>
      <c r="H69" t="n">
        <v>-8</v>
      </c>
      <c r="I69" t="inlineStr">
        <is>
          <t>PHX7</t>
        </is>
      </c>
      <c r="J69" t="inlineStr">
        <is>
          <t>DAMAGED</t>
        </is>
      </c>
      <c r="K69" t="inlineStr">
        <is>
          <t>K</t>
        </is>
      </c>
      <c r="L69" t="inlineStr">
        <is>
          <t>US</t>
        </is>
      </c>
      <c r="M69" t="n">
        <v>8</v>
      </c>
      <c r="O69">
        <f>IFERROR(VLOOKUP(K69,'Reason codes'!$A$2:$B$40,2,FALSE),"")</f>
        <v/>
      </c>
      <c r="P69">
        <f>IF(AND(ISNUMBER(SEARCH("adjust",F69)),OR(O69="warehouse_lost",O69="warehouse_damaged",O69="carrier_damaged",O69="transit_lost")),"yes","no")</f>
        <v/>
      </c>
      <c r="Q69">
        <f>IF(P69="yes",IF(N69&lt;&gt;"",N69,MAX(0,-H69)),0)</f>
        <v/>
      </c>
    </row>
    <row r="70">
      <c r="A70" t="inlineStr">
        <is>
          <t>2026-07-10</t>
        </is>
      </c>
      <c r="B70" t="inlineStr">
        <is>
          <t>X0TH0019</t>
        </is>
      </c>
      <c r="C70" t="inlineStr">
        <is>
          <t>B0TH019KX</t>
        </is>
      </c>
      <c r="D70" t="inlineStr">
        <is>
          <t>TH-COFCAN-19</t>
        </is>
      </c>
      <c r="E70" t="inlineStr">
        <is>
          <t>Coffee Canister Airtight</t>
        </is>
      </c>
      <c r="F70" t="inlineStr">
        <is>
          <t>Adjustments</t>
        </is>
      </c>
      <c r="G70" t="inlineStr">
        <is>
          <t>ADJ-77201</t>
        </is>
      </c>
      <c r="H70" t="n">
        <v>-9</v>
      </c>
      <c r="I70" t="inlineStr">
        <is>
          <t>LAX9</t>
        </is>
      </c>
      <c r="J70" t="inlineStr">
        <is>
          <t>DAMAGED</t>
        </is>
      </c>
      <c r="K70" t="inlineStr">
        <is>
          <t>H</t>
        </is>
      </c>
      <c r="L70" t="inlineStr">
        <is>
          <t>US</t>
        </is>
      </c>
      <c r="M70" t="n">
        <v>0</v>
      </c>
      <c r="N70" t="n">
        <v>9</v>
      </c>
      <c r="O70">
        <f>IFERROR(VLOOKUP(K70,'Reason codes'!$A$2:$B$40,2,FALSE),"")</f>
        <v/>
      </c>
      <c r="P70">
        <f>IF(AND(ISNUMBER(SEARCH("adjust",F70)),OR(O70="warehouse_lost",O70="warehouse_damaged",O70="carrier_damaged",O70="transit_lost")),"yes","no")</f>
        <v/>
      </c>
      <c r="Q70">
        <f>IF(P70="yes",IF(N70&lt;&gt;"",N70,MAX(0,-H70)),0)</f>
        <v/>
      </c>
    </row>
    <row r="71">
      <c r="A71" t="inlineStr">
        <is>
          <t>2026-07-10</t>
        </is>
      </c>
      <c r="B71" t="inlineStr">
        <is>
          <t>X0TH0021</t>
        </is>
      </c>
      <c r="C71" t="inlineStr">
        <is>
          <t>B0TH021KX</t>
        </is>
      </c>
      <c r="D71" t="inlineStr">
        <is>
          <t>TH-APRWAX-21</t>
        </is>
      </c>
      <c r="E71" t="inlineStr">
        <is>
          <t>Apron Waxed Canvas</t>
        </is>
      </c>
      <c r="F71" t="inlineStr">
        <is>
          <t>Adjustments</t>
        </is>
      </c>
      <c r="G71" t="inlineStr">
        <is>
          <t>ADJ-77222</t>
        </is>
      </c>
      <c r="H71" t="n">
        <v>-21</v>
      </c>
      <c r="I71" t="inlineStr">
        <is>
          <t>MDW2</t>
        </is>
      </c>
      <c r="J71" t="inlineStr">
        <is>
          <t>SELLABLE</t>
        </is>
      </c>
      <c r="K71" t="inlineStr">
        <is>
          <t>M</t>
        </is>
      </c>
      <c r="L71" t="inlineStr">
        <is>
          <t>US</t>
        </is>
      </c>
      <c r="M71" t="n">
        <v>21</v>
      </c>
      <c r="O71">
        <f>IFERROR(VLOOKUP(K71,'Reason codes'!$A$2:$B$40,2,FALSE),"")</f>
        <v/>
      </c>
      <c r="P71">
        <f>IF(AND(ISNUMBER(SEARCH("adjust",F71)),OR(O71="warehouse_lost",O71="warehouse_damaged",O71="carrier_damaged",O71="transit_lost")),"yes","no")</f>
        <v/>
      </c>
      <c r="Q71">
        <f>IF(P71="yes",IF(N71&lt;&gt;"",N71,MAX(0,-H71)),0)</f>
        <v/>
      </c>
    </row>
    <row r="72">
      <c r="A72" t="inlineStr">
        <is>
          <t>2026-07-10</t>
        </is>
      </c>
      <c r="B72" t="inlineStr">
        <is>
          <t>X0TH0023</t>
        </is>
      </c>
      <c r="C72" t="inlineStr">
        <is>
          <t>B0TH023KX</t>
        </is>
      </c>
      <c r="D72" t="inlineStr">
        <is>
          <t>TH-TRICOR-23</t>
        </is>
      </c>
      <c r="E72" t="inlineStr">
        <is>
          <t>Trivet Cork Set</t>
        </is>
      </c>
      <c r="F72" t="inlineStr">
        <is>
          <t>Adjustments</t>
        </is>
      </c>
      <c r="G72" t="inlineStr">
        <is>
          <t>ADJ-77246</t>
        </is>
      </c>
      <c r="H72" t="n">
        <v>-8</v>
      </c>
      <c r="I72" t="inlineStr">
        <is>
          <t>DFW6</t>
        </is>
      </c>
      <c r="J72" t="inlineStr">
        <is>
          <t>DAMAGED</t>
        </is>
      </c>
      <c r="K72" t="inlineStr">
        <is>
          <t>K</t>
        </is>
      </c>
      <c r="L72" t="inlineStr">
        <is>
          <t>US</t>
        </is>
      </c>
      <c r="M72" t="n">
        <v>8</v>
      </c>
      <c r="O72">
        <f>IFERROR(VLOOKUP(K72,'Reason codes'!$A$2:$B$40,2,FALSE),"")</f>
        <v/>
      </c>
      <c r="P72">
        <f>IF(AND(ISNUMBER(SEARCH("adjust",F72)),OR(O72="warehouse_lost",O72="warehouse_damaged",O72="carrier_damaged",O72="transit_lost")),"yes","no")</f>
        <v/>
      </c>
      <c r="Q72">
        <f>IF(P72="yes",IF(N72&lt;&gt;"",N72,MAX(0,-H72)),0)</f>
        <v/>
      </c>
    </row>
    <row r="73">
      <c r="A73" t="inlineStr">
        <is>
          <t>2026-07-11</t>
        </is>
      </c>
      <c r="B73" t="inlineStr">
        <is>
          <t>X0TH0008</t>
        </is>
      </c>
      <c r="C73" t="inlineStr">
        <is>
          <t>B0TH008KX</t>
        </is>
      </c>
      <c r="D73" t="inlineStr">
        <is>
          <t>TH-CHEKNI-08</t>
        </is>
      </c>
      <c r="E73" t="inlineStr">
        <is>
          <t>Chef Knife 8in</t>
        </is>
      </c>
      <c r="F73" t="inlineStr">
        <is>
          <t>Receipts</t>
        </is>
      </c>
      <c r="G73" t="inlineStr">
        <is>
          <t>FBA15TH77076</t>
        </is>
      </c>
      <c r="H73" t="n">
        <v>675</v>
      </c>
      <c r="I73" t="inlineStr">
        <is>
          <t>LAX9</t>
        </is>
      </c>
      <c r="J73" t="inlineStr">
        <is>
          <t>SELLABLE</t>
        </is>
      </c>
      <c r="L73" t="inlineStr">
        <is>
          <t>US</t>
        </is>
      </c>
      <c r="M73" t="n">
        <v>0</v>
      </c>
      <c r="N73" t="n">
        <v>0</v>
      </c>
      <c r="O73">
        <f>IFERROR(VLOOKUP(K73,'Reason codes'!$A$2:$B$40,2,FALSE),"")</f>
        <v/>
      </c>
      <c r="P73">
        <f>IF(AND(ISNUMBER(SEARCH("adjust",F73)),OR(O73="warehouse_lost",O73="warehouse_damaged",O73="carrier_damaged",O73="transit_lost")),"yes","no")</f>
        <v/>
      </c>
      <c r="Q73">
        <f>IF(P73="yes",IF(N73&lt;&gt;"",N73,MAX(0,-H73)),0)</f>
        <v/>
      </c>
    </row>
    <row r="74">
      <c r="A74" t="inlineStr">
        <is>
          <t>2026-07-11</t>
        </is>
      </c>
      <c r="B74" t="inlineStr">
        <is>
          <t>X0TH0009</t>
        </is>
      </c>
      <c r="C74" t="inlineStr">
        <is>
          <t>B0TH009KX</t>
        </is>
      </c>
      <c r="D74" t="inlineStr">
        <is>
          <t>TH-PARKNI-09</t>
        </is>
      </c>
      <c r="E74" t="inlineStr">
        <is>
          <t>Paring Knife 3.5in</t>
        </is>
      </c>
      <c r="F74" t="inlineStr">
        <is>
          <t>Adjustments</t>
        </is>
      </c>
      <c r="G74" t="inlineStr">
        <is>
          <t>ADJ-77088</t>
        </is>
      </c>
      <c r="H74" t="n">
        <v>-9</v>
      </c>
      <c r="I74" t="inlineStr">
        <is>
          <t>ONT8</t>
        </is>
      </c>
      <c r="J74" t="inlineStr">
        <is>
          <t>DAMAGED</t>
        </is>
      </c>
      <c r="K74" t="inlineStr">
        <is>
          <t>H</t>
        </is>
      </c>
      <c r="L74" t="inlineStr">
        <is>
          <t>US</t>
        </is>
      </c>
      <c r="M74" t="n">
        <v>9</v>
      </c>
      <c r="O74">
        <f>IFERROR(VLOOKUP(K74,'Reason codes'!$A$2:$B$40,2,FALSE),"")</f>
        <v/>
      </c>
      <c r="P74">
        <f>IF(AND(ISNUMBER(SEARCH("adjust",F74)),OR(O74="warehouse_lost",O74="warehouse_damaged",O74="carrier_damaged",O74="transit_lost")),"yes","no")</f>
        <v/>
      </c>
      <c r="Q74">
        <f>IF(P74="yes",IF(N74&lt;&gt;"",N74,MAX(0,-H74)),0)</f>
        <v/>
      </c>
    </row>
    <row r="75">
      <c r="A75" t="inlineStr">
        <is>
          <t>2026-07-11</t>
        </is>
      </c>
      <c r="B75" t="inlineStr">
        <is>
          <t>X0TH0017</t>
        </is>
      </c>
      <c r="C75" t="inlineStr">
        <is>
          <t>B0TH017KX</t>
        </is>
      </c>
      <c r="D75" t="inlineStr">
        <is>
          <t>TH-FREPRE-17</t>
        </is>
      </c>
      <c r="E75" t="inlineStr">
        <is>
          <t>French Press 34oz</t>
        </is>
      </c>
      <c r="F75" t="inlineStr">
        <is>
          <t>Adjustments</t>
        </is>
      </c>
      <c r="G75" t="inlineStr">
        <is>
          <t>ADJ-77179</t>
        </is>
      </c>
      <c r="H75" t="n">
        <v>-16</v>
      </c>
      <c r="I75" t="inlineStr">
        <is>
          <t>DFW6</t>
        </is>
      </c>
      <c r="J75" t="inlineStr">
        <is>
          <t>SELLABLE</t>
        </is>
      </c>
      <c r="K75" t="inlineStr">
        <is>
          <t>M</t>
        </is>
      </c>
      <c r="L75" t="inlineStr">
        <is>
          <t>US</t>
        </is>
      </c>
      <c r="M75" t="n">
        <v>0</v>
      </c>
      <c r="N75" t="n">
        <v>16</v>
      </c>
      <c r="O75">
        <f>IFERROR(VLOOKUP(K75,'Reason codes'!$A$2:$B$40,2,FALSE),"")</f>
        <v/>
      </c>
      <c r="P75">
        <f>IF(AND(ISNUMBER(SEARCH("adjust",F75)),OR(O75="warehouse_lost",O75="warehouse_damaged",O75="carrier_damaged",O75="transit_lost")),"yes","no")</f>
        <v/>
      </c>
      <c r="Q75">
        <f>IF(P75="yes",IF(N75&lt;&gt;"",N75,MAX(0,-H75)),0)</f>
        <v/>
      </c>
    </row>
    <row r="76">
      <c r="A76" t="inlineStr">
        <is>
          <t>2026-07-11</t>
        </is>
      </c>
      <c r="B76" t="inlineStr">
        <is>
          <t>X0TH0018</t>
        </is>
      </c>
      <c r="C76" t="inlineStr">
        <is>
          <t>B0TH018KX</t>
        </is>
      </c>
      <c r="D76" t="inlineStr">
        <is>
          <t>TH-POUOVE-18</t>
        </is>
      </c>
      <c r="E76" t="inlineStr">
        <is>
          <t>Pour Over Kettle Gooseneck</t>
        </is>
      </c>
      <c r="F76" t="inlineStr">
        <is>
          <t>Adjustments</t>
        </is>
      </c>
      <c r="G76" t="inlineStr">
        <is>
          <t>ADJ-77191</t>
        </is>
      </c>
      <c r="H76" t="n">
        <v>-4</v>
      </c>
      <c r="I76" t="inlineStr">
        <is>
          <t>PHX7</t>
        </is>
      </c>
      <c r="J76" t="inlineStr">
        <is>
          <t>SELLABLE</t>
        </is>
      </c>
      <c r="K76" t="inlineStr">
        <is>
          <t>6</t>
        </is>
      </c>
      <c r="L76" t="inlineStr">
        <is>
          <t>US</t>
        </is>
      </c>
      <c r="M76" t="n">
        <v>4</v>
      </c>
      <c r="O76">
        <f>IFERROR(VLOOKUP(K76,'Reason codes'!$A$2:$B$40,2,FALSE),"")</f>
        <v/>
      </c>
      <c r="P76">
        <f>IF(AND(ISNUMBER(SEARCH("adjust",F76)),OR(O76="warehouse_lost",O76="warehouse_damaged",O76="carrier_damaged",O76="transit_lost")),"yes","no")</f>
        <v/>
      </c>
      <c r="Q76">
        <f>IF(P76="yes",IF(N76&lt;&gt;"",N76,MAX(0,-H76)),0)</f>
        <v/>
      </c>
    </row>
    <row r="77">
      <c r="A77" t="inlineStr">
        <is>
          <t>2026-07-11</t>
        </is>
      </c>
      <c r="B77" t="inlineStr">
        <is>
          <t>X0TH0019</t>
        </is>
      </c>
      <c r="C77" t="inlineStr">
        <is>
          <t>B0TH019KX</t>
        </is>
      </c>
      <c r="D77" t="inlineStr">
        <is>
          <t>TH-COFCAN-19</t>
        </is>
      </c>
      <c r="E77" t="inlineStr">
        <is>
          <t>Coffee Canister Airtight</t>
        </is>
      </c>
      <c r="F77" t="inlineStr">
        <is>
          <t>Adjustments</t>
        </is>
      </c>
      <c r="G77" t="inlineStr">
        <is>
          <t>ADJ-77198</t>
        </is>
      </c>
      <c r="H77" t="n">
        <v>-17</v>
      </c>
      <c r="I77" t="inlineStr">
        <is>
          <t>LAX9</t>
        </is>
      </c>
      <c r="J77" t="inlineStr">
        <is>
          <t>SELLABLE</t>
        </is>
      </c>
      <c r="K77" t="inlineStr">
        <is>
          <t>M</t>
        </is>
      </c>
      <c r="L77" t="inlineStr">
        <is>
          <t>US</t>
        </is>
      </c>
      <c r="M77" t="n">
        <v>0</v>
      </c>
      <c r="N77" t="n">
        <v>17</v>
      </c>
      <c r="O77">
        <f>IFERROR(VLOOKUP(K77,'Reason codes'!$A$2:$B$40,2,FALSE),"")</f>
        <v/>
      </c>
      <c r="P77">
        <f>IF(AND(ISNUMBER(SEARCH("adjust",F77)),OR(O77="warehouse_lost",O77="warehouse_damaged",O77="carrier_damaged",O77="transit_lost")),"yes","no")</f>
        <v/>
      </c>
      <c r="Q77">
        <f>IF(P77="yes",IF(N77&lt;&gt;"",N77,MAX(0,-H77)),0)</f>
        <v/>
      </c>
    </row>
    <row r="78">
      <c r="A78" t="inlineStr">
        <is>
          <t>2026-07-11</t>
        </is>
      </c>
      <c r="B78" t="inlineStr">
        <is>
          <t>X0TH0023</t>
        </is>
      </c>
      <c r="C78" t="inlineStr">
        <is>
          <t>B0TH023KX</t>
        </is>
      </c>
      <c r="D78" t="inlineStr">
        <is>
          <t>TH-TRICOR-23</t>
        </is>
      </c>
      <c r="E78" t="inlineStr">
        <is>
          <t>Trivet Cork Set</t>
        </is>
      </c>
      <c r="F78" t="inlineStr">
        <is>
          <t>Adjustments</t>
        </is>
      </c>
      <c r="G78" t="inlineStr">
        <is>
          <t>ADJ-77244</t>
        </is>
      </c>
      <c r="H78" t="n">
        <v>-8</v>
      </c>
      <c r="I78" t="inlineStr">
        <is>
          <t>MDW2</t>
        </is>
      </c>
      <c r="J78" t="inlineStr">
        <is>
          <t>SELLABLE</t>
        </is>
      </c>
      <c r="K78" t="inlineStr">
        <is>
          <t>M</t>
        </is>
      </c>
      <c r="L78" t="inlineStr">
        <is>
          <t>US</t>
        </is>
      </c>
      <c r="M78" t="n">
        <v>8</v>
      </c>
      <c r="O78">
        <f>IFERROR(VLOOKUP(K78,'Reason codes'!$A$2:$B$40,2,FALSE),"")</f>
        <v/>
      </c>
      <c r="P78">
        <f>IF(AND(ISNUMBER(SEARCH("adjust",F78)),OR(O78="warehouse_lost",O78="warehouse_damaged",O78="carrier_damaged",O78="transit_lost")),"yes","no")</f>
        <v/>
      </c>
      <c r="Q78">
        <f>IF(P78="yes",IF(N78&lt;&gt;"",N78,MAX(0,-H78)),0)</f>
        <v/>
      </c>
    </row>
    <row r="79">
      <c r="A79" t="inlineStr">
        <is>
          <t>2026-07-11</t>
        </is>
      </c>
      <c r="B79" t="inlineStr">
        <is>
          <t>X0TH0024</t>
        </is>
      </c>
      <c r="C79" t="inlineStr">
        <is>
          <t>B0TH024KX</t>
        </is>
      </c>
      <c r="D79" t="inlineStr">
        <is>
          <t>TH-KITTOW-24</t>
        </is>
      </c>
      <c r="E79" t="inlineStr">
        <is>
          <t>Kitchen Towels Linen 4pk</t>
        </is>
      </c>
      <c r="F79" t="inlineStr">
        <is>
          <t>Adjustments</t>
        </is>
      </c>
      <c r="G79" t="inlineStr">
        <is>
          <t>ADJ-77255</t>
        </is>
      </c>
      <c r="H79" t="n">
        <v>-9</v>
      </c>
      <c r="I79" t="inlineStr">
        <is>
          <t>LAX9</t>
        </is>
      </c>
      <c r="J79" t="inlineStr">
        <is>
          <t>SELLABLE</t>
        </is>
      </c>
      <c r="K79" t="inlineStr">
        <is>
          <t>6</t>
        </is>
      </c>
      <c r="L79" t="inlineStr">
        <is>
          <t>US</t>
        </is>
      </c>
      <c r="M79" t="n">
        <v>9</v>
      </c>
      <c r="O79">
        <f>IFERROR(VLOOKUP(K79,'Reason codes'!$A$2:$B$40,2,FALSE),"")</f>
        <v/>
      </c>
      <c r="P79">
        <f>IF(AND(ISNUMBER(SEARCH("adjust",F79)),OR(O79="warehouse_lost",O79="warehouse_damaged",O79="carrier_damaged",O79="transit_lost")),"yes","no")</f>
        <v/>
      </c>
      <c r="Q79">
        <f>IF(P79="yes",IF(N79&lt;&gt;"",N79,MAX(0,-H79)),0)</f>
        <v/>
      </c>
    </row>
    <row r="80">
      <c r="A80" t="inlineStr">
        <is>
          <t>2026-07-12</t>
        </is>
      </c>
      <c r="B80" t="inlineStr">
        <is>
          <t>X0TH0002</t>
        </is>
      </c>
      <c r="C80" t="inlineStr">
        <is>
          <t>B0TH002KX</t>
        </is>
      </c>
      <c r="D80" t="inlineStr">
        <is>
          <t>TH-CASIRO-02</t>
        </is>
      </c>
      <c r="E80" t="inlineStr">
        <is>
          <t>Cast Iron Skillet 12in</t>
        </is>
      </c>
      <c r="F80" t="inlineStr">
        <is>
          <t>Adjustments</t>
        </is>
      </c>
      <c r="G80" t="inlineStr">
        <is>
          <t>ADJ-77013</t>
        </is>
      </c>
      <c r="H80" t="n">
        <v>-13</v>
      </c>
      <c r="I80" t="inlineStr">
        <is>
          <t>DFW6</t>
        </is>
      </c>
      <c r="J80" t="inlineStr">
        <is>
          <t>SELLABLE</t>
        </is>
      </c>
      <c r="K80" t="inlineStr">
        <is>
          <t>6</t>
        </is>
      </c>
      <c r="L80" t="inlineStr">
        <is>
          <t>US</t>
        </is>
      </c>
      <c r="M80" t="n">
        <v>13</v>
      </c>
      <c r="O80">
        <f>IFERROR(VLOOKUP(K80,'Reason codes'!$A$2:$B$40,2,FALSE),"")</f>
        <v/>
      </c>
      <c r="P80">
        <f>IF(AND(ISNUMBER(SEARCH("adjust",F80)),OR(O80="warehouse_lost",O80="warehouse_damaged",O80="carrier_damaged",O80="transit_lost")),"yes","no")</f>
        <v/>
      </c>
      <c r="Q80">
        <f>IF(P80="yes",IF(N80&lt;&gt;"",N80,MAX(0,-H80)),0)</f>
        <v/>
      </c>
    </row>
    <row r="81">
      <c r="A81" t="inlineStr">
        <is>
          <t>2026-07-13</t>
        </is>
      </c>
      <c r="B81" t="inlineStr">
        <is>
          <t>X0TH0009</t>
        </is>
      </c>
      <c r="C81" t="inlineStr">
        <is>
          <t>B0TH009KX</t>
        </is>
      </c>
      <c r="D81" t="inlineStr">
        <is>
          <t>TH-PARKNI-09</t>
        </is>
      </c>
      <c r="E81" t="inlineStr">
        <is>
          <t>Paring Knife 3.5in</t>
        </is>
      </c>
      <c r="F81" t="inlineStr">
        <is>
          <t>Adjustments</t>
        </is>
      </c>
      <c r="G81" t="inlineStr">
        <is>
          <t>ADJ-77087</t>
        </is>
      </c>
      <c r="H81" t="n">
        <v>-25</v>
      </c>
      <c r="I81" t="inlineStr">
        <is>
          <t>MDW2</t>
        </is>
      </c>
      <c r="J81" t="inlineStr">
        <is>
          <t>SELLABLE</t>
        </is>
      </c>
      <c r="K81" t="inlineStr">
        <is>
          <t>M</t>
        </is>
      </c>
      <c r="L81" t="inlineStr">
        <is>
          <t>US</t>
        </is>
      </c>
      <c r="M81" t="n">
        <v>0</v>
      </c>
      <c r="N81" t="n">
        <v>25</v>
      </c>
      <c r="O81">
        <f>IFERROR(VLOOKUP(K81,'Reason codes'!$A$2:$B$40,2,FALSE),"")</f>
        <v/>
      </c>
      <c r="P81">
        <f>IF(AND(ISNUMBER(SEARCH("adjust",F81)),OR(O81="warehouse_lost",O81="warehouse_damaged",O81="carrier_damaged",O81="transit_lost")),"yes","no")</f>
        <v/>
      </c>
      <c r="Q81">
        <f>IF(P81="yes",IF(N81&lt;&gt;"",N81,MAX(0,-H81)),0)</f>
        <v/>
      </c>
    </row>
    <row r="82">
      <c r="A82" t="inlineStr">
        <is>
          <t>2026-07-13</t>
        </is>
      </c>
      <c r="B82" t="inlineStr">
        <is>
          <t>X0TH0022</t>
        </is>
      </c>
      <c r="C82" t="inlineStr">
        <is>
          <t>B0TH022KX</t>
        </is>
      </c>
      <c r="D82" t="inlineStr">
        <is>
          <t>TH-OVEMIT-22</t>
        </is>
      </c>
      <c r="E82" t="inlineStr">
        <is>
          <t>Oven Mitts Aramid Pair</t>
        </is>
      </c>
      <c r="F82" t="inlineStr">
        <is>
          <t>Receipts</t>
        </is>
      </c>
      <c r="G82" t="inlineStr">
        <is>
          <t>FBA15TH77231</t>
        </is>
      </c>
      <c r="H82" t="n">
        <v>780</v>
      </c>
      <c r="I82" t="inlineStr">
        <is>
          <t>DFW6</t>
        </is>
      </c>
      <c r="J82" t="inlineStr">
        <is>
          <t>SELLABLE</t>
        </is>
      </c>
      <c r="L82" t="inlineStr">
        <is>
          <t>US</t>
        </is>
      </c>
      <c r="M82" t="n">
        <v>0</v>
      </c>
      <c r="N82" t="n">
        <v>0</v>
      </c>
      <c r="O82">
        <f>IFERROR(VLOOKUP(K82,'Reason codes'!$A$2:$B$40,2,FALSE),"")</f>
        <v/>
      </c>
      <c r="P82">
        <f>IF(AND(ISNUMBER(SEARCH("adjust",F82)),OR(O82="warehouse_lost",O82="warehouse_damaged",O82="carrier_damaged",O82="transit_lost")),"yes","no")</f>
        <v/>
      </c>
      <c r="Q82">
        <f>IF(P82="yes",IF(N82&lt;&gt;"",N82,MAX(0,-H82)),0)</f>
        <v/>
      </c>
    </row>
    <row r="83">
      <c r="A83" t="inlineStr">
        <is>
          <t>2026-07-14</t>
        </is>
      </c>
      <c r="B83" t="inlineStr">
        <is>
          <t>X0TH0006</t>
        </is>
      </c>
      <c r="C83" t="inlineStr">
        <is>
          <t>B0TH006KX</t>
        </is>
      </c>
      <c r="D83" t="inlineStr">
        <is>
          <t>TH-BAMCUT-06</t>
        </is>
      </c>
      <c r="E83" t="inlineStr">
        <is>
          <t>Bamboo Cutting Board M</t>
        </is>
      </c>
      <c r="F83" t="inlineStr">
        <is>
          <t>Receipts</t>
        </is>
      </c>
      <c r="G83" t="inlineStr">
        <is>
          <t>FBA15TH77054</t>
        </is>
      </c>
      <c r="H83" t="n">
        <v>1080</v>
      </c>
      <c r="I83" t="inlineStr">
        <is>
          <t>PHX7</t>
        </is>
      </c>
      <c r="J83" t="inlineStr">
        <is>
          <t>SELLABLE</t>
        </is>
      </c>
      <c r="L83" t="inlineStr">
        <is>
          <t>US</t>
        </is>
      </c>
      <c r="M83" t="n">
        <v>0</v>
      </c>
      <c r="N83" t="n">
        <v>0</v>
      </c>
      <c r="O83">
        <f>IFERROR(VLOOKUP(K83,'Reason codes'!$A$2:$B$40,2,FALSE),"")</f>
        <v/>
      </c>
      <c r="P83">
        <f>IF(AND(ISNUMBER(SEARCH("adjust",F83)),OR(O83="warehouse_lost",O83="warehouse_damaged",O83="carrier_damaged",O83="transit_lost")),"yes","no")</f>
        <v/>
      </c>
      <c r="Q83">
        <f>IF(P83="yes",IF(N83&lt;&gt;"",N83,MAX(0,-H83)),0)</f>
        <v/>
      </c>
    </row>
    <row r="84">
      <c r="A84" t="inlineStr">
        <is>
          <t>2026-07-14</t>
        </is>
      </c>
      <c r="B84" t="inlineStr">
        <is>
          <t>X0TH0008</t>
        </is>
      </c>
      <c r="C84" t="inlineStr">
        <is>
          <t>B0TH008KX</t>
        </is>
      </c>
      <c r="D84" t="inlineStr">
        <is>
          <t>TH-CHEKNI-08</t>
        </is>
      </c>
      <c r="E84" t="inlineStr">
        <is>
          <t>Chef Knife 8in</t>
        </is>
      </c>
      <c r="F84" t="inlineStr">
        <is>
          <t>Adjustments</t>
        </is>
      </c>
      <c r="G84" t="inlineStr">
        <is>
          <t>ADJ-77077</t>
        </is>
      </c>
      <c r="H84" t="n">
        <v>-7</v>
      </c>
      <c r="I84" t="inlineStr">
        <is>
          <t>ONT8</t>
        </is>
      </c>
      <c r="J84" t="inlineStr">
        <is>
          <t>SELLABLE</t>
        </is>
      </c>
      <c r="K84" t="inlineStr">
        <is>
          <t>M</t>
        </is>
      </c>
      <c r="L84" t="inlineStr">
        <is>
          <t>US</t>
        </is>
      </c>
      <c r="M84" t="n">
        <v>0</v>
      </c>
      <c r="N84" t="n">
        <v>7</v>
      </c>
      <c r="O84">
        <f>IFERROR(VLOOKUP(K84,'Reason codes'!$A$2:$B$40,2,FALSE),"")</f>
        <v/>
      </c>
      <c r="P84">
        <f>IF(AND(ISNUMBER(SEARCH("adjust",F84)),OR(O84="warehouse_lost",O84="warehouse_damaged",O84="carrier_damaged",O84="transit_lost")),"yes","no")</f>
        <v/>
      </c>
      <c r="Q84">
        <f>IF(P84="yes",IF(N84&lt;&gt;"",N84,MAX(0,-H84)),0)</f>
        <v/>
      </c>
    </row>
    <row r="85">
      <c r="A85" t="inlineStr">
        <is>
          <t>2026-07-14</t>
        </is>
      </c>
      <c r="B85" t="inlineStr">
        <is>
          <t>X0TH0020</t>
        </is>
      </c>
      <c r="C85" t="inlineStr">
        <is>
          <t>B0TH020KX</t>
        </is>
      </c>
      <c r="D85" t="inlineStr">
        <is>
          <t>TH-TEAINF-20</t>
        </is>
      </c>
      <c r="E85" t="inlineStr">
        <is>
          <t>Tea Infuser Mug</t>
        </is>
      </c>
      <c r="F85" t="inlineStr">
        <is>
          <t>Adjustments</t>
        </is>
      </c>
      <c r="G85" t="inlineStr">
        <is>
          <t>ADJ-77210</t>
        </is>
      </c>
      <c r="H85" t="n">
        <v>-14</v>
      </c>
      <c r="I85" t="inlineStr">
        <is>
          <t>LAX9</t>
        </is>
      </c>
      <c r="J85" t="inlineStr">
        <is>
          <t>SELLABLE</t>
        </is>
      </c>
      <c r="K85" t="inlineStr">
        <is>
          <t>M</t>
        </is>
      </c>
      <c r="L85" t="inlineStr">
        <is>
          <t>US</t>
        </is>
      </c>
      <c r="M85" t="n">
        <v>14</v>
      </c>
      <c r="O85">
        <f>IFERROR(VLOOKUP(K85,'Reason codes'!$A$2:$B$40,2,FALSE),"")</f>
        <v/>
      </c>
      <c r="P85">
        <f>IF(AND(ISNUMBER(SEARCH("adjust",F85)),OR(O85="warehouse_lost",O85="warehouse_damaged",O85="carrier_damaged",O85="transit_lost")),"yes","no")</f>
        <v/>
      </c>
      <c r="Q85">
        <f>IF(P85="yes",IF(N85&lt;&gt;"",N85,MAX(0,-H85)),0)</f>
        <v/>
      </c>
    </row>
    <row r="86">
      <c r="A86" t="inlineStr">
        <is>
          <t>2026-07-15</t>
        </is>
      </c>
      <c r="B86" t="inlineStr">
        <is>
          <t>X0TH0014</t>
        </is>
      </c>
      <c r="C86" t="inlineStr">
        <is>
          <t>B0TH014KX</t>
        </is>
      </c>
      <c r="D86" t="inlineStr">
        <is>
          <t>TH-MEACUP-14</t>
        </is>
      </c>
      <c r="E86" t="inlineStr">
        <is>
          <t>Measuring Cups Steel</t>
        </is>
      </c>
      <c r="F86" t="inlineStr">
        <is>
          <t>Adjustments</t>
        </is>
      </c>
      <c r="G86" t="inlineStr">
        <is>
          <t>ADJ-77147</t>
        </is>
      </c>
      <c r="H86" t="n">
        <v>-10</v>
      </c>
      <c r="I86" t="inlineStr">
        <is>
          <t>ONT8</t>
        </is>
      </c>
      <c r="J86" t="inlineStr">
        <is>
          <t>SELLABLE</t>
        </is>
      </c>
      <c r="K86" t="inlineStr">
        <is>
          <t>M</t>
        </is>
      </c>
      <c r="L86" t="inlineStr">
        <is>
          <t>US</t>
        </is>
      </c>
      <c r="M86" t="n">
        <v>10</v>
      </c>
      <c r="O86">
        <f>IFERROR(VLOOKUP(K86,'Reason codes'!$A$2:$B$40,2,FALSE),"")</f>
        <v/>
      </c>
      <c r="P86">
        <f>IF(AND(ISNUMBER(SEARCH("adjust",F86)),OR(O86="warehouse_lost",O86="warehouse_damaged",O86="carrier_damaged",O86="transit_lost")),"yes","no")</f>
        <v/>
      </c>
      <c r="Q86">
        <f>IF(P86="yes",IF(N86&lt;&gt;"",N86,MAX(0,-H86)),0)</f>
        <v/>
      </c>
    </row>
    <row r="87">
      <c r="A87" t="inlineStr">
        <is>
          <t>2026-07-15</t>
        </is>
      </c>
      <c r="B87" t="inlineStr">
        <is>
          <t>X0TH0024</t>
        </is>
      </c>
      <c r="C87" t="inlineStr">
        <is>
          <t>B0TH024KX</t>
        </is>
      </c>
      <c r="D87" t="inlineStr">
        <is>
          <t>TH-KITTOW-24</t>
        </is>
      </c>
      <c r="E87" t="inlineStr">
        <is>
          <t>Kitchen Towels Linen 4pk</t>
        </is>
      </c>
      <c r="F87" t="inlineStr">
        <is>
          <t>Adjustments</t>
        </is>
      </c>
      <c r="G87" t="inlineStr">
        <is>
          <t>ADJ-77253</t>
        </is>
      </c>
      <c r="H87" t="n">
        <v>-20</v>
      </c>
      <c r="I87" t="inlineStr">
        <is>
          <t>DFW6</t>
        </is>
      </c>
      <c r="J87" t="inlineStr">
        <is>
          <t>SELLABLE</t>
        </is>
      </c>
      <c r="K87" t="inlineStr">
        <is>
          <t>M</t>
        </is>
      </c>
      <c r="L87" t="inlineStr">
        <is>
          <t>US</t>
        </is>
      </c>
      <c r="M87" t="n">
        <v>20</v>
      </c>
      <c r="O87">
        <f>IFERROR(VLOOKUP(K87,'Reason codes'!$A$2:$B$40,2,FALSE),"")</f>
        <v/>
      </c>
      <c r="P87">
        <f>IF(AND(ISNUMBER(SEARCH("adjust",F87)),OR(O87="warehouse_lost",O87="warehouse_damaged",O87="carrier_damaged",O87="transit_lost")),"yes","no")</f>
        <v/>
      </c>
      <c r="Q87">
        <f>IF(P87="yes",IF(N87&lt;&gt;"",N87,MAX(0,-H87)),0)</f>
        <v/>
      </c>
    </row>
    <row r="88">
      <c r="A88" t="inlineStr">
        <is>
          <t>2026-07-18</t>
        </is>
      </c>
      <c r="B88" t="inlineStr">
        <is>
          <t>X0TH0006</t>
        </is>
      </c>
      <c r="C88" t="inlineStr">
        <is>
          <t>B0TH006KX</t>
        </is>
      </c>
      <c r="D88" t="inlineStr">
        <is>
          <t>TH-BAMCUT-06</t>
        </is>
      </c>
      <c r="E88" t="inlineStr">
        <is>
          <t>Bamboo Cutting Board M</t>
        </is>
      </c>
      <c r="F88" t="inlineStr">
        <is>
          <t>Adjustments</t>
        </is>
      </c>
      <c r="G88" t="inlineStr">
        <is>
          <t>ADJ-77056</t>
        </is>
      </c>
      <c r="H88" t="n">
        <v>-15</v>
      </c>
      <c r="I88" t="inlineStr">
        <is>
          <t>ONT8</t>
        </is>
      </c>
      <c r="J88" t="inlineStr">
        <is>
          <t>SELLABLE</t>
        </is>
      </c>
      <c r="K88" t="inlineStr">
        <is>
          <t>M</t>
        </is>
      </c>
      <c r="L88" t="inlineStr">
        <is>
          <t>US</t>
        </is>
      </c>
      <c r="M88" t="n">
        <v>0</v>
      </c>
      <c r="N88" t="n">
        <v>15</v>
      </c>
      <c r="O88">
        <f>IFERROR(VLOOKUP(K88,'Reason codes'!$A$2:$B$40,2,FALSE),"")</f>
        <v/>
      </c>
      <c r="P88">
        <f>IF(AND(ISNUMBER(SEARCH("adjust",F88)),OR(O88="warehouse_lost",O88="warehouse_damaged",O88="carrier_damaged",O88="transit_lost")),"yes","no")</f>
        <v/>
      </c>
      <c r="Q88">
        <f>IF(P88="yes",IF(N88&lt;&gt;"",N88,MAX(0,-H88)),0)</f>
        <v/>
      </c>
    </row>
    <row r="89">
      <c r="A89" t="inlineStr">
        <is>
          <t>2026-07-19</t>
        </is>
      </c>
      <c r="B89" t="inlineStr">
        <is>
          <t>X0TH0013</t>
        </is>
      </c>
      <c r="C89" t="inlineStr">
        <is>
          <t>B0TH013KX</t>
        </is>
      </c>
      <c r="D89" t="inlineStr">
        <is>
          <t>TH-SILSPA-13</t>
        </is>
      </c>
      <c r="E89" t="inlineStr">
        <is>
          <t>Silicone Spatula Set</t>
        </is>
      </c>
      <c r="F89" t="inlineStr">
        <is>
          <t>Receipts</t>
        </is>
      </c>
      <c r="G89" t="inlineStr">
        <is>
          <t>FBA15TH77136</t>
        </is>
      </c>
      <c r="H89" t="n">
        <v>1350</v>
      </c>
      <c r="I89" t="inlineStr">
        <is>
          <t>ONT8</t>
        </is>
      </c>
      <c r="J89" t="inlineStr">
        <is>
          <t>SELLABLE</t>
        </is>
      </c>
      <c r="L89" t="inlineStr">
        <is>
          <t>US</t>
        </is>
      </c>
      <c r="M89" t="n">
        <v>0</v>
      </c>
      <c r="N89" t="n">
        <v>0</v>
      </c>
      <c r="O89">
        <f>IFERROR(VLOOKUP(K89,'Reason codes'!$A$2:$B$40,2,FALSE),"")</f>
        <v/>
      </c>
      <c r="P89">
        <f>IF(AND(ISNUMBER(SEARCH("adjust",F89)),OR(O89="warehouse_lost",O89="warehouse_damaged",O89="carrier_damaged",O89="transit_lost")),"yes","no")</f>
        <v/>
      </c>
      <c r="Q89">
        <f>IF(P89="yes",IF(N89&lt;&gt;"",N89,MAX(0,-H89)),0)</f>
        <v/>
      </c>
    </row>
    <row r="90">
      <c r="A90" t="inlineStr">
        <is>
          <t>2026-07-20</t>
        </is>
      </c>
      <c r="B90" t="inlineStr">
        <is>
          <t>X0TH0010</t>
        </is>
      </c>
      <c r="C90" t="inlineStr">
        <is>
          <t>B0TH010KX</t>
        </is>
      </c>
      <c r="D90" t="inlineStr">
        <is>
          <t>TH-BREKNI-10</t>
        </is>
      </c>
      <c r="E90" t="inlineStr">
        <is>
          <t>Bread Knife 10in</t>
        </is>
      </c>
      <c r="F90" t="inlineStr">
        <is>
          <t>Adjustments</t>
        </is>
      </c>
      <c r="G90" t="inlineStr">
        <is>
          <t>ADJ-77100</t>
        </is>
      </c>
      <c r="H90" t="n">
        <v>-1</v>
      </c>
      <c r="I90" t="inlineStr">
        <is>
          <t>PHX7</t>
        </is>
      </c>
      <c r="J90" t="inlineStr">
        <is>
          <t>CUSTOMER_DAMAGED</t>
        </is>
      </c>
      <c r="K90" t="inlineStr">
        <is>
          <t>E</t>
        </is>
      </c>
      <c r="L90" t="inlineStr">
        <is>
          <t>US</t>
        </is>
      </c>
      <c r="M90" t="n">
        <v>1</v>
      </c>
      <c r="N90" t="n">
        <v>0</v>
      </c>
      <c r="O90">
        <f>IFERROR(VLOOKUP(K90,'Reason codes'!$A$2:$B$40,2,FALSE),"")</f>
        <v/>
      </c>
      <c r="P90">
        <f>IF(AND(ISNUMBER(SEARCH("adjust",F90)),OR(O90="warehouse_lost",O90="warehouse_damaged",O90="carrier_damaged",O90="transit_lost")),"yes","no")</f>
        <v/>
      </c>
      <c r="Q90">
        <f>IF(P90="yes",IF(N90&lt;&gt;"",N90,MAX(0,-H90)),0)</f>
        <v/>
      </c>
    </row>
    <row r="91">
      <c r="A91" t="inlineStr">
        <is>
          <t>2026-07-20</t>
        </is>
      </c>
      <c r="B91" t="inlineStr">
        <is>
          <t>X0TH0011</t>
        </is>
      </c>
      <c r="C91" t="inlineStr">
        <is>
          <t>B0TH011KX</t>
        </is>
      </c>
      <c r="D91" t="inlineStr">
        <is>
          <t>TH-KNISHA-11</t>
        </is>
      </c>
      <c r="E91" t="inlineStr">
        <is>
          <t>Knife Sharpener Whetstone</t>
        </is>
      </c>
      <c r="F91" t="inlineStr">
        <is>
          <t>Adjustments</t>
        </is>
      </c>
      <c r="G91" t="inlineStr">
        <is>
          <t>ADJ-77110</t>
        </is>
      </c>
      <c r="H91" t="n">
        <v>-4</v>
      </c>
      <c r="I91" t="inlineStr">
        <is>
          <t>PHX7</t>
        </is>
      </c>
      <c r="J91" t="inlineStr">
        <is>
          <t>SELLABLE</t>
        </is>
      </c>
      <c r="K91" t="inlineStr">
        <is>
          <t>M</t>
        </is>
      </c>
      <c r="L91" t="inlineStr">
        <is>
          <t>US</t>
        </is>
      </c>
      <c r="M91" t="n">
        <v>4</v>
      </c>
      <c r="O91">
        <f>IFERROR(VLOOKUP(K91,'Reason codes'!$A$2:$B$40,2,FALSE),"")</f>
        <v/>
      </c>
      <c r="P91">
        <f>IF(AND(ISNUMBER(SEARCH("adjust",F91)),OR(O91="warehouse_lost",O91="warehouse_damaged",O91="carrier_damaged",O91="transit_lost")),"yes","no")</f>
        <v/>
      </c>
      <c r="Q91">
        <f>IF(P91="yes",IF(N91&lt;&gt;"",N91,MAX(0,-H91)),0)</f>
        <v/>
      </c>
    </row>
    <row r="92">
      <c r="A92" t="inlineStr">
        <is>
          <t>2026-07-21</t>
        </is>
      </c>
      <c r="B92" t="inlineStr">
        <is>
          <t>X0TH0009</t>
        </is>
      </c>
      <c r="C92" t="inlineStr">
        <is>
          <t>B0TH009KX</t>
        </is>
      </c>
      <c r="D92" t="inlineStr">
        <is>
          <t>TH-PARKNI-09</t>
        </is>
      </c>
      <c r="E92" t="inlineStr">
        <is>
          <t>Paring Knife 3.5in</t>
        </is>
      </c>
      <c r="F92" t="inlineStr">
        <is>
          <t>Receipts</t>
        </is>
      </c>
      <c r="G92" t="inlineStr">
        <is>
          <t>FBA15TH77085</t>
        </is>
      </c>
      <c r="H92" t="n">
        <v>915</v>
      </c>
      <c r="I92" t="inlineStr">
        <is>
          <t>PHX7</t>
        </is>
      </c>
      <c r="J92" t="inlineStr">
        <is>
          <t>SELLABLE</t>
        </is>
      </c>
      <c r="L92" t="inlineStr">
        <is>
          <t>US</t>
        </is>
      </c>
      <c r="M92" t="n">
        <v>0</v>
      </c>
      <c r="N92" t="n">
        <v>0</v>
      </c>
      <c r="O92">
        <f>IFERROR(VLOOKUP(K92,'Reason codes'!$A$2:$B$40,2,FALSE),"")</f>
        <v/>
      </c>
      <c r="P92">
        <f>IF(AND(ISNUMBER(SEARCH("adjust",F92)),OR(O92="warehouse_lost",O92="warehouse_damaged",O92="carrier_damaged",O92="transit_lost")),"yes","no")</f>
        <v/>
      </c>
      <c r="Q92">
        <f>IF(P92="yes",IF(N92&lt;&gt;"",N92,MAX(0,-H92)),0)</f>
        <v/>
      </c>
    </row>
    <row r="93">
      <c r="A93" t="inlineStr">
        <is>
          <t>2026-07-22</t>
        </is>
      </c>
      <c r="B93" t="inlineStr">
        <is>
          <t>X0TH0017</t>
        </is>
      </c>
      <c r="C93" t="inlineStr">
        <is>
          <t>B0TH017KX</t>
        </is>
      </c>
      <c r="D93" t="inlineStr">
        <is>
          <t>TH-FREPRE-17</t>
        </is>
      </c>
      <c r="E93" t="inlineStr">
        <is>
          <t>French Press 34oz</t>
        </is>
      </c>
      <c r="F93" t="inlineStr">
        <is>
          <t>Adjustments</t>
        </is>
      </c>
      <c r="G93" t="inlineStr">
        <is>
          <t>ADJ-77180</t>
        </is>
      </c>
      <c r="H93" t="n">
        <v>9</v>
      </c>
      <c r="I93" t="inlineStr">
        <is>
          <t>MDW2</t>
        </is>
      </c>
      <c r="J93" t="inlineStr">
        <is>
          <t>SELLABLE</t>
        </is>
      </c>
      <c r="K93" t="inlineStr">
        <is>
          <t>F</t>
        </is>
      </c>
      <c r="L93" t="inlineStr">
        <is>
          <t>US</t>
        </is>
      </c>
      <c r="M93" t="n">
        <v>1</v>
      </c>
      <c r="N93" t="n">
        <v>0</v>
      </c>
      <c r="O93">
        <f>IFERROR(VLOOKUP(K93,'Reason codes'!$A$2:$B$40,2,FALSE),"")</f>
        <v/>
      </c>
      <c r="P93">
        <f>IF(AND(ISNUMBER(SEARCH("adjust",F93)),OR(O93="warehouse_lost",O93="warehouse_damaged",O93="carrier_damaged",O93="transit_lost")),"yes","no")</f>
        <v/>
      </c>
      <c r="Q93">
        <f>IF(P93="yes",IF(N93&lt;&gt;"",N93,MAX(0,-H93)),0)</f>
        <v/>
      </c>
    </row>
    <row r="94">
      <c r="A94" t="inlineStr">
        <is>
          <t>2026-07-23</t>
        </is>
      </c>
      <c r="B94" t="inlineStr">
        <is>
          <t>X0TH0007</t>
        </is>
      </c>
      <c r="C94" t="inlineStr">
        <is>
          <t>B0TH007KX</t>
        </is>
      </c>
      <c r="D94" t="inlineStr">
        <is>
          <t>TH-WALSER-07</t>
        </is>
      </c>
      <c r="E94" t="inlineStr">
        <is>
          <t>Walnut Serving Tray</t>
        </is>
      </c>
      <c r="F94" t="inlineStr">
        <is>
          <t>Adjustments</t>
        </is>
      </c>
      <c r="G94" t="inlineStr">
        <is>
          <t>ADJ-77067</t>
        </is>
      </c>
      <c r="H94" t="n">
        <v>-7</v>
      </c>
      <c r="I94" t="inlineStr">
        <is>
          <t>PHX7</t>
        </is>
      </c>
      <c r="J94" t="inlineStr">
        <is>
          <t>SELLABLE</t>
        </is>
      </c>
      <c r="K94" t="inlineStr">
        <is>
          <t>M</t>
        </is>
      </c>
      <c r="L94" t="inlineStr">
        <is>
          <t>US</t>
        </is>
      </c>
      <c r="M94" t="n">
        <v>0</v>
      </c>
      <c r="N94" t="n">
        <v>7</v>
      </c>
      <c r="O94">
        <f>IFERROR(VLOOKUP(K94,'Reason codes'!$A$2:$B$40,2,FALSE),"")</f>
        <v/>
      </c>
      <c r="P94">
        <f>IF(AND(ISNUMBER(SEARCH("adjust",F94)),OR(O94="warehouse_lost",O94="warehouse_damaged",O94="carrier_damaged",O94="transit_lost")),"yes","no")</f>
        <v/>
      </c>
      <c r="Q94">
        <f>IF(P94="yes",IF(N94&lt;&gt;"",N94,MAX(0,-H94)),0)</f>
        <v/>
      </c>
    </row>
    <row r="95">
      <c r="A95" t="inlineStr">
        <is>
          <t>2026-07-24</t>
        </is>
      </c>
      <c r="B95" t="inlineStr">
        <is>
          <t>X0TH0016</t>
        </is>
      </c>
      <c r="C95" t="inlineStr">
        <is>
          <t>B0TH016KX</t>
        </is>
      </c>
      <c r="D95" t="inlineStr">
        <is>
          <t>TH-PEPMIL-16</t>
        </is>
      </c>
      <c r="E95" t="inlineStr">
        <is>
          <t>Pepper Mill Walnut</t>
        </is>
      </c>
      <c r="F95" t="inlineStr">
        <is>
          <t>Adjustments</t>
        </is>
      </c>
      <c r="G95" t="inlineStr">
        <is>
          <t>ADJ-77170</t>
        </is>
      </c>
      <c r="H95" t="n">
        <v>-18</v>
      </c>
      <c r="I95" t="inlineStr">
        <is>
          <t>ONT8</t>
        </is>
      </c>
      <c r="J95" t="inlineStr">
        <is>
          <t>SELLABLE</t>
        </is>
      </c>
      <c r="K95" t="inlineStr">
        <is>
          <t>M</t>
        </is>
      </c>
      <c r="L95" t="inlineStr">
        <is>
          <t>US</t>
        </is>
      </c>
      <c r="M95" t="n">
        <v>0</v>
      </c>
      <c r="N95" t="n">
        <v>18</v>
      </c>
      <c r="O95">
        <f>IFERROR(VLOOKUP(K95,'Reason codes'!$A$2:$B$40,2,FALSE),"")</f>
        <v/>
      </c>
      <c r="P95">
        <f>IF(AND(ISNUMBER(SEARCH("adjust",F95)),OR(O95="warehouse_lost",O95="warehouse_damaged",O95="carrier_damaged",O95="transit_lost")),"yes","no")</f>
        <v/>
      </c>
      <c r="Q95">
        <f>IF(P95="yes",IF(N95&lt;&gt;"",N95,MAX(0,-H95)),0)</f>
        <v/>
      </c>
    </row>
    <row r="96">
      <c r="A96" t="inlineStr">
        <is>
          <t>2026-07-24</t>
        </is>
      </c>
      <c r="B96" t="inlineStr">
        <is>
          <t>X0TH0018</t>
        </is>
      </c>
      <c r="C96" t="inlineStr">
        <is>
          <t>B0TH018KX</t>
        </is>
      </c>
      <c r="D96" t="inlineStr">
        <is>
          <t>TH-POUOVE-18</t>
        </is>
      </c>
      <c r="E96" t="inlineStr">
        <is>
          <t>Pour Over Kettle Gooseneck</t>
        </is>
      </c>
      <c r="F96" t="inlineStr">
        <is>
          <t>Adjustments</t>
        </is>
      </c>
      <c r="G96" t="inlineStr">
        <is>
          <t>ADJ-77189</t>
        </is>
      </c>
      <c r="H96" t="n">
        <v>-18</v>
      </c>
      <c r="I96" t="inlineStr">
        <is>
          <t>ONT8</t>
        </is>
      </c>
      <c r="J96" t="inlineStr">
        <is>
          <t>SELLABLE</t>
        </is>
      </c>
      <c r="K96" t="inlineStr">
        <is>
          <t>M</t>
        </is>
      </c>
      <c r="L96" t="inlineStr">
        <is>
          <t>US</t>
        </is>
      </c>
      <c r="M96" t="n">
        <v>0</v>
      </c>
      <c r="N96" t="n">
        <v>18</v>
      </c>
      <c r="O96">
        <f>IFERROR(VLOOKUP(K96,'Reason codes'!$A$2:$B$40,2,FALSE),"")</f>
        <v/>
      </c>
      <c r="P96">
        <f>IF(AND(ISNUMBER(SEARCH("adjust",F96)),OR(O96="warehouse_lost",O96="warehouse_damaged",O96="carrier_damaged",O96="transit_lost")),"yes","no")</f>
        <v/>
      </c>
      <c r="Q96">
        <f>IF(P96="yes",IF(N96&lt;&gt;"",N96,MAX(0,-H96)),0)</f>
        <v/>
      </c>
    </row>
    <row r="97">
      <c r="A97" t="inlineStr">
        <is>
          <t>2026-07-27</t>
        </is>
      </c>
      <c r="B97" t="inlineStr">
        <is>
          <t>X0TH0003</t>
        </is>
      </c>
      <c r="C97" t="inlineStr">
        <is>
          <t>B0TH003KX</t>
        </is>
      </c>
      <c r="D97" t="inlineStr">
        <is>
          <t>TH-ENADUT-03</t>
        </is>
      </c>
      <c r="E97" t="inlineStr">
        <is>
          <t>Enamel Dutch Oven 5qt</t>
        </is>
      </c>
      <c r="F97" t="inlineStr">
        <is>
          <t>Adjustments</t>
        </is>
      </c>
      <c r="G97" t="inlineStr">
        <is>
          <t>ADJ-77026</t>
        </is>
      </c>
      <c r="H97" t="n">
        <v>-8</v>
      </c>
      <c r="I97" t="inlineStr">
        <is>
          <t>MDW2</t>
        </is>
      </c>
      <c r="J97" t="inlineStr">
        <is>
          <t>SELLABLE</t>
        </is>
      </c>
      <c r="K97" t="inlineStr">
        <is>
          <t>M</t>
        </is>
      </c>
      <c r="L97" t="inlineStr">
        <is>
          <t>US</t>
        </is>
      </c>
      <c r="M97" t="n">
        <v>8</v>
      </c>
      <c r="O97">
        <f>IFERROR(VLOOKUP(K97,'Reason codes'!$A$2:$B$40,2,FALSE),"")</f>
        <v/>
      </c>
      <c r="P97">
        <f>IF(AND(ISNUMBER(SEARCH("adjust",F97)),OR(O97="warehouse_lost",O97="warehouse_damaged",O97="carrier_damaged",O97="transit_lost")),"yes","no")</f>
        <v/>
      </c>
      <c r="Q97">
        <f>IF(P97="yes",IF(N97&lt;&gt;"",N97,MAX(0,-H97)),0)</f>
        <v/>
      </c>
    </row>
    <row r="98">
      <c r="A98" t="inlineStr">
        <is>
          <t>2026-07-27</t>
        </is>
      </c>
      <c r="B98" t="inlineStr">
        <is>
          <t>X0TH0004</t>
        </is>
      </c>
      <c r="C98" t="inlineStr">
        <is>
          <t>B0TH004KX</t>
        </is>
      </c>
      <c r="D98" t="inlineStr">
        <is>
          <t>TH-CARSTE-04</t>
        </is>
      </c>
      <c r="E98" t="inlineStr">
        <is>
          <t>Carbon Steel Wok</t>
        </is>
      </c>
      <c r="F98" t="inlineStr">
        <is>
          <t>Adjustments</t>
        </is>
      </c>
      <c r="G98" t="inlineStr">
        <is>
          <t>ADJ-77036</t>
        </is>
      </c>
      <c r="H98" t="n">
        <v>-18</v>
      </c>
      <c r="I98" t="inlineStr">
        <is>
          <t>LAX9</t>
        </is>
      </c>
      <c r="J98" t="inlineStr">
        <is>
          <t>SELLABLE</t>
        </is>
      </c>
      <c r="K98" t="inlineStr">
        <is>
          <t>M</t>
        </is>
      </c>
      <c r="L98" t="inlineStr">
        <is>
          <t>US</t>
        </is>
      </c>
      <c r="M98" t="n">
        <v>0</v>
      </c>
      <c r="N98" t="n">
        <v>18</v>
      </c>
      <c r="O98">
        <f>IFERROR(VLOOKUP(K98,'Reason codes'!$A$2:$B$40,2,FALSE),"")</f>
        <v/>
      </c>
      <c r="P98">
        <f>IF(AND(ISNUMBER(SEARCH("adjust",F98)),OR(O98="warehouse_lost",O98="warehouse_damaged",O98="carrier_damaged",O98="transit_lost")),"yes","no")</f>
        <v/>
      </c>
      <c r="Q98">
        <f>IF(P98="yes",IF(N98&lt;&gt;"",N98,MAX(0,-H98)),0)</f>
        <v/>
      </c>
    </row>
    <row r="99">
      <c r="A99" t="inlineStr">
        <is>
          <t>2026-07-27</t>
        </is>
      </c>
      <c r="B99" t="inlineStr">
        <is>
          <t>X0TH0019</t>
        </is>
      </c>
      <c r="C99" t="inlineStr">
        <is>
          <t>B0TH019KX</t>
        </is>
      </c>
      <c r="D99" t="inlineStr">
        <is>
          <t>TH-COFCAN-19</t>
        </is>
      </c>
      <c r="E99" t="inlineStr">
        <is>
          <t>Coffee Canister Airtight</t>
        </is>
      </c>
      <c r="F99" t="inlineStr">
        <is>
          <t>Adjustments</t>
        </is>
      </c>
      <c r="G99" t="inlineStr">
        <is>
          <t>ADJ-77199</t>
        </is>
      </c>
      <c r="H99" t="n">
        <v>7</v>
      </c>
      <c r="I99" t="inlineStr">
        <is>
          <t>DFW6</t>
        </is>
      </c>
      <c r="J99" t="inlineStr">
        <is>
          <t>SELLABLE</t>
        </is>
      </c>
      <c r="K99" t="inlineStr">
        <is>
          <t>F</t>
        </is>
      </c>
      <c r="L99" t="inlineStr">
        <is>
          <t>US</t>
        </is>
      </c>
      <c r="M99" t="n">
        <v>1</v>
      </c>
      <c r="N99" t="n">
        <v>0</v>
      </c>
      <c r="O99">
        <f>IFERROR(VLOOKUP(K99,'Reason codes'!$A$2:$B$40,2,FALSE),"")</f>
        <v/>
      </c>
      <c r="P99">
        <f>IF(AND(ISNUMBER(SEARCH("adjust",F99)),OR(O99="warehouse_lost",O99="warehouse_damaged",O99="carrier_damaged",O99="transit_lost")),"yes","no")</f>
        <v/>
      </c>
      <c r="Q99">
        <f>IF(P99="yes",IF(N99&lt;&gt;"",N99,MAX(0,-H99)),0)</f>
        <v/>
      </c>
    </row>
    <row r="100">
      <c r="A100" t="inlineStr">
        <is>
          <t>2026-07-28</t>
        </is>
      </c>
      <c r="B100" t="inlineStr">
        <is>
          <t>X0TH0015</t>
        </is>
      </c>
      <c r="C100" t="inlineStr">
        <is>
          <t>B0TH015KX</t>
        </is>
      </c>
      <c r="D100" t="inlineStr">
        <is>
          <t>TH-SALCEL-15</t>
        </is>
      </c>
      <c r="E100" t="inlineStr">
        <is>
          <t>Salt Cellar Acacia</t>
        </is>
      </c>
      <c r="F100" t="inlineStr">
        <is>
          <t>Adjustments</t>
        </is>
      </c>
      <c r="G100" t="inlineStr">
        <is>
          <t>ADJ-77161</t>
        </is>
      </c>
      <c r="H100" t="n">
        <v>-20</v>
      </c>
      <c r="I100" t="inlineStr">
        <is>
          <t>LAX9</t>
        </is>
      </c>
      <c r="J100" t="inlineStr">
        <is>
          <t>SELLABLE</t>
        </is>
      </c>
      <c r="K100" t="inlineStr">
        <is>
          <t>M</t>
        </is>
      </c>
      <c r="L100" t="inlineStr">
        <is>
          <t>US</t>
        </is>
      </c>
      <c r="M100" t="n">
        <v>20</v>
      </c>
      <c r="O100">
        <f>IFERROR(VLOOKUP(K100,'Reason codes'!$A$2:$B$40,2,FALSE),"")</f>
        <v/>
      </c>
      <c r="P100">
        <f>IF(AND(ISNUMBER(SEARCH("adjust",F100)),OR(O100="warehouse_lost",O100="warehouse_damaged",O100="carrier_damaged",O100="transit_lost")),"yes","no")</f>
        <v/>
      </c>
      <c r="Q100">
        <f>IF(P100="yes",IF(N100&lt;&gt;"",N100,MAX(0,-H100)),0)</f>
        <v/>
      </c>
    </row>
    <row r="101">
      <c r="A101" t="inlineStr">
        <is>
          <t>2026-07-29</t>
        </is>
      </c>
      <c r="B101" t="inlineStr">
        <is>
          <t>X0TH0014</t>
        </is>
      </c>
      <c r="C101" t="inlineStr">
        <is>
          <t>B0TH014KX</t>
        </is>
      </c>
      <c r="D101" t="inlineStr">
        <is>
          <t>TH-MEACUP-14</t>
        </is>
      </c>
      <c r="E101" t="inlineStr">
        <is>
          <t>Measuring Cups Steel</t>
        </is>
      </c>
      <c r="F101" t="inlineStr">
        <is>
          <t>Adjustments</t>
        </is>
      </c>
      <c r="G101" t="inlineStr">
        <is>
          <t>ADJ-77151</t>
        </is>
      </c>
      <c r="H101" t="n">
        <v>-1</v>
      </c>
      <c r="I101" t="inlineStr">
        <is>
          <t>DFW6</t>
        </is>
      </c>
      <c r="J101" t="inlineStr">
        <is>
          <t>CUSTOMER_DAMAGED</t>
        </is>
      </c>
      <c r="K101" t="inlineStr">
        <is>
          <t>E</t>
        </is>
      </c>
      <c r="L101" t="inlineStr">
        <is>
          <t>US</t>
        </is>
      </c>
      <c r="M101" t="n">
        <v>1</v>
      </c>
      <c r="N101" t="n">
        <v>0</v>
      </c>
      <c r="O101">
        <f>IFERROR(VLOOKUP(K101,'Reason codes'!$A$2:$B$40,2,FALSE),"")</f>
        <v/>
      </c>
      <c r="P101">
        <f>IF(AND(ISNUMBER(SEARCH("adjust",F101)),OR(O101="warehouse_lost",O101="warehouse_damaged",O101="carrier_damaged",O101="transit_lost")),"yes","no")</f>
        <v/>
      </c>
      <c r="Q101">
        <f>IF(P101="yes",IF(N101&lt;&gt;"",N101,MAX(0,-H101)),0)</f>
        <v/>
      </c>
    </row>
    <row r="102">
      <c r="A102" t="inlineStr">
        <is>
          <t>2026-08-04</t>
        </is>
      </c>
      <c r="B102" t="inlineStr">
        <is>
          <t>X0TH0015</t>
        </is>
      </c>
      <c r="C102" t="inlineStr">
        <is>
          <t>B0TH015KX</t>
        </is>
      </c>
      <c r="D102" t="inlineStr">
        <is>
          <t>TH-SALCEL-15</t>
        </is>
      </c>
      <c r="E102" t="inlineStr">
        <is>
          <t>Salt Cellar Acacia</t>
        </is>
      </c>
      <c r="F102" t="inlineStr">
        <is>
          <t>Receipts</t>
        </is>
      </c>
      <c r="G102" t="inlineStr">
        <is>
          <t>FBA15TH77159</t>
        </is>
      </c>
      <c r="H102" t="n">
        <v>525</v>
      </c>
      <c r="I102" t="inlineStr">
        <is>
          <t>DFW6</t>
        </is>
      </c>
      <c r="J102" t="inlineStr">
        <is>
          <t>SELLABLE</t>
        </is>
      </c>
      <c r="L102" t="inlineStr">
        <is>
          <t>US</t>
        </is>
      </c>
      <c r="M102" t="n">
        <v>0</v>
      </c>
      <c r="N102" t="n">
        <v>0</v>
      </c>
      <c r="O102">
        <f>IFERROR(VLOOKUP(K102,'Reason codes'!$A$2:$B$40,2,FALSE),"")</f>
        <v/>
      </c>
      <c r="P102">
        <f>IF(AND(ISNUMBER(SEARCH("adjust",F102)),OR(O102="warehouse_lost",O102="warehouse_damaged",O102="carrier_damaged",O102="transit_lost")),"yes","no")</f>
        <v/>
      </c>
      <c r="Q102">
        <f>IF(P102="yes",IF(N102&lt;&gt;"",N102,MAX(0,-H102)),0)</f>
        <v/>
      </c>
    </row>
    <row r="103">
      <c r="A103" t="inlineStr">
        <is>
          <t>2026-08-04</t>
        </is>
      </c>
      <c r="B103" t="inlineStr">
        <is>
          <t>X0TH0017</t>
        </is>
      </c>
      <c r="C103" t="inlineStr">
        <is>
          <t>B0TH017KX</t>
        </is>
      </c>
      <c r="D103" t="inlineStr">
        <is>
          <t>TH-FREPRE-17</t>
        </is>
      </c>
      <c r="E103" t="inlineStr">
        <is>
          <t>French Press 34oz</t>
        </is>
      </c>
      <c r="F103" t="inlineStr">
        <is>
          <t>Adjustments</t>
        </is>
      </c>
      <c r="G103" t="inlineStr">
        <is>
          <t>ADJ-77182</t>
        </is>
      </c>
      <c r="H103" t="n">
        <v>-1</v>
      </c>
      <c r="I103" t="inlineStr">
        <is>
          <t>MDW2</t>
        </is>
      </c>
      <c r="J103" t="inlineStr">
        <is>
          <t>CUSTOMER_DAMAGED</t>
        </is>
      </c>
      <c r="K103" t="inlineStr">
        <is>
          <t>E</t>
        </is>
      </c>
      <c r="L103" t="inlineStr">
        <is>
          <t>US</t>
        </is>
      </c>
      <c r="M103" t="n">
        <v>1</v>
      </c>
      <c r="N103" t="n">
        <v>0</v>
      </c>
      <c r="O103">
        <f>IFERROR(VLOOKUP(K103,'Reason codes'!$A$2:$B$40,2,FALSE),"")</f>
        <v/>
      </c>
      <c r="P103">
        <f>IF(AND(ISNUMBER(SEARCH("adjust",F103)),OR(O103="warehouse_lost",O103="warehouse_damaged",O103="carrier_damaged",O103="transit_lost")),"yes","no")</f>
        <v/>
      </c>
      <c r="Q103">
        <f>IF(P103="yes",IF(N103&lt;&gt;"",N103,MAX(0,-H103)),0)</f>
        <v/>
      </c>
    </row>
    <row r="104">
      <c r="A104" t="inlineStr">
        <is>
          <t>2026-08-05</t>
        </is>
      </c>
      <c r="B104" t="inlineStr">
        <is>
          <t>X0TH0004</t>
        </is>
      </c>
      <c r="C104" t="inlineStr">
        <is>
          <t>B0TH004KX</t>
        </is>
      </c>
      <c r="D104" t="inlineStr">
        <is>
          <t>TH-CARSTE-04</t>
        </is>
      </c>
      <c r="E104" t="inlineStr">
        <is>
          <t>Carbon Steel Wok</t>
        </is>
      </c>
      <c r="F104" t="inlineStr">
        <is>
          <t>Adjustments</t>
        </is>
      </c>
      <c r="G104" t="inlineStr">
        <is>
          <t>ADJ-77040</t>
        </is>
      </c>
      <c r="H104" t="n">
        <v>-1</v>
      </c>
      <c r="I104" t="inlineStr">
        <is>
          <t>MDW2</t>
        </is>
      </c>
      <c r="J104" t="inlineStr">
        <is>
          <t>CUSTOMER_DAMAGED</t>
        </is>
      </c>
      <c r="K104" t="inlineStr">
        <is>
          <t>E</t>
        </is>
      </c>
      <c r="L104" t="inlineStr">
        <is>
          <t>US</t>
        </is>
      </c>
      <c r="M104" t="n">
        <v>1</v>
      </c>
      <c r="N104" t="n">
        <v>0</v>
      </c>
      <c r="O104">
        <f>IFERROR(VLOOKUP(K104,'Reason codes'!$A$2:$B$40,2,FALSE),"")</f>
        <v/>
      </c>
      <c r="P104">
        <f>IF(AND(ISNUMBER(SEARCH("adjust",F104)),OR(O104="warehouse_lost",O104="warehouse_damaged",O104="carrier_damaged",O104="transit_lost")),"yes","no")</f>
        <v/>
      </c>
      <c r="Q104">
        <f>IF(P104="yes",IF(N104&lt;&gt;"",N104,MAX(0,-H104)),0)</f>
        <v/>
      </c>
    </row>
    <row r="105">
      <c r="A105" t="inlineStr">
        <is>
          <t>2026-08-05</t>
        </is>
      </c>
      <c r="B105" t="inlineStr">
        <is>
          <t>X0TH0006</t>
        </is>
      </c>
      <c r="C105" t="inlineStr">
        <is>
          <t>B0TH006KX</t>
        </is>
      </c>
      <c r="D105" t="inlineStr">
        <is>
          <t>TH-BAMCUT-06</t>
        </is>
      </c>
      <c r="E105" t="inlineStr">
        <is>
          <t>Bamboo Cutting Board M</t>
        </is>
      </c>
      <c r="F105" t="inlineStr">
        <is>
          <t>Adjustments</t>
        </is>
      </c>
      <c r="G105" t="inlineStr">
        <is>
          <t>ADJ-77057</t>
        </is>
      </c>
      <c r="H105" t="n">
        <v>-4</v>
      </c>
      <c r="I105" t="inlineStr">
        <is>
          <t>MDW2</t>
        </is>
      </c>
      <c r="J105" t="inlineStr">
        <is>
          <t>DAMAGED</t>
        </is>
      </c>
      <c r="K105" t="inlineStr">
        <is>
          <t>D</t>
        </is>
      </c>
      <c r="L105" t="inlineStr">
        <is>
          <t>US</t>
        </is>
      </c>
      <c r="M105" t="n">
        <v>0</v>
      </c>
      <c r="N105" t="n">
        <v>4</v>
      </c>
      <c r="O105">
        <f>IFERROR(VLOOKUP(K105,'Reason codes'!$A$2:$B$40,2,FALSE),"")</f>
        <v/>
      </c>
      <c r="P105">
        <f>IF(AND(ISNUMBER(SEARCH("adjust",F105)),OR(O105="warehouse_lost",O105="warehouse_damaged",O105="carrier_damaged",O105="transit_lost")),"yes","no")</f>
        <v/>
      </c>
      <c r="Q105">
        <f>IF(P105="yes",IF(N105&lt;&gt;"",N105,MAX(0,-H105)),0)</f>
        <v/>
      </c>
    </row>
    <row r="106">
      <c r="A106" t="inlineStr">
        <is>
          <t>2026-08-06</t>
        </is>
      </c>
      <c r="B106" t="inlineStr">
        <is>
          <t>X0TH0022</t>
        </is>
      </c>
      <c r="C106" t="inlineStr">
        <is>
          <t>B0TH022KX</t>
        </is>
      </c>
      <c r="D106" t="inlineStr">
        <is>
          <t>TH-OVEMIT-22</t>
        </is>
      </c>
      <c r="E106" t="inlineStr">
        <is>
          <t>Oven Mitts Aramid Pair</t>
        </is>
      </c>
      <c r="F106" t="inlineStr">
        <is>
          <t>Adjustments</t>
        </is>
      </c>
      <c r="G106" t="inlineStr">
        <is>
          <t>ADJ-77233</t>
        </is>
      </c>
      <c r="H106" t="n">
        <v>-8</v>
      </c>
      <c r="I106" t="inlineStr">
        <is>
          <t>ONT8</t>
        </is>
      </c>
      <c r="J106" t="inlineStr">
        <is>
          <t>DAMAGED</t>
        </is>
      </c>
      <c r="K106" t="inlineStr">
        <is>
          <t>Q</t>
        </is>
      </c>
      <c r="L106" t="inlineStr">
        <is>
          <t>US</t>
        </is>
      </c>
      <c r="M106" t="n">
        <v>8</v>
      </c>
      <c r="O106">
        <f>IFERROR(VLOOKUP(K106,'Reason codes'!$A$2:$B$40,2,FALSE),"")</f>
        <v/>
      </c>
      <c r="P106">
        <f>IF(AND(ISNUMBER(SEARCH("adjust",F106)),OR(O106="warehouse_lost",O106="warehouse_damaged",O106="carrier_damaged",O106="transit_lost")),"yes","no")</f>
        <v/>
      </c>
      <c r="Q106">
        <f>IF(P106="yes",IF(N106&lt;&gt;"",N106,MAX(0,-H106)),0)</f>
        <v/>
      </c>
    </row>
    <row r="107">
      <c r="A107" t="inlineStr">
        <is>
          <t>2026-08-07</t>
        </is>
      </c>
      <c r="B107" t="inlineStr">
        <is>
          <t>X0TH0011</t>
        </is>
      </c>
      <c r="C107" t="inlineStr">
        <is>
          <t>B0TH011KX</t>
        </is>
      </c>
      <c r="D107" t="inlineStr">
        <is>
          <t>TH-KNISHA-11</t>
        </is>
      </c>
      <c r="E107" t="inlineStr">
        <is>
          <t>Knife Sharpener Whetstone</t>
        </is>
      </c>
      <c r="F107" t="inlineStr">
        <is>
          <t>Receipts</t>
        </is>
      </c>
      <c r="G107" t="inlineStr">
        <is>
          <t>FBA15TH77109</t>
        </is>
      </c>
      <c r="H107" t="n">
        <v>570</v>
      </c>
      <c r="I107" t="inlineStr">
        <is>
          <t>DFW6</t>
        </is>
      </c>
      <c r="J107" t="inlineStr">
        <is>
          <t>SELLABLE</t>
        </is>
      </c>
      <c r="L107" t="inlineStr">
        <is>
          <t>US</t>
        </is>
      </c>
      <c r="M107" t="n">
        <v>0</v>
      </c>
      <c r="N107" t="n">
        <v>0</v>
      </c>
      <c r="O107">
        <f>IFERROR(VLOOKUP(K107,'Reason codes'!$A$2:$B$40,2,FALSE),"")</f>
        <v/>
      </c>
      <c r="P107">
        <f>IF(AND(ISNUMBER(SEARCH("adjust",F107)),OR(O107="warehouse_lost",O107="warehouse_damaged",O107="carrier_damaged",O107="transit_lost")),"yes","no")</f>
        <v/>
      </c>
      <c r="Q107">
        <f>IF(P107="yes",IF(N107&lt;&gt;"",N107,MAX(0,-H107)),0)</f>
        <v/>
      </c>
    </row>
    <row r="108">
      <c r="A108" t="inlineStr">
        <is>
          <t>2026-08-07</t>
        </is>
      </c>
      <c r="B108" t="inlineStr">
        <is>
          <t>X0TH0012</t>
        </is>
      </c>
      <c r="C108" t="inlineStr">
        <is>
          <t>B0TH012KX</t>
        </is>
      </c>
      <c r="D108" t="inlineStr">
        <is>
          <t>TH-STAMIX-12</t>
        </is>
      </c>
      <c r="E108" t="inlineStr">
        <is>
          <t>Stainless Mixing Bowls 5pc</t>
        </is>
      </c>
      <c r="F108" t="inlineStr">
        <is>
          <t>Adjustments</t>
        </is>
      </c>
      <c r="G108" t="inlineStr">
        <is>
          <t>ADJ-77126</t>
        </is>
      </c>
      <c r="H108" t="n">
        <v>-4</v>
      </c>
      <c r="I108" t="inlineStr">
        <is>
          <t>MDW2</t>
        </is>
      </c>
      <c r="J108" t="inlineStr">
        <is>
          <t>DAMAGED</t>
        </is>
      </c>
      <c r="K108" t="inlineStr">
        <is>
          <t>D</t>
        </is>
      </c>
      <c r="L108" t="inlineStr">
        <is>
          <t>US</t>
        </is>
      </c>
      <c r="M108" t="n">
        <v>0</v>
      </c>
      <c r="N108" t="n">
        <v>4</v>
      </c>
      <c r="O108">
        <f>IFERROR(VLOOKUP(K108,'Reason codes'!$A$2:$B$40,2,FALSE),"")</f>
        <v/>
      </c>
      <c r="P108">
        <f>IF(AND(ISNUMBER(SEARCH("adjust",F108)),OR(O108="warehouse_lost",O108="warehouse_damaged",O108="carrier_damaged",O108="transit_lost")),"yes","no")</f>
        <v/>
      </c>
      <c r="Q108">
        <f>IF(P108="yes",IF(N108&lt;&gt;"",N108,MAX(0,-H108)),0)</f>
        <v/>
      </c>
    </row>
    <row r="109">
      <c r="A109" t="inlineStr">
        <is>
          <t>2026-08-08</t>
        </is>
      </c>
      <c r="B109" t="inlineStr">
        <is>
          <t>X0TH0002</t>
        </is>
      </c>
      <c r="C109" t="inlineStr">
        <is>
          <t>B0TH002KX</t>
        </is>
      </c>
      <c r="D109" t="inlineStr">
        <is>
          <t>TH-CASIRO-02</t>
        </is>
      </c>
      <c r="E109" t="inlineStr">
        <is>
          <t>Cast Iron Skillet 12in</t>
        </is>
      </c>
      <c r="F109" t="inlineStr">
        <is>
          <t>Receipts</t>
        </is>
      </c>
      <c r="G109" t="inlineStr">
        <is>
          <t>FBA15TH77011</t>
        </is>
      </c>
      <c r="H109" t="n">
        <v>615</v>
      </c>
      <c r="I109" t="inlineStr">
        <is>
          <t>DFW6</t>
        </is>
      </c>
      <c r="J109" t="inlineStr">
        <is>
          <t>SELLABLE</t>
        </is>
      </c>
      <c r="L109" t="inlineStr">
        <is>
          <t>US</t>
        </is>
      </c>
      <c r="M109" t="n">
        <v>0</v>
      </c>
      <c r="N109" t="n">
        <v>0</v>
      </c>
      <c r="O109">
        <f>IFERROR(VLOOKUP(K109,'Reason codes'!$A$2:$B$40,2,FALSE),"")</f>
        <v/>
      </c>
      <c r="P109">
        <f>IF(AND(ISNUMBER(SEARCH("adjust",F109)),OR(O109="warehouse_lost",O109="warehouse_damaged",O109="carrier_damaged",O109="transit_lost")),"yes","no")</f>
        <v/>
      </c>
      <c r="Q109">
        <f>IF(P109="yes",IF(N109&lt;&gt;"",N109,MAX(0,-H109)),0)</f>
        <v/>
      </c>
    </row>
    <row r="110">
      <c r="A110" t="inlineStr">
        <is>
          <t>2026-08-09</t>
        </is>
      </c>
      <c r="B110" t="inlineStr">
        <is>
          <t>X0TH0004</t>
        </is>
      </c>
      <c r="C110" t="inlineStr">
        <is>
          <t>B0TH004KX</t>
        </is>
      </c>
      <c r="D110" t="inlineStr">
        <is>
          <t>TH-CARSTE-04</t>
        </is>
      </c>
      <c r="E110" t="inlineStr">
        <is>
          <t>Carbon Steel Wok</t>
        </is>
      </c>
      <c r="F110" t="inlineStr">
        <is>
          <t>Adjustments</t>
        </is>
      </c>
      <c r="G110" t="inlineStr">
        <is>
          <t>ADJ-77037</t>
        </is>
      </c>
      <c r="H110" t="n">
        <v>-2</v>
      </c>
      <c r="I110" t="inlineStr">
        <is>
          <t>MDW2</t>
        </is>
      </c>
      <c r="J110" t="inlineStr">
        <is>
          <t>DAMAGED</t>
        </is>
      </c>
      <c r="K110" t="inlineStr">
        <is>
          <t>D</t>
        </is>
      </c>
      <c r="L110" t="inlineStr">
        <is>
          <t>US</t>
        </is>
      </c>
      <c r="M110" t="n">
        <v>0</v>
      </c>
      <c r="N110" t="n">
        <v>2</v>
      </c>
      <c r="O110">
        <f>IFERROR(VLOOKUP(K110,'Reason codes'!$A$2:$B$40,2,FALSE),"")</f>
        <v/>
      </c>
      <c r="P110">
        <f>IF(AND(ISNUMBER(SEARCH("adjust",F110)),OR(O110="warehouse_lost",O110="warehouse_damaged",O110="carrier_damaged",O110="transit_lost")),"yes","no")</f>
        <v/>
      </c>
      <c r="Q110">
        <f>IF(P110="yes",IF(N110&lt;&gt;"",N110,MAX(0,-H110)),0)</f>
        <v/>
      </c>
    </row>
    <row r="111">
      <c r="A111" t="inlineStr">
        <is>
          <t>2026-08-09</t>
        </is>
      </c>
      <c r="B111" t="inlineStr">
        <is>
          <t>X0TH0013</t>
        </is>
      </c>
      <c r="C111" t="inlineStr">
        <is>
          <t>B0TH013KX</t>
        </is>
      </c>
      <c r="D111" t="inlineStr">
        <is>
          <t>TH-SILSPA-13</t>
        </is>
      </c>
      <c r="E111" t="inlineStr">
        <is>
          <t>Silicone Spatula Set</t>
        </is>
      </c>
      <c r="F111" t="inlineStr">
        <is>
          <t>Adjustments</t>
        </is>
      </c>
      <c r="G111" t="inlineStr">
        <is>
          <t>ADJ-77138</t>
        </is>
      </c>
      <c r="H111" t="n">
        <v>-1</v>
      </c>
      <c r="I111" t="inlineStr">
        <is>
          <t>MDW2</t>
        </is>
      </c>
      <c r="J111" t="inlineStr">
        <is>
          <t>CUSTOMER_DAMAGED</t>
        </is>
      </c>
      <c r="K111" t="inlineStr">
        <is>
          <t>E</t>
        </is>
      </c>
      <c r="L111" t="inlineStr">
        <is>
          <t>US</t>
        </is>
      </c>
      <c r="M111" t="n">
        <v>1</v>
      </c>
      <c r="N111" t="n">
        <v>0</v>
      </c>
      <c r="O111">
        <f>IFERROR(VLOOKUP(K111,'Reason codes'!$A$2:$B$40,2,FALSE),"")</f>
        <v/>
      </c>
      <c r="P111">
        <f>IF(AND(ISNUMBER(SEARCH("adjust",F111)),OR(O111="warehouse_lost",O111="warehouse_damaged",O111="carrier_damaged",O111="transit_lost")),"yes","no")</f>
        <v/>
      </c>
      <c r="Q111">
        <f>IF(P111="yes",IF(N111&lt;&gt;"",N111,MAX(0,-H111)),0)</f>
        <v/>
      </c>
    </row>
    <row r="112">
      <c r="A112" t="inlineStr">
        <is>
          <t>2026-08-09</t>
        </is>
      </c>
      <c r="B112" t="inlineStr">
        <is>
          <t>X0TH0021</t>
        </is>
      </c>
      <c r="C112" t="inlineStr">
        <is>
          <t>B0TH021KX</t>
        </is>
      </c>
      <c r="D112" t="inlineStr">
        <is>
          <t>TH-APRWAX-21</t>
        </is>
      </c>
      <c r="E112" t="inlineStr">
        <is>
          <t>Apron Waxed Canvas</t>
        </is>
      </c>
      <c r="F112" t="inlineStr">
        <is>
          <t>Adjustments</t>
        </is>
      </c>
      <c r="G112" t="inlineStr">
        <is>
          <t>ADJ-77223</t>
        </is>
      </c>
      <c r="H112" t="n">
        <v>-5</v>
      </c>
      <c r="I112" t="inlineStr">
        <is>
          <t>ONT8</t>
        </is>
      </c>
      <c r="J112" t="inlineStr">
        <is>
          <t>DAMAGED</t>
        </is>
      </c>
      <c r="K112" t="inlineStr">
        <is>
          <t>D</t>
        </is>
      </c>
      <c r="L112" t="inlineStr">
        <is>
          <t>US</t>
        </is>
      </c>
      <c r="M112" t="n">
        <v>5</v>
      </c>
      <c r="O112">
        <f>IFERROR(VLOOKUP(K112,'Reason codes'!$A$2:$B$40,2,FALSE),"")</f>
        <v/>
      </c>
      <c r="P112">
        <f>IF(AND(ISNUMBER(SEARCH("adjust",F112)),OR(O112="warehouse_lost",O112="warehouse_damaged",O112="carrier_damaged",O112="transit_lost")),"yes","no")</f>
        <v/>
      </c>
      <c r="Q112">
        <f>IF(P112="yes",IF(N112&lt;&gt;"",N112,MAX(0,-H112)),0)</f>
        <v/>
      </c>
    </row>
    <row r="113">
      <c r="A113" t="inlineStr">
        <is>
          <t>2026-08-10</t>
        </is>
      </c>
      <c r="B113" t="inlineStr">
        <is>
          <t>X0TH0020</t>
        </is>
      </c>
      <c r="C113" t="inlineStr">
        <is>
          <t>B0TH020KX</t>
        </is>
      </c>
      <c r="D113" t="inlineStr">
        <is>
          <t>TH-TEAINF-20</t>
        </is>
      </c>
      <c r="E113" t="inlineStr">
        <is>
          <t>Tea Infuser Mug</t>
        </is>
      </c>
      <c r="F113" t="inlineStr">
        <is>
          <t>Adjustments</t>
        </is>
      </c>
      <c r="G113" t="inlineStr">
        <is>
          <t>ADJ-77211</t>
        </is>
      </c>
      <c r="H113" t="n">
        <v>-6</v>
      </c>
      <c r="I113" t="inlineStr">
        <is>
          <t>MDW2</t>
        </is>
      </c>
      <c r="J113" t="inlineStr">
        <is>
          <t>DAMAGED</t>
        </is>
      </c>
      <c r="K113" t="inlineStr">
        <is>
          <t>Q</t>
        </is>
      </c>
      <c r="L113" t="inlineStr">
        <is>
          <t>US</t>
        </is>
      </c>
      <c r="M113" t="n">
        <v>0</v>
      </c>
      <c r="N113" t="n">
        <v>6</v>
      </c>
      <c r="O113">
        <f>IFERROR(VLOOKUP(K113,'Reason codes'!$A$2:$B$40,2,FALSE),"")</f>
        <v/>
      </c>
      <c r="P113">
        <f>IF(AND(ISNUMBER(SEARCH("adjust",F113)),OR(O113="warehouse_lost",O113="warehouse_damaged",O113="carrier_damaged",O113="transit_lost")),"yes","no")</f>
        <v/>
      </c>
      <c r="Q113">
        <f>IF(P113="yes",IF(N113&lt;&gt;"",N113,MAX(0,-H113)),0)</f>
        <v/>
      </c>
    </row>
    <row r="114">
      <c r="A114" t="inlineStr">
        <is>
          <t>2026-08-11</t>
        </is>
      </c>
      <c r="B114" t="inlineStr">
        <is>
          <t>X0TH0008</t>
        </is>
      </c>
      <c r="C114" t="inlineStr">
        <is>
          <t>B0TH008KX</t>
        </is>
      </c>
      <c r="D114" t="inlineStr">
        <is>
          <t>TH-CHEKNI-08</t>
        </is>
      </c>
      <c r="E114" t="inlineStr">
        <is>
          <t>Chef Knife 8in</t>
        </is>
      </c>
      <c r="F114" t="inlineStr">
        <is>
          <t>Adjustments</t>
        </is>
      </c>
      <c r="G114" t="inlineStr">
        <is>
          <t>ADJ-77078</t>
        </is>
      </c>
      <c r="H114" t="n">
        <v>-7</v>
      </c>
      <c r="I114" t="inlineStr">
        <is>
          <t>PHX7</t>
        </is>
      </c>
      <c r="J114" t="inlineStr">
        <is>
          <t>DAMAGED</t>
        </is>
      </c>
      <c r="K114" t="inlineStr">
        <is>
          <t>Q</t>
        </is>
      </c>
      <c r="L114" t="inlineStr">
        <is>
          <t>US</t>
        </is>
      </c>
      <c r="M114" t="n">
        <v>7</v>
      </c>
      <c r="O114">
        <f>IFERROR(VLOOKUP(K114,'Reason codes'!$A$2:$B$40,2,FALSE),"")</f>
        <v/>
      </c>
      <c r="P114">
        <f>IF(AND(ISNUMBER(SEARCH("adjust",F114)),OR(O114="warehouse_lost",O114="warehouse_damaged",O114="carrier_damaged",O114="transit_lost")),"yes","no")</f>
        <v/>
      </c>
      <c r="Q114">
        <f>IF(P114="yes",IF(N114&lt;&gt;"",N114,MAX(0,-H114)),0)</f>
        <v/>
      </c>
    </row>
    <row r="115">
      <c r="A115" t="inlineStr">
        <is>
          <t>2026-08-11</t>
        </is>
      </c>
      <c r="B115" t="inlineStr">
        <is>
          <t>X0TH0017</t>
        </is>
      </c>
      <c r="C115" t="inlineStr">
        <is>
          <t>B0TH017KX</t>
        </is>
      </c>
      <c r="D115" t="inlineStr">
        <is>
          <t>TH-FREPRE-17</t>
        </is>
      </c>
      <c r="E115" t="inlineStr">
        <is>
          <t>French Press 34oz</t>
        </is>
      </c>
      <c r="F115" t="inlineStr">
        <is>
          <t>Receipts</t>
        </is>
      </c>
      <c r="G115" t="inlineStr">
        <is>
          <t>FBA15TH77177</t>
        </is>
      </c>
      <c r="H115" t="n">
        <v>585</v>
      </c>
      <c r="I115" t="inlineStr">
        <is>
          <t>MDW2</t>
        </is>
      </c>
      <c r="J115" t="inlineStr">
        <is>
          <t>SELLABLE</t>
        </is>
      </c>
      <c r="L115" t="inlineStr">
        <is>
          <t>US</t>
        </is>
      </c>
      <c r="M115" t="n">
        <v>0</v>
      </c>
      <c r="N115" t="n">
        <v>0</v>
      </c>
      <c r="O115">
        <f>IFERROR(VLOOKUP(K115,'Reason codes'!$A$2:$B$40,2,FALSE),"")</f>
        <v/>
      </c>
      <c r="P115">
        <f>IF(AND(ISNUMBER(SEARCH("adjust",F115)),OR(O115="warehouse_lost",O115="warehouse_damaged",O115="carrier_damaged",O115="transit_lost")),"yes","no")</f>
        <v/>
      </c>
      <c r="Q115">
        <f>IF(P115="yes",IF(N115&lt;&gt;"",N115,MAX(0,-H115)),0)</f>
        <v/>
      </c>
    </row>
    <row r="116">
      <c r="A116" t="inlineStr">
        <is>
          <t>2026-08-11</t>
        </is>
      </c>
      <c r="B116" t="inlineStr">
        <is>
          <t>X0TH0019</t>
        </is>
      </c>
      <c r="C116" t="inlineStr">
        <is>
          <t>B0TH019KX</t>
        </is>
      </c>
      <c r="D116" t="inlineStr">
        <is>
          <t>TH-COFCAN-19</t>
        </is>
      </c>
      <c r="E116" t="inlineStr">
        <is>
          <t>Coffee Canister Airtight</t>
        </is>
      </c>
      <c r="F116" t="inlineStr">
        <is>
          <t>Receipts</t>
        </is>
      </c>
      <c r="G116" t="inlineStr">
        <is>
          <t>FBA15TH77197</t>
        </is>
      </c>
      <c r="H116" t="n">
        <v>645</v>
      </c>
      <c r="I116" t="inlineStr">
        <is>
          <t>MDW2</t>
        </is>
      </c>
      <c r="J116" t="inlineStr">
        <is>
          <t>SELLABLE</t>
        </is>
      </c>
      <c r="L116" t="inlineStr">
        <is>
          <t>US</t>
        </is>
      </c>
      <c r="M116" t="n">
        <v>0</v>
      </c>
      <c r="N116" t="n">
        <v>0</v>
      </c>
      <c r="O116">
        <f>IFERROR(VLOOKUP(K116,'Reason codes'!$A$2:$B$40,2,FALSE),"")</f>
        <v/>
      </c>
      <c r="P116">
        <f>IF(AND(ISNUMBER(SEARCH("adjust",F116)),OR(O116="warehouse_lost",O116="warehouse_damaged",O116="carrier_damaged",O116="transit_lost")),"yes","no")</f>
        <v/>
      </c>
      <c r="Q116">
        <f>IF(P116="yes",IF(N116&lt;&gt;"",N116,MAX(0,-H116)),0)</f>
        <v/>
      </c>
    </row>
    <row r="117">
      <c r="A117" t="inlineStr">
        <is>
          <t>2026-08-11</t>
        </is>
      </c>
      <c r="B117" t="inlineStr">
        <is>
          <t>X0TH0019</t>
        </is>
      </c>
      <c r="C117" t="inlineStr">
        <is>
          <t>B0TH019KX</t>
        </is>
      </c>
      <c r="D117" t="inlineStr">
        <is>
          <t>TH-COFCAN-19</t>
        </is>
      </c>
      <c r="E117" t="inlineStr">
        <is>
          <t>Coffee Canister Airtight</t>
        </is>
      </c>
      <c r="F117" t="inlineStr">
        <is>
          <t>Adjustments</t>
        </is>
      </c>
      <c r="G117" t="inlineStr">
        <is>
          <t>ADJ-77200</t>
        </is>
      </c>
      <c r="H117" t="n">
        <v>-6</v>
      </c>
      <c r="I117" t="inlineStr">
        <is>
          <t>DFW6</t>
        </is>
      </c>
      <c r="J117" t="inlineStr">
        <is>
          <t>DAMAGED</t>
        </is>
      </c>
      <c r="K117" t="inlineStr">
        <is>
          <t>D</t>
        </is>
      </c>
      <c r="L117" t="inlineStr">
        <is>
          <t>US</t>
        </is>
      </c>
      <c r="M117" t="n">
        <v>6</v>
      </c>
      <c r="O117">
        <f>IFERROR(VLOOKUP(K117,'Reason codes'!$A$2:$B$40,2,FALSE),"")</f>
        <v/>
      </c>
      <c r="P117">
        <f>IF(AND(ISNUMBER(SEARCH("adjust",F117)),OR(O117="warehouse_lost",O117="warehouse_damaged",O117="carrier_damaged",O117="transit_lost")),"yes","no")</f>
        <v/>
      </c>
      <c r="Q117">
        <f>IF(P117="yes",IF(N117&lt;&gt;"",N117,MAX(0,-H117)),0)</f>
        <v/>
      </c>
    </row>
    <row r="118">
      <c r="A118" t="inlineStr">
        <is>
          <t>2026-08-13</t>
        </is>
      </c>
      <c r="B118" t="inlineStr">
        <is>
          <t>X0TH0005</t>
        </is>
      </c>
      <c r="C118" t="inlineStr">
        <is>
          <t>B0TH005KX</t>
        </is>
      </c>
      <c r="D118" t="inlineStr">
        <is>
          <t>TH-BAMCUT-05</t>
        </is>
      </c>
      <c r="E118" t="inlineStr">
        <is>
          <t>Bamboo Cutting Board L</t>
        </is>
      </c>
      <c r="F118" t="inlineStr">
        <is>
          <t>Adjustments</t>
        </is>
      </c>
      <c r="G118" t="inlineStr">
        <is>
          <t>ADJ-77048</t>
        </is>
      </c>
      <c r="H118" t="n">
        <v>-11</v>
      </c>
      <c r="I118" t="inlineStr">
        <is>
          <t>DFW6</t>
        </is>
      </c>
      <c r="J118" t="inlineStr">
        <is>
          <t>DAMAGED</t>
        </is>
      </c>
      <c r="K118" t="inlineStr">
        <is>
          <t>D</t>
        </is>
      </c>
      <c r="L118" t="inlineStr">
        <is>
          <t>US</t>
        </is>
      </c>
      <c r="M118" t="n">
        <v>11</v>
      </c>
      <c r="O118">
        <f>IFERROR(VLOOKUP(K118,'Reason codes'!$A$2:$B$40,2,FALSE),"")</f>
        <v/>
      </c>
      <c r="P118">
        <f>IF(AND(ISNUMBER(SEARCH("adjust",F118)),OR(O118="warehouse_lost",O118="warehouse_damaged",O118="carrier_damaged",O118="transit_lost")),"yes","no")</f>
        <v/>
      </c>
      <c r="Q118">
        <f>IF(P118="yes",IF(N118&lt;&gt;"",N118,MAX(0,-H118)),0)</f>
        <v/>
      </c>
    </row>
    <row r="119">
      <c r="A119" t="inlineStr">
        <is>
          <t>2026-08-13</t>
        </is>
      </c>
      <c r="B119" t="inlineStr">
        <is>
          <t>X0TH0014</t>
        </is>
      </c>
      <c r="C119" t="inlineStr">
        <is>
          <t>B0TH014KX</t>
        </is>
      </c>
      <c r="D119" t="inlineStr">
        <is>
          <t>TH-MEACUP-14</t>
        </is>
      </c>
      <c r="E119" t="inlineStr">
        <is>
          <t>Measuring Cups Steel</t>
        </is>
      </c>
      <c r="F119" t="inlineStr">
        <is>
          <t>Adjustments</t>
        </is>
      </c>
      <c r="G119" t="inlineStr">
        <is>
          <t>ADJ-77148</t>
        </is>
      </c>
      <c r="H119" t="n">
        <v>-3</v>
      </c>
      <c r="I119" t="inlineStr">
        <is>
          <t>MDW2</t>
        </is>
      </c>
      <c r="J119" t="inlineStr">
        <is>
          <t>DAMAGED</t>
        </is>
      </c>
      <c r="K119" t="inlineStr">
        <is>
          <t>Q</t>
        </is>
      </c>
      <c r="L119" t="inlineStr">
        <is>
          <t>US</t>
        </is>
      </c>
      <c r="M119" t="n">
        <v>0</v>
      </c>
      <c r="N119" t="n">
        <v>3</v>
      </c>
      <c r="O119">
        <f>IFERROR(VLOOKUP(K119,'Reason codes'!$A$2:$B$40,2,FALSE),"")</f>
        <v/>
      </c>
      <c r="P119">
        <f>IF(AND(ISNUMBER(SEARCH("adjust",F119)),OR(O119="warehouse_lost",O119="warehouse_damaged",O119="carrier_damaged",O119="transit_lost")),"yes","no")</f>
        <v/>
      </c>
      <c r="Q119">
        <f>IF(P119="yes",IF(N119&lt;&gt;"",N119,MAX(0,-H119)),0)</f>
        <v/>
      </c>
    </row>
    <row r="120">
      <c r="A120" t="inlineStr">
        <is>
          <t>2026-08-14</t>
        </is>
      </c>
      <c r="B120" t="inlineStr">
        <is>
          <t>X0TH0011</t>
        </is>
      </c>
      <c r="C120" t="inlineStr">
        <is>
          <t>B0TH011KX</t>
        </is>
      </c>
      <c r="D120" t="inlineStr">
        <is>
          <t>TH-KNISHA-11</t>
        </is>
      </c>
      <c r="E120" t="inlineStr">
        <is>
          <t>Knife Sharpener Whetstone</t>
        </is>
      </c>
      <c r="F120" t="inlineStr">
        <is>
          <t>Adjustments</t>
        </is>
      </c>
      <c r="G120" t="inlineStr">
        <is>
          <t>ADJ-77111</t>
        </is>
      </c>
      <c r="H120" t="n">
        <v>-6</v>
      </c>
      <c r="I120" t="inlineStr">
        <is>
          <t>PHX7</t>
        </is>
      </c>
      <c r="J120" t="inlineStr">
        <is>
          <t>DAMAGED</t>
        </is>
      </c>
      <c r="K120" t="inlineStr">
        <is>
          <t>Q</t>
        </is>
      </c>
      <c r="L120" t="inlineStr">
        <is>
          <t>US</t>
        </is>
      </c>
      <c r="M120" t="n">
        <v>6</v>
      </c>
      <c r="O120">
        <f>IFERROR(VLOOKUP(K120,'Reason codes'!$A$2:$B$40,2,FALSE),"")</f>
        <v/>
      </c>
      <c r="P120">
        <f>IF(AND(ISNUMBER(SEARCH("adjust",F120)),OR(O120="warehouse_lost",O120="warehouse_damaged",O120="carrier_damaged",O120="transit_lost")),"yes","no")</f>
        <v/>
      </c>
      <c r="Q120">
        <f>IF(P120="yes",IF(N120&lt;&gt;"",N120,MAX(0,-H120)),0)</f>
        <v/>
      </c>
    </row>
    <row r="121">
      <c r="A121" t="inlineStr">
        <is>
          <t>2026-08-15</t>
        </is>
      </c>
      <c r="B121" t="inlineStr">
        <is>
          <t>X0TH0002</t>
        </is>
      </c>
      <c r="C121" t="inlineStr">
        <is>
          <t>B0TH002KX</t>
        </is>
      </c>
      <c r="D121" t="inlineStr">
        <is>
          <t>TH-CASIRO-02</t>
        </is>
      </c>
      <c r="E121" t="inlineStr">
        <is>
          <t>Cast Iron Skillet 12in</t>
        </is>
      </c>
      <c r="F121" t="inlineStr">
        <is>
          <t>Adjustments</t>
        </is>
      </c>
      <c r="G121" t="inlineStr">
        <is>
          <t>ADJ-77014</t>
        </is>
      </c>
      <c r="H121" t="n">
        <v>-1</v>
      </c>
      <c r="I121" t="inlineStr">
        <is>
          <t>LAX9</t>
        </is>
      </c>
      <c r="J121" t="inlineStr">
        <is>
          <t>CUSTOMER_DAMAGED</t>
        </is>
      </c>
      <c r="K121" t="inlineStr">
        <is>
          <t>E</t>
        </is>
      </c>
      <c r="L121" t="inlineStr">
        <is>
          <t>US</t>
        </is>
      </c>
      <c r="M121" t="n">
        <v>1</v>
      </c>
      <c r="N121" t="n">
        <v>0</v>
      </c>
      <c r="O121">
        <f>IFERROR(VLOOKUP(K121,'Reason codes'!$A$2:$B$40,2,FALSE),"")</f>
        <v/>
      </c>
      <c r="P121">
        <f>IF(AND(ISNUMBER(SEARCH("adjust",F121)),OR(O121="warehouse_lost",O121="warehouse_damaged",O121="carrier_damaged",O121="transit_lost")),"yes","no")</f>
        <v/>
      </c>
      <c r="Q121">
        <f>IF(P121="yes",IF(N121&lt;&gt;"",N121,MAX(0,-H121)),0)</f>
        <v/>
      </c>
    </row>
    <row r="122">
      <c r="A122" t="inlineStr">
        <is>
          <t>2026-08-15</t>
        </is>
      </c>
      <c r="B122" t="inlineStr">
        <is>
          <t>X0TH0007</t>
        </is>
      </c>
      <c r="C122" t="inlineStr">
        <is>
          <t>B0TH007KX</t>
        </is>
      </c>
      <c r="D122" t="inlineStr">
        <is>
          <t>TH-WALSER-07</t>
        </is>
      </c>
      <c r="E122" t="inlineStr">
        <is>
          <t>Walnut Serving Tray</t>
        </is>
      </c>
      <c r="F122" t="inlineStr">
        <is>
          <t>Adjustments</t>
        </is>
      </c>
      <c r="G122" t="inlineStr">
        <is>
          <t>ADJ-77068</t>
        </is>
      </c>
      <c r="H122" t="n">
        <v>-7</v>
      </c>
      <c r="I122" t="inlineStr">
        <is>
          <t>ONT8</t>
        </is>
      </c>
      <c r="J122" t="inlineStr">
        <is>
          <t>DAMAGED</t>
        </is>
      </c>
      <c r="K122" t="inlineStr">
        <is>
          <t>D</t>
        </is>
      </c>
      <c r="L122" t="inlineStr">
        <is>
          <t>US</t>
        </is>
      </c>
      <c r="M122" t="n">
        <v>0</v>
      </c>
      <c r="N122" t="n">
        <v>7</v>
      </c>
      <c r="O122">
        <f>IFERROR(VLOOKUP(K122,'Reason codes'!$A$2:$B$40,2,FALSE),"")</f>
        <v/>
      </c>
      <c r="P122">
        <f>IF(AND(ISNUMBER(SEARCH("adjust",F122)),OR(O122="warehouse_lost",O122="warehouse_damaged",O122="carrier_damaged",O122="transit_lost")),"yes","no")</f>
        <v/>
      </c>
      <c r="Q122">
        <f>IF(P122="yes",IF(N122&lt;&gt;"",N122,MAX(0,-H122)),0)</f>
        <v/>
      </c>
    </row>
    <row r="123">
      <c r="A123" t="inlineStr">
        <is>
          <t>2026-08-15</t>
        </is>
      </c>
      <c r="B123" t="inlineStr">
        <is>
          <t>X0TH0018</t>
        </is>
      </c>
      <c r="C123" t="inlineStr">
        <is>
          <t>B0TH018KX</t>
        </is>
      </c>
      <c r="D123" t="inlineStr">
        <is>
          <t>TH-POUOVE-18</t>
        </is>
      </c>
      <c r="E123" t="inlineStr">
        <is>
          <t>Pour Over Kettle Gooseneck</t>
        </is>
      </c>
      <c r="F123" t="inlineStr">
        <is>
          <t>Adjustments</t>
        </is>
      </c>
      <c r="G123" t="inlineStr">
        <is>
          <t>ADJ-77190</t>
        </is>
      </c>
      <c r="H123" t="n">
        <v>-4</v>
      </c>
      <c r="I123" t="inlineStr">
        <is>
          <t>PHX7</t>
        </is>
      </c>
      <c r="J123" t="inlineStr">
        <is>
          <t>DAMAGED</t>
        </is>
      </c>
      <c r="K123" t="inlineStr">
        <is>
          <t>Q</t>
        </is>
      </c>
      <c r="L123" t="inlineStr">
        <is>
          <t>US</t>
        </is>
      </c>
      <c r="M123" t="n">
        <v>4</v>
      </c>
      <c r="O123">
        <f>IFERROR(VLOOKUP(K123,'Reason codes'!$A$2:$B$40,2,FALSE),"")</f>
        <v/>
      </c>
      <c r="P123">
        <f>IF(AND(ISNUMBER(SEARCH("adjust",F123)),OR(O123="warehouse_lost",O123="warehouse_damaged",O123="carrier_damaged",O123="transit_lost")),"yes","no")</f>
        <v/>
      </c>
      <c r="Q123">
        <f>IF(P123="yes",IF(N123&lt;&gt;"",N123,MAX(0,-H123)),0)</f>
        <v/>
      </c>
    </row>
    <row r="124">
      <c r="A124" t="inlineStr">
        <is>
          <t>2026-08-16</t>
        </is>
      </c>
      <c r="B124" t="inlineStr">
        <is>
          <t>X0TH0002</t>
        </is>
      </c>
      <c r="C124" t="inlineStr">
        <is>
          <t>B0TH002KX</t>
        </is>
      </c>
      <c r="D124" t="inlineStr">
        <is>
          <t>TH-CASIRO-02</t>
        </is>
      </c>
      <c r="E124" t="inlineStr">
        <is>
          <t>Cast Iron Skillet 12in</t>
        </is>
      </c>
      <c r="F124" t="inlineStr">
        <is>
          <t>Adjustments</t>
        </is>
      </c>
      <c r="G124" t="inlineStr">
        <is>
          <t>ADJ-77012</t>
        </is>
      </c>
      <c r="H124" t="n">
        <v>-11</v>
      </c>
      <c r="I124" t="inlineStr">
        <is>
          <t>DFW6</t>
        </is>
      </c>
      <c r="J124" t="inlineStr">
        <is>
          <t>DAMAGED</t>
        </is>
      </c>
      <c r="K124" t="inlineStr">
        <is>
          <t>D</t>
        </is>
      </c>
      <c r="L124" t="inlineStr">
        <is>
          <t>US</t>
        </is>
      </c>
      <c r="M124" t="n">
        <v>0</v>
      </c>
      <c r="N124" t="n">
        <v>11</v>
      </c>
      <c r="O124">
        <f>IFERROR(VLOOKUP(K124,'Reason codes'!$A$2:$B$40,2,FALSE),"")</f>
        <v/>
      </c>
      <c r="P124">
        <f>IF(AND(ISNUMBER(SEARCH("adjust",F124)),OR(O124="warehouse_lost",O124="warehouse_damaged",O124="carrier_damaged",O124="transit_lost")),"yes","no")</f>
        <v/>
      </c>
      <c r="Q124">
        <f>IF(P124="yes",IF(N124&lt;&gt;"",N124,MAX(0,-H124)),0)</f>
        <v/>
      </c>
    </row>
    <row r="125">
      <c r="A125" t="inlineStr">
        <is>
          <t>2026-08-17</t>
        </is>
      </c>
      <c r="B125" t="inlineStr">
        <is>
          <t>X0TH0024</t>
        </is>
      </c>
      <c r="C125" t="inlineStr">
        <is>
          <t>B0TH024KX</t>
        </is>
      </c>
      <c r="D125" t="inlineStr">
        <is>
          <t>TH-KITTOW-24</t>
        </is>
      </c>
      <c r="E125" t="inlineStr">
        <is>
          <t>Kitchen Towels Linen 4pk</t>
        </is>
      </c>
      <c r="F125" t="inlineStr">
        <is>
          <t>Adjustments</t>
        </is>
      </c>
      <c r="G125" t="inlineStr">
        <is>
          <t>ADJ-77254</t>
        </is>
      </c>
      <c r="H125" t="n">
        <v>-4</v>
      </c>
      <c r="I125" t="inlineStr">
        <is>
          <t>MDW2</t>
        </is>
      </c>
      <c r="J125" t="inlineStr">
        <is>
          <t>DAMAGED</t>
        </is>
      </c>
      <c r="K125" t="inlineStr">
        <is>
          <t>Q</t>
        </is>
      </c>
      <c r="L125" t="inlineStr">
        <is>
          <t>US</t>
        </is>
      </c>
      <c r="M125" t="n">
        <v>4</v>
      </c>
      <c r="O125">
        <f>IFERROR(VLOOKUP(K125,'Reason codes'!$A$2:$B$40,2,FALSE),"")</f>
        <v/>
      </c>
      <c r="P125">
        <f>IF(AND(ISNUMBER(SEARCH("adjust",F125)),OR(O125="warehouse_lost",O125="warehouse_damaged",O125="carrier_damaged",O125="transit_lost")),"yes","no")</f>
        <v/>
      </c>
      <c r="Q125">
        <f>IF(P125="yes",IF(N125&lt;&gt;"",N125,MAX(0,-H125)),0)</f>
        <v/>
      </c>
    </row>
    <row r="126">
      <c r="A126" t="inlineStr">
        <is>
          <t>2026-08-18</t>
        </is>
      </c>
      <c r="B126" t="inlineStr">
        <is>
          <t>X0TH0015</t>
        </is>
      </c>
      <c r="C126" t="inlineStr">
        <is>
          <t>B0TH015KX</t>
        </is>
      </c>
      <c r="D126" t="inlineStr">
        <is>
          <t>TH-SALCEL-15</t>
        </is>
      </c>
      <c r="E126" t="inlineStr">
        <is>
          <t>Salt Cellar Acacia</t>
        </is>
      </c>
      <c r="F126" t="inlineStr">
        <is>
          <t>Adjustments</t>
        </is>
      </c>
      <c r="G126" t="inlineStr">
        <is>
          <t>ADJ-77162</t>
        </is>
      </c>
      <c r="H126" t="n">
        <v>-10</v>
      </c>
      <c r="I126" t="inlineStr">
        <is>
          <t>ONT8</t>
        </is>
      </c>
      <c r="J126" t="inlineStr">
        <is>
          <t>DAMAGED</t>
        </is>
      </c>
      <c r="K126" t="inlineStr">
        <is>
          <t>Q</t>
        </is>
      </c>
      <c r="L126" t="inlineStr">
        <is>
          <t>US</t>
        </is>
      </c>
      <c r="M126" t="n">
        <v>10</v>
      </c>
      <c r="O126">
        <f>IFERROR(VLOOKUP(K126,'Reason codes'!$A$2:$B$40,2,FALSE),"")</f>
        <v/>
      </c>
      <c r="P126">
        <f>IF(AND(ISNUMBER(SEARCH("adjust",F126)),OR(O126="warehouse_lost",O126="warehouse_damaged",O126="carrier_damaged",O126="transit_lost")),"yes","no")</f>
        <v/>
      </c>
      <c r="Q126">
        <f>IF(P126="yes",IF(N126&lt;&gt;"",N126,MAX(0,-H126)),0)</f>
        <v/>
      </c>
    </row>
    <row r="127">
      <c r="A127" t="inlineStr">
        <is>
          <t>2026-08-20</t>
        </is>
      </c>
      <c r="B127" t="inlineStr">
        <is>
          <t>X0TH0003</t>
        </is>
      </c>
      <c r="C127" t="inlineStr">
        <is>
          <t>B0TH003KX</t>
        </is>
      </c>
      <c r="D127" t="inlineStr">
        <is>
          <t>TH-ENADUT-03</t>
        </is>
      </c>
      <c r="E127" t="inlineStr">
        <is>
          <t>Enamel Dutch Oven 5qt</t>
        </is>
      </c>
      <c r="F127" t="inlineStr">
        <is>
          <t>Adjustments</t>
        </is>
      </c>
      <c r="G127" t="inlineStr">
        <is>
          <t>ADJ-77027</t>
        </is>
      </c>
      <c r="H127" t="n">
        <v>-10</v>
      </c>
      <c r="I127" t="inlineStr">
        <is>
          <t>LAX9</t>
        </is>
      </c>
      <c r="J127" t="inlineStr">
        <is>
          <t>DAMAGED</t>
        </is>
      </c>
      <c r="K127" t="inlineStr">
        <is>
          <t>Q</t>
        </is>
      </c>
      <c r="L127" t="inlineStr">
        <is>
          <t>US</t>
        </is>
      </c>
      <c r="M127" t="n">
        <v>10</v>
      </c>
      <c r="O127">
        <f>IFERROR(VLOOKUP(K127,'Reason codes'!$A$2:$B$40,2,FALSE),"")</f>
        <v/>
      </c>
      <c r="P127">
        <f>IF(AND(ISNUMBER(SEARCH("adjust",F127)),OR(O127="warehouse_lost",O127="warehouse_damaged",O127="carrier_damaged",O127="transit_lost")),"yes","no")</f>
        <v/>
      </c>
      <c r="Q127">
        <f>IF(P127="yes",IF(N127&lt;&gt;"",N127,MAX(0,-H127)),0)</f>
        <v/>
      </c>
    </row>
    <row r="128">
      <c r="A128" t="inlineStr">
        <is>
          <t>2026-08-20</t>
        </is>
      </c>
      <c r="B128" t="inlineStr">
        <is>
          <t>X0TH0016</t>
        </is>
      </c>
      <c r="C128" t="inlineStr">
        <is>
          <t>B0TH016KX</t>
        </is>
      </c>
      <c r="D128" t="inlineStr">
        <is>
          <t>TH-PEPMIL-16</t>
        </is>
      </c>
      <c r="E128" t="inlineStr">
        <is>
          <t>Pepper Mill Walnut</t>
        </is>
      </c>
      <c r="F128" t="inlineStr">
        <is>
          <t>Adjustments</t>
        </is>
      </c>
      <c r="G128" t="inlineStr">
        <is>
          <t>ADJ-77171</t>
        </is>
      </c>
      <c r="H128" t="n">
        <v>-10</v>
      </c>
      <c r="I128" t="inlineStr">
        <is>
          <t>LAX9</t>
        </is>
      </c>
      <c r="J128" t="inlineStr">
        <is>
          <t>DAMAGED</t>
        </is>
      </c>
      <c r="K128" t="inlineStr">
        <is>
          <t>Q</t>
        </is>
      </c>
      <c r="L128" t="inlineStr">
        <is>
          <t>US</t>
        </is>
      </c>
      <c r="M128" t="n">
        <v>0</v>
      </c>
      <c r="N128" t="n">
        <v>10</v>
      </c>
      <c r="O128">
        <f>IFERROR(VLOOKUP(K128,'Reason codes'!$A$2:$B$40,2,FALSE),"")</f>
        <v/>
      </c>
      <c r="P128">
        <f>IF(AND(ISNUMBER(SEARCH("adjust",F128)),OR(O128="warehouse_lost",O128="warehouse_damaged",O128="carrier_damaged",O128="transit_lost")),"yes","no")</f>
        <v/>
      </c>
      <c r="Q128">
        <f>IF(P128="yes",IF(N128&lt;&gt;"",N128,MAX(0,-H128)),0)</f>
        <v/>
      </c>
    </row>
    <row r="129">
      <c r="A129" t="inlineStr">
        <is>
          <t>2026-08-21</t>
        </is>
      </c>
      <c r="B129" t="inlineStr">
        <is>
          <t>X0TH0013</t>
        </is>
      </c>
      <c r="C129" t="inlineStr">
        <is>
          <t>B0TH013KX</t>
        </is>
      </c>
      <c r="D129" t="inlineStr">
        <is>
          <t>TH-SILSPA-13</t>
        </is>
      </c>
      <c r="E129" t="inlineStr">
        <is>
          <t>Silicone Spatula Set</t>
        </is>
      </c>
      <c r="F129" t="inlineStr">
        <is>
          <t>Adjustments</t>
        </is>
      </c>
      <c r="G129" t="inlineStr">
        <is>
          <t>ADJ-77137</t>
        </is>
      </c>
      <c r="H129" t="n">
        <v>-4</v>
      </c>
      <c r="I129" t="inlineStr">
        <is>
          <t>LAX9</t>
        </is>
      </c>
      <c r="J129" t="inlineStr">
        <is>
          <t>DAMAGED</t>
        </is>
      </c>
      <c r="K129" t="inlineStr">
        <is>
          <t>Q</t>
        </is>
      </c>
      <c r="L129" t="inlineStr">
        <is>
          <t>US</t>
        </is>
      </c>
      <c r="M129" t="n">
        <v>4</v>
      </c>
      <c r="O129">
        <f>IFERROR(VLOOKUP(K129,'Reason codes'!$A$2:$B$40,2,FALSE),"")</f>
        <v/>
      </c>
      <c r="P129">
        <f>IF(AND(ISNUMBER(SEARCH("adjust",F129)),OR(O129="warehouse_lost",O129="warehouse_damaged",O129="carrier_damaged",O129="transit_lost")),"yes","no")</f>
        <v/>
      </c>
      <c r="Q129">
        <f>IF(P129="yes",IF(N129&lt;&gt;"",N129,MAX(0,-H129)),0)</f>
        <v/>
      </c>
    </row>
    <row r="130">
      <c r="A130" t="inlineStr">
        <is>
          <t>2026-08-22</t>
        </is>
      </c>
      <c r="B130" t="inlineStr">
        <is>
          <t>X0TH0023</t>
        </is>
      </c>
      <c r="C130" t="inlineStr">
        <is>
          <t>B0TH023KX</t>
        </is>
      </c>
      <c r="D130" t="inlineStr">
        <is>
          <t>TH-TRICOR-23</t>
        </is>
      </c>
      <c r="E130" t="inlineStr">
        <is>
          <t>Trivet Cork Set</t>
        </is>
      </c>
      <c r="F130" t="inlineStr">
        <is>
          <t>Adjustments</t>
        </is>
      </c>
      <c r="G130" t="inlineStr">
        <is>
          <t>ADJ-77245</t>
        </is>
      </c>
      <c r="H130" t="n">
        <v>-3</v>
      </c>
      <c r="I130" t="inlineStr">
        <is>
          <t>ONT8</t>
        </is>
      </c>
      <c r="J130" t="inlineStr">
        <is>
          <t>DAMAGED</t>
        </is>
      </c>
      <c r="K130" t="inlineStr">
        <is>
          <t>Q</t>
        </is>
      </c>
      <c r="L130" t="inlineStr">
        <is>
          <t>US</t>
        </is>
      </c>
      <c r="M130" t="n">
        <v>3</v>
      </c>
      <c r="O130">
        <f>IFERROR(VLOOKUP(K130,'Reason codes'!$A$2:$B$40,2,FALSE),"")</f>
        <v/>
      </c>
      <c r="P130">
        <f>IF(AND(ISNUMBER(SEARCH("adjust",F130)),OR(O130="warehouse_lost",O130="warehouse_damaged",O130="carrier_damaged",O130="transit_lost")),"yes","no")</f>
        <v/>
      </c>
      <c r="Q130">
        <f>IF(P130="yes",IF(N130&lt;&gt;"",N130,MAX(0,-H130)),0)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4" customWidth="1" min="4" max="4"/>
    <col width="12" customWidth="1" min="5" max="5"/>
    <col width="28" customWidth="1" min="6" max="6"/>
    <col width="9" customWidth="1" min="7" max="7"/>
    <col width="12" customWidth="1" min="8" max="8"/>
    <col width="20" customWidth="1" min="9" max="9"/>
    <col width="20" customWidth="1" min="10" max="10"/>
    <col width="26" customWidth="1" min="11" max="11"/>
    <col width="12" customWidth="1" min="12" max="12"/>
  </cols>
  <sheetData>
    <row r="1">
      <c r="A1" s="2" t="inlineStr">
        <is>
          <t>return-date</t>
        </is>
      </c>
      <c r="B1" s="2" t="inlineStr">
        <is>
          <t>order-id</t>
        </is>
      </c>
      <c r="C1" s="2" t="inlineStr">
        <is>
          <t>sku</t>
        </is>
      </c>
      <c r="D1" s="2" t="inlineStr">
        <is>
          <t>asin</t>
        </is>
      </c>
      <c r="E1" s="2" t="inlineStr">
        <is>
          <t>fnsku</t>
        </is>
      </c>
      <c r="F1" s="2" t="inlineStr">
        <is>
          <t>product-name</t>
        </is>
      </c>
      <c r="G1" s="2" t="inlineStr">
        <is>
          <t>quantity</t>
        </is>
      </c>
      <c r="H1" s="2" t="inlineStr">
        <is>
          <t>fulfillment-center-id</t>
        </is>
      </c>
      <c r="I1" s="2" t="inlineStr">
        <is>
          <t>detailed-disposition</t>
        </is>
      </c>
      <c r="J1" s="2" t="inlineStr">
        <is>
          <t>reason</t>
        </is>
      </c>
      <c r="K1" s="2" t="inlineStr">
        <is>
          <t>status</t>
        </is>
      </c>
      <c r="L1" s="2" t="inlineStr">
        <is>
          <t>Claimable (helper)</t>
        </is>
      </c>
    </row>
    <row r="2">
      <c r="A2" t="inlineStr">
        <is>
          <t>2026-05-25</t>
        </is>
      </c>
      <c r="B2" t="inlineStr">
        <is>
          <t>111-4000215-7071290</t>
        </is>
      </c>
      <c r="C2" t="inlineStr">
        <is>
          <t>TH-CASIRO-01</t>
        </is>
      </c>
      <c r="D2" t="inlineStr">
        <is>
          <t>B0TH001KX</t>
        </is>
      </c>
      <c r="E2" t="inlineStr">
        <is>
          <t>X0TH0001</t>
        </is>
      </c>
      <c r="F2" t="inlineStr">
        <is>
          <t>Cast Iron Skillet 10in</t>
        </is>
      </c>
      <c r="G2" t="n">
        <v>1</v>
      </c>
      <c r="H2" t="inlineStr">
        <is>
          <t>ONT8</t>
        </is>
      </c>
      <c r="I2" t="inlineStr">
        <is>
          <t>DAMAGED</t>
        </is>
      </c>
      <c r="J2" t="inlineStr">
        <is>
          <t>ORDERED_WRONG_ITEM</t>
        </is>
      </c>
      <c r="K2" t="inlineStr">
        <is>
          <t>Unit not returned to inventory</t>
        </is>
      </c>
      <c r="L2">
        <f>IF(AND(OR(I2="DAMAGED",I2="CARRIER_DAMAGED"),ISERROR(SEARCH("reimburs",K2))),"yes","no")</f>
        <v/>
      </c>
    </row>
    <row r="3">
      <c r="A3" t="inlineStr">
        <is>
          <t>2026-05-26</t>
        </is>
      </c>
      <c r="B3" t="inlineStr">
        <is>
          <t>111-4006547-6808666</t>
        </is>
      </c>
      <c r="C3" t="inlineStr">
        <is>
          <t>TH-SILSPA-13</t>
        </is>
      </c>
      <c r="D3" t="inlineStr">
        <is>
          <t>B0TH013KX</t>
        </is>
      </c>
      <c r="E3" t="inlineStr">
        <is>
          <t>X0TH0013</t>
        </is>
      </c>
      <c r="F3" t="inlineStr">
        <is>
          <t>Silicone Spatula Set</t>
        </is>
      </c>
      <c r="G3" t="n">
        <v>1</v>
      </c>
      <c r="H3" t="inlineStr">
        <is>
          <t>MDW2</t>
        </is>
      </c>
      <c r="I3" t="inlineStr">
        <is>
          <t>SELLABLE</t>
        </is>
      </c>
      <c r="J3" t="inlineStr">
        <is>
          <t>NOT_AS_DESCRIBED</t>
        </is>
      </c>
      <c r="K3" t="inlineStr">
        <is>
          <t>Unit returned to inventory</t>
        </is>
      </c>
      <c r="L3">
        <f>IF(AND(OR(I3="DAMAGED",I3="CARRIER_DAMAGED"),ISERROR(SEARCH("reimburs",K3))),"yes","no")</f>
        <v/>
      </c>
    </row>
    <row r="4">
      <c r="A4" t="inlineStr">
        <is>
          <t>2026-05-27</t>
        </is>
      </c>
      <c r="B4" t="inlineStr">
        <is>
          <t>111-4007866-6847779</t>
        </is>
      </c>
      <c r="C4" t="inlineStr">
        <is>
          <t>TH-PEPMIL-16</t>
        </is>
      </c>
      <c r="D4" t="inlineStr">
        <is>
          <t>B0TH016KX</t>
        </is>
      </c>
      <c r="E4" t="inlineStr">
        <is>
          <t>X0TH0016</t>
        </is>
      </c>
      <c r="F4" t="inlineStr">
        <is>
          <t>Pepper Mill Walnut</t>
        </is>
      </c>
      <c r="G4" t="n">
        <v>1</v>
      </c>
      <c r="H4" t="inlineStr">
        <is>
          <t>MDW2</t>
        </is>
      </c>
      <c r="I4" t="inlineStr">
        <is>
          <t>CUSTOMER_DAMAGED</t>
        </is>
      </c>
      <c r="J4" t="inlineStr">
        <is>
          <t>NOT_AS_DESCRIBED</t>
        </is>
      </c>
      <c r="K4" t="inlineStr">
        <is>
          <t>Unit not returned to inventory</t>
        </is>
      </c>
      <c r="L4">
        <f>IF(AND(OR(I4="DAMAGED",I4="CARRIER_DAMAGED"),ISERROR(SEARCH("reimburs",K4))),"yes","no")</f>
        <v/>
      </c>
    </row>
    <row r="5">
      <c r="A5" t="inlineStr">
        <is>
          <t>2026-05-28</t>
        </is>
      </c>
      <c r="B5" t="inlineStr">
        <is>
          <t>111-4001074-3177903</t>
        </is>
      </c>
      <c r="C5" t="inlineStr">
        <is>
          <t>TH-CASIRO-02</t>
        </is>
      </c>
      <c r="D5" t="inlineStr">
        <is>
          <t>B0TH002KX</t>
        </is>
      </c>
      <c r="E5" t="inlineStr">
        <is>
          <t>X0TH0002</t>
        </is>
      </c>
      <c r="F5" t="inlineStr">
        <is>
          <t>Cast Iron Skillet 12in</t>
        </is>
      </c>
      <c r="G5" t="n">
        <v>1</v>
      </c>
      <c r="H5" t="inlineStr">
        <is>
          <t>DFW6</t>
        </is>
      </c>
      <c r="I5" t="inlineStr">
        <is>
          <t>CARRIER_DAMAGED</t>
        </is>
      </c>
      <c r="J5" t="inlineStr">
        <is>
          <t>ORDERED_WRONG_ITEM</t>
        </is>
      </c>
      <c r="K5" t="inlineStr">
        <is>
          <t>Unit not returned to inventory</t>
        </is>
      </c>
      <c r="L5">
        <f>IF(AND(OR(I5="DAMAGED",I5="CARRIER_DAMAGED"),ISERROR(SEARCH("reimburs",K5))),"yes","no")</f>
        <v/>
      </c>
    </row>
    <row r="6">
      <c r="A6" t="inlineStr">
        <is>
          <t>2026-05-28</t>
        </is>
      </c>
      <c r="B6" t="inlineStr">
        <is>
          <t>111-4006090-3906751</t>
        </is>
      </c>
      <c r="C6" t="inlineStr">
        <is>
          <t>TH-STAMIX-12</t>
        </is>
      </c>
      <c r="D6" t="inlineStr">
        <is>
          <t>B0TH012KX</t>
        </is>
      </c>
      <c r="E6" t="inlineStr">
        <is>
          <t>X0TH0012</t>
        </is>
      </c>
      <c r="F6" t="inlineStr">
        <is>
          <t>Stainless Mixing Bowls 5pc</t>
        </is>
      </c>
      <c r="G6" t="n">
        <v>1</v>
      </c>
      <c r="H6" t="inlineStr">
        <is>
          <t>ONT8</t>
        </is>
      </c>
      <c r="I6" t="inlineStr">
        <is>
          <t>DEFECTIVE</t>
        </is>
      </c>
      <c r="J6" t="inlineStr">
        <is>
          <t>NOT_AS_DESCRIBED</t>
        </is>
      </c>
      <c r="K6" t="inlineStr">
        <is>
          <t>Unit not returned to inventory</t>
        </is>
      </c>
      <c r="L6">
        <f>IF(AND(OR(I6="DAMAGED",I6="CARRIER_DAMAGED"),ISERROR(SEARCH("reimburs",K6))),"yes","no")</f>
        <v/>
      </c>
    </row>
    <row r="7">
      <c r="A7" t="inlineStr">
        <is>
          <t>2026-05-28</t>
        </is>
      </c>
      <c r="B7" t="inlineStr">
        <is>
          <t>111-4011691-1549916</t>
        </is>
      </c>
      <c r="C7" t="inlineStr">
        <is>
          <t>TH-KITTOW-24</t>
        </is>
      </c>
      <c r="D7" t="inlineStr">
        <is>
          <t>B0TH024KX</t>
        </is>
      </c>
      <c r="E7" t="inlineStr">
        <is>
          <t>X0TH0024</t>
        </is>
      </c>
      <c r="F7" t="inlineStr">
        <is>
          <t>Kitchen Towels Linen 4pk</t>
        </is>
      </c>
      <c r="G7" t="n">
        <v>1</v>
      </c>
      <c r="H7" t="inlineStr">
        <is>
          <t>PHX7</t>
        </is>
      </c>
      <c r="I7" t="inlineStr">
        <is>
          <t>DAMAGED</t>
        </is>
      </c>
      <c r="J7" t="inlineStr">
        <is>
          <t>UNWANTED_ITEM</t>
        </is>
      </c>
      <c r="K7" t="inlineStr">
        <is>
          <t>Unit not returned to inventory</t>
        </is>
      </c>
      <c r="L7">
        <f>IF(AND(OR(I7="DAMAGED",I7="CARRIER_DAMAGED"),ISERROR(SEARCH("reimburs",K7))),"yes","no")</f>
        <v/>
      </c>
    </row>
    <row r="8">
      <c r="A8" t="inlineStr">
        <is>
          <t>2026-05-29</t>
        </is>
      </c>
      <c r="B8" t="inlineStr">
        <is>
          <t>111-4000397-3921245</t>
        </is>
      </c>
      <c r="C8" t="inlineStr">
        <is>
          <t>TH-CASIRO-01</t>
        </is>
      </c>
      <c r="D8" t="inlineStr">
        <is>
          <t>B0TH001KX</t>
        </is>
      </c>
      <c r="E8" t="inlineStr">
        <is>
          <t>X0TH0001</t>
        </is>
      </c>
      <c r="F8" t="inlineStr">
        <is>
          <t>Cast Iron Skillet 10in</t>
        </is>
      </c>
      <c r="G8" t="n">
        <v>1</v>
      </c>
      <c r="H8" t="inlineStr">
        <is>
          <t>PHX7</t>
        </is>
      </c>
      <c r="I8" t="inlineStr">
        <is>
          <t>SELLABLE</t>
        </is>
      </c>
      <c r="J8" t="inlineStr">
        <is>
          <t>DEFECTIVE</t>
        </is>
      </c>
      <c r="K8" t="inlineStr">
        <is>
          <t>Unit returned to inventory</t>
        </is>
      </c>
      <c r="L8">
        <f>IF(AND(OR(I8="DAMAGED",I8="CARRIER_DAMAGED"),ISERROR(SEARCH("reimburs",K8))),"yes","no")</f>
        <v/>
      </c>
    </row>
    <row r="9">
      <c r="A9" t="inlineStr">
        <is>
          <t>2026-05-30</t>
        </is>
      </c>
      <c r="B9" t="inlineStr">
        <is>
          <t>111-4000290-1596218</t>
        </is>
      </c>
      <c r="C9" t="inlineStr">
        <is>
          <t>TH-CASIRO-01</t>
        </is>
      </c>
      <c r="D9" t="inlineStr">
        <is>
          <t>B0TH001KX</t>
        </is>
      </c>
      <c r="E9" t="inlineStr">
        <is>
          <t>X0TH0001</t>
        </is>
      </c>
      <c r="F9" t="inlineStr">
        <is>
          <t>Cast Iron Skillet 10in</t>
        </is>
      </c>
      <c r="G9" t="n">
        <v>1</v>
      </c>
      <c r="H9" t="inlineStr">
        <is>
          <t>MDW2</t>
        </is>
      </c>
      <c r="I9" t="inlineStr">
        <is>
          <t>DEFECTIVE</t>
        </is>
      </c>
      <c r="J9" t="inlineStr">
        <is>
          <t>UNWANTED_ITEM</t>
        </is>
      </c>
      <c r="K9" t="inlineStr">
        <is>
          <t>Unit not returned to inventory</t>
        </is>
      </c>
      <c r="L9">
        <f>IF(AND(OR(I9="DAMAGED",I9="CARRIER_DAMAGED"),ISERROR(SEARCH("reimburs",K9))),"yes","no")</f>
        <v/>
      </c>
    </row>
    <row r="10">
      <c r="A10" t="inlineStr">
        <is>
          <t>2026-05-31</t>
        </is>
      </c>
      <c r="B10" t="inlineStr">
        <is>
          <t>111-4000484-5296207</t>
        </is>
      </c>
      <c r="C10" t="inlineStr">
        <is>
          <t>TH-CASIRO-01</t>
        </is>
      </c>
      <c r="D10" t="inlineStr">
        <is>
          <t>B0TH001KX</t>
        </is>
      </c>
      <c r="E10" t="inlineStr">
        <is>
          <t>X0TH0001</t>
        </is>
      </c>
      <c r="F10" t="inlineStr">
        <is>
          <t>Cast Iron Skillet 10in</t>
        </is>
      </c>
      <c r="G10" t="n">
        <v>1</v>
      </c>
      <c r="H10" t="inlineStr">
        <is>
          <t>MDW2</t>
        </is>
      </c>
      <c r="I10" t="inlineStr">
        <is>
          <t>DAMAGED</t>
        </is>
      </c>
      <c r="J10" t="inlineStr">
        <is>
          <t>UNWANTED_ITEM</t>
        </is>
      </c>
      <c r="K10" t="inlineStr">
        <is>
          <t>Unit not returned to inventory</t>
        </is>
      </c>
      <c r="L10">
        <f>IF(AND(OR(I10="DAMAGED",I10="CARRIER_DAMAGED"),ISERROR(SEARCH("reimburs",K10))),"yes","no")</f>
        <v/>
      </c>
    </row>
    <row r="11">
      <c r="A11" t="inlineStr">
        <is>
          <t>2026-05-31</t>
        </is>
      </c>
      <c r="B11" t="inlineStr">
        <is>
          <t>111-4004114-9710250</t>
        </is>
      </c>
      <c r="C11" t="inlineStr">
        <is>
          <t>TH-PARKNI-09</t>
        </is>
      </c>
      <c r="D11" t="inlineStr">
        <is>
          <t>B0TH009KX</t>
        </is>
      </c>
      <c r="E11" t="inlineStr">
        <is>
          <t>X0TH0009</t>
        </is>
      </c>
      <c r="F11" t="inlineStr">
        <is>
          <t>Paring Knife 3.5in</t>
        </is>
      </c>
      <c r="G11" t="n">
        <v>1</v>
      </c>
      <c r="H11" t="inlineStr">
        <is>
          <t>MDW2</t>
        </is>
      </c>
      <c r="I11" t="inlineStr">
        <is>
          <t>SELLABLE</t>
        </is>
      </c>
      <c r="J11" t="inlineStr">
        <is>
          <t>UNWANTED_ITEM</t>
        </is>
      </c>
      <c r="K11" t="inlineStr">
        <is>
          <t>Unit returned to inventory</t>
        </is>
      </c>
      <c r="L11">
        <f>IF(AND(OR(I11="DAMAGED",I11="CARRIER_DAMAGED"),ISERROR(SEARCH("reimburs",K11))),"yes","no")</f>
        <v/>
      </c>
    </row>
    <row r="12">
      <c r="A12" t="inlineStr">
        <is>
          <t>2026-05-31</t>
        </is>
      </c>
      <c r="B12" t="inlineStr">
        <is>
          <t>111-4005020-9298239</t>
        </is>
      </c>
      <c r="C12" t="inlineStr">
        <is>
          <t>TH-KNISHA-11</t>
        </is>
      </c>
      <c r="D12" t="inlineStr">
        <is>
          <t>B0TH011KX</t>
        </is>
      </c>
      <c r="E12" t="inlineStr">
        <is>
          <t>X0TH0011</t>
        </is>
      </c>
      <c r="F12" t="inlineStr">
        <is>
          <t>Knife Sharpener Whetstone</t>
        </is>
      </c>
      <c r="G12" t="n">
        <v>1</v>
      </c>
      <c r="H12" t="inlineStr">
        <is>
          <t>ONT8</t>
        </is>
      </c>
      <c r="I12" t="inlineStr">
        <is>
          <t>SELLABLE</t>
        </is>
      </c>
      <c r="J12" t="inlineStr">
        <is>
          <t>UNWANTED_ITEM</t>
        </is>
      </c>
      <c r="K12" t="inlineStr">
        <is>
          <t>Unit returned to inventory</t>
        </is>
      </c>
      <c r="L12">
        <f>IF(AND(OR(I12="DAMAGED",I12="CARRIER_DAMAGED"),ISERROR(SEARCH("reimburs",K12))),"yes","no")</f>
        <v/>
      </c>
    </row>
    <row r="13">
      <c r="A13" t="inlineStr">
        <is>
          <t>2026-05-31</t>
        </is>
      </c>
      <c r="B13" t="inlineStr">
        <is>
          <t>111-4006766-2952585</t>
        </is>
      </c>
      <c r="C13" t="inlineStr">
        <is>
          <t>TH-MEACUP-14</t>
        </is>
      </c>
      <c r="D13" t="inlineStr">
        <is>
          <t>B0TH014KX</t>
        </is>
      </c>
      <c r="E13" t="inlineStr">
        <is>
          <t>X0TH0014</t>
        </is>
      </c>
      <c r="F13" t="inlineStr">
        <is>
          <t>Measuring Cups Steel</t>
        </is>
      </c>
      <c r="G13" t="n">
        <v>1</v>
      </c>
      <c r="H13" t="inlineStr">
        <is>
          <t>LAX9</t>
        </is>
      </c>
      <c r="I13" t="inlineStr">
        <is>
          <t>SELLABLE</t>
        </is>
      </c>
      <c r="J13" t="inlineStr">
        <is>
          <t>NOT_AS_DESCRIBED</t>
        </is>
      </c>
      <c r="K13" t="inlineStr">
        <is>
          <t>Unit returned to inventory</t>
        </is>
      </c>
      <c r="L13">
        <f>IF(AND(OR(I13="DAMAGED",I13="CARRIER_DAMAGED"),ISERROR(SEARCH("reimburs",K13))),"yes","no")</f>
        <v/>
      </c>
    </row>
    <row r="14">
      <c r="A14" t="inlineStr">
        <is>
          <t>2026-06-01</t>
        </is>
      </c>
      <c r="B14" t="inlineStr">
        <is>
          <t>111-4002924-3916536</t>
        </is>
      </c>
      <c r="C14" t="inlineStr">
        <is>
          <t>TH-BAMCUT-06</t>
        </is>
      </c>
      <c r="D14" t="inlineStr">
        <is>
          <t>B0TH006KX</t>
        </is>
      </c>
      <c r="E14" t="inlineStr">
        <is>
          <t>X0TH0006</t>
        </is>
      </c>
      <c r="F14" t="inlineStr">
        <is>
          <t>Bamboo Cutting Board M</t>
        </is>
      </c>
      <c r="G14" t="n">
        <v>1</v>
      </c>
      <c r="H14" t="inlineStr">
        <is>
          <t>MDW2</t>
        </is>
      </c>
      <c r="I14" t="inlineStr">
        <is>
          <t>SELLABLE</t>
        </is>
      </c>
      <c r="J14" t="inlineStr">
        <is>
          <t>ORDERED_WRONG_ITEM</t>
        </is>
      </c>
      <c r="K14" t="inlineStr">
        <is>
          <t>Unit returned to inventory</t>
        </is>
      </c>
      <c r="L14">
        <f>IF(AND(OR(I14="DAMAGED",I14="CARRIER_DAMAGED"),ISERROR(SEARCH("reimburs",K14))),"yes","no")</f>
        <v/>
      </c>
    </row>
    <row r="15">
      <c r="A15" t="inlineStr">
        <is>
          <t>2026-06-02</t>
        </is>
      </c>
      <c r="B15" t="inlineStr">
        <is>
          <t>111-4002302-6048186</t>
        </is>
      </c>
      <c r="C15" t="inlineStr">
        <is>
          <t>TH-BAMCUT-05</t>
        </is>
      </c>
      <c r="D15" t="inlineStr">
        <is>
          <t>B0TH005KX</t>
        </is>
      </c>
      <c r="E15" t="inlineStr">
        <is>
          <t>X0TH0005</t>
        </is>
      </c>
      <c r="F15" t="inlineStr">
        <is>
          <t>Bamboo Cutting Board L</t>
        </is>
      </c>
      <c r="G15" t="n">
        <v>1</v>
      </c>
      <c r="H15" t="inlineStr">
        <is>
          <t>MDW2</t>
        </is>
      </c>
      <c r="I15" t="inlineStr">
        <is>
          <t>CUSTOMER_DAMAGED</t>
        </is>
      </c>
      <c r="J15" t="inlineStr">
        <is>
          <t>UNWANTED_ITEM</t>
        </is>
      </c>
      <c r="K15" t="inlineStr">
        <is>
          <t>Unit not returned to inventory</t>
        </is>
      </c>
      <c r="L15">
        <f>IF(AND(OR(I15="DAMAGED",I15="CARRIER_DAMAGED"),ISERROR(SEARCH("reimburs",K15))),"yes","no")</f>
        <v/>
      </c>
    </row>
    <row r="16">
      <c r="A16" t="inlineStr">
        <is>
          <t>2026-06-02</t>
        </is>
      </c>
      <c r="B16" t="inlineStr">
        <is>
          <t>111-4002686-8128321</t>
        </is>
      </c>
      <c r="C16" t="inlineStr">
        <is>
          <t>TH-BAMCUT-06</t>
        </is>
      </c>
      <c r="D16" t="inlineStr">
        <is>
          <t>B0TH006KX</t>
        </is>
      </c>
      <c r="E16" t="inlineStr">
        <is>
          <t>X0TH0006</t>
        </is>
      </c>
      <c r="F16" t="inlineStr">
        <is>
          <t>Bamboo Cutting Board M</t>
        </is>
      </c>
      <c r="G16" t="n">
        <v>1</v>
      </c>
      <c r="H16" t="inlineStr">
        <is>
          <t>MDW2</t>
        </is>
      </c>
      <c r="I16" t="inlineStr">
        <is>
          <t>CUSTOMER_DAMAGED</t>
        </is>
      </c>
      <c r="J16" t="inlineStr">
        <is>
          <t>ORDERED_WRONG_ITEM</t>
        </is>
      </c>
      <c r="K16" t="inlineStr">
        <is>
          <t>Reimbursed</t>
        </is>
      </c>
      <c r="L16">
        <f>IF(AND(OR(I16="DAMAGED",I16="CARRIER_DAMAGED"),ISERROR(SEARCH("reimburs",K16))),"yes","no")</f>
        <v/>
      </c>
    </row>
    <row r="17">
      <c r="A17" t="inlineStr">
        <is>
          <t>2026-06-02</t>
        </is>
      </c>
      <c r="B17" t="inlineStr">
        <is>
          <t>111-4010492-1396270</t>
        </is>
      </c>
      <c r="C17" t="inlineStr">
        <is>
          <t>TH-OVEMIT-22</t>
        </is>
      </c>
      <c r="D17" t="inlineStr">
        <is>
          <t>B0TH022KX</t>
        </is>
      </c>
      <c r="E17" t="inlineStr">
        <is>
          <t>X0TH0022</t>
        </is>
      </c>
      <c r="F17" t="inlineStr">
        <is>
          <t>Oven Mitts Aramid Pair</t>
        </is>
      </c>
      <c r="G17" t="n">
        <v>1</v>
      </c>
      <c r="H17" t="inlineStr">
        <is>
          <t>DFW6</t>
        </is>
      </c>
      <c r="I17" t="inlineStr">
        <is>
          <t>DAMAGED</t>
        </is>
      </c>
      <c r="J17" t="inlineStr">
        <is>
          <t>DEFECTIVE</t>
        </is>
      </c>
      <c r="K17" t="inlineStr">
        <is>
          <t>Unit not returned to inventory</t>
        </is>
      </c>
      <c r="L17">
        <f>IF(AND(OR(I17="DAMAGED",I17="CARRIER_DAMAGED"),ISERROR(SEARCH("reimburs",K17))),"yes","no")</f>
        <v/>
      </c>
    </row>
    <row r="18">
      <c r="A18" t="inlineStr">
        <is>
          <t>2026-06-03</t>
        </is>
      </c>
      <c r="B18" t="inlineStr">
        <is>
          <t>111-4004513-3017038</t>
        </is>
      </c>
      <c r="C18" t="inlineStr">
        <is>
          <t>TH-BREKNI-10</t>
        </is>
      </c>
      <c r="D18" t="inlineStr">
        <is>
          <t>B0TH010KX</t>
        </is>
      </c>
      <c r="E18" t="inlineStr">
        <is>
          <t>X0TH0010</t>
        </is>
      </c>
      <c r="F18" t="inlineStr">
        <is>
          <t>Bread Knife 10in</t>
        </is>
      </c>
      <c r="G18" t="n">
        <v>1</v>
      </c>
      <c r="H18" t="inlineStr">
        <is>
          <t>DFW6</t>
        </is>
      </c>
      <c r="I18" t="inlineStr">
        <is>
          <t>SELLABLE</t>
        </is>
      </c>
      <c r="J18" t="inlineStr">
        <is>
          <t>ORDERED_WRONG_ITEM</t>
        </is>
      </c>
      <c r="K18" t="inlineStr">
        <is>
          <t>Unit returned to inventory</t>
        </is>
      </c>
      <c r="L18">
        <f>IF(AND(OR(I18="DAMAGED",I18="CARRIER_DAMAGED"),ISERROR(SEARCH("reimburs",K18))),"yes","no")</f>
        <v/>
      </c>
    </row>
    <row r="19">
      <c r="A19" t="inlineStr">
        <is>
          <t>2026-06-03</t>
        </is>
      </c>
      <c r="B19" t="inlineStr">
        <is>
          <t>111-4009786-8812146</t>
        </is>
      </c>
      <c r="C19" t="inlineStr">
        <is>
          <t>TH-TEAINF-20</t>
        </is>
      </c>
      <c r="D19" t="inlineStr">
        <is>
          <t>B0TH020KX</t>
        </is>
      </c>
      <c r="E19" t="inlineStr">
        <is>
          <t>X0TH0020</t>
        </is>
      </c>
      <c r="F19" t="inlineStr">
        <is>
          <t>Tea Infuser Mug</t>
        </is>
      </c>
      <c r="G19" t="n">
        <v>1</v>
      </c>
      <c r="H19" t="inlineStr">
        <is>
          <t>LAX9</t>
        </is>
      </c>
      <c r="I19" t="inlineStr">
        <is>
          <t>DEFECTIVE</t>
        </is>
      </c>
      <c r="J19" t="inlineStr">
        <is>
          <t>UNWANTED_ITEM</t>
        </is>
      </c>
      <c r="K19" t="inlineStr">
        <is>
          <t>Unit not returned to inventory</t>
        </is>
      </c>
      <c r="L19">
        <f>IF(AND(OR(I19="DAMAGED",I19="CARRIER_DAMAGED"),ISERROR(SEARCH("reimburs",K19))),"yes","no")</f>
        <v/>
      </c>
    </row>
    <row r="20">
      <c r="A20" t="inlineStr">
        <is>
          <t>2026-06-04</t>
        </is>
      </c>
      <c r="B20" t="inlineStr">
        <is>
          <t>111-4008141-6913526</t>
        </is>
      </c>
      <c r="C20" t="inlineStr">
        <is>
          <t>TH-FREPRE-17</t>
        </is>
      </c>
      <c r="D20" t="inlineStr">
        <is>
          <t>B0TH017KX</t>
        </is>
      </c>
      <c r="E20" t="inlineStr">
        <is>
          <t>X0TH0017</t>
        </is>
      </c>
      <c r="F20" t="inlineStr">
        <is>
          <t>French Press 34oz</t>
        </is>
      </c>
      <c r="G20" t="n">
        <v>1</v>
      </c>
      <c r="H20" t="inlineStr">
        <is>
          <t>PHX7</t>
        </is>
      </c>
      <c r="I20" t="inlineStr">
        <is>
          <t>DEFECTIVE</t>
        </is>
      </c>
      <c r="J20" t="inlineStr">
        <is>
          <t>UNWANTED_ITEM</t>
        </is>
      </c>
      <c r="K20" t="inlineStr">
        <is>
          <t>Unit not returned to inventory</t>
        </is>
      </c>
      <c r="L20">
        <f>IF(AND(OR(I20="DAMAGED",I20="CARRIER_DAMAGED"),ISERROR(SEARCH("reimburs",K20))),"yes","no")</f>
        <v/>
      </c>
    </row>
    <row r="21">
      <c r="A21" t="inlineStr">
        <is>
          <t>2026-06-04</t>
        </is>
      </c>
      <c r="B21" t="inlineStr">
        <is>
          <t>111-4009710-4973788</t>
        </is>
      </c>
      <c r="C21" t="inlineStr">
        <is>
          <t>TH-TEAINF-20</t>
        </is>
      </c>
      <c r="D21" t="inlineStr">
        <is>
          <t>B0TH020KX</t>
        </is>
      </c>
      <c r="E21" t="inlineStr">
        <is>
          <t>X0TH0020</t>
        </is>
      </c>
      <c r="F21" t="inlineStr">
        <is>
          <t>Tea Infuser Mug</t>
        </is>
      </c>
      <c r="G21" t="n">
        <v>1</v>
      </c>
      <c r="H21" t="inlineStr">
        <is>
          <t>PHX7</t>
        </is>
      </c>
      <c r="I21" t="inlineStr">
        <is>
          <t>CUSTOMER_DAMAGED</t>
        </is>
      </c>
      <c r="J21" t="inlineStr">
        <is>
          <t>ORDERED_WRONG_ITEM</t>
        </is>
      </c>
      <c r="K21" t="inlineStr">
        <is>
          <t>Unit not returned to inventory</t>
        </is>
      </c>
      <c r="L21">
        <f>IF(AND(OR(I21="DAMAGED",I21="CARRIER_DAMAGED"),ISERROR(SEARCH("reimburs",K21))),"yes","no")</f>
        <v/>
      </c>
    </row>
    <row r="22">
      <c r="A22" t="inlineStr">
        <is>
          <t>2026-06-05</t>
        </is>
      </c>
      <c r="B22" t="inlineStr">
        <is>
          <t>111-4010134-5623570</t>
        </is>
      </c>
      <c r="C22" t="inlineStr">
        <is>
          <t>TH-APRWAX-21</t>
        </is>
      </c>
      <c r="D22" t="inlineStr">
        <is>
          <t>B0TH021KX</t>
        </is>
      </c>
      <c r="E22" t="inlineStr">
        <is>
          <t>X0TH0021</t>
        </is>
      </c>
      <c r="F22" t="inlineStr">
        <is>
          <t>Apron Waxed Canvas</t>
        </is>
      </c>
      <c r="G22" t="n">
        <v>1</v>
      </c>
      <c r="H22" t="inlineStr">
        <is>
          <t>MDW2</t>
        </is>
      </c>
      <c r="I22" t="inlineStr">
        <is>
          <t>DEFECTIVE</t>
        </is>
      </c>
      <c r="J22" t="inlineStr">
        <is>
          <t>ORDERED_WRONG_ITEM</t>
        </is>
      </c>
      <c r="K22" t="inlineStr">
        <is>
          <t>Reimbursed</t>
        </is>
      </c>
      <c r="L22">
        <f>IF(AND(OR(I22="DAMAGED",I22="CARRIER_DAMAGED"),ISERROR(SEARCH("reimburs",K22))),"yes","no")</f>
        <v/>
      </c>
    </row>
    <row r="23">
      <c r="A23" t="inlineStr">
        <is>
          <t>2026-06-07</t>
        </is>
      </c>
      <c r="B23" t="inlineStr">
        <is>
          <t>111-4000847-9493234</t>
        </is>
      </c>
      <c r="C23" t="inlineStr">
        <is>
          <t>TH-CASIRO-02</t>
        </is>
      </c>
      <c r="D23" t="inlineStr">
        <is>
          <t>B0TH002KX</t>
        </is>
      </c>
      <c r="E23" t="inlineStr">
        <is>
          <t>X0TH0002</t>
        </is>
      </c>
      <c r="F23" t="inlineStr">
        <is>
          <t>Cast Iron Skillet 12in</t>
        </is>
      </c>
      <c r="G23" t="n">
        <v>1</v>
      </c>
      <c r="H23" t="inlineStr">
        <is>
          <t>PHX7</t>
        </is>
      </c>
      <c r="I23" t="inlineStr">
        <is>
          <t>CUSTOMER_DAMAGED</t>
        </is>
      </c>
      <c r="J23" t="inlineStr">
        <is>
          <t>ORDERED_WRONG_ITEM</t>
        </is>
      </c>
      <c r="K23" t="inlineStr">
        <is>
          <t>Reimbursed</t>
        </is>
      </c>
      <c r="L23">
        <f>IF(AND(OR(I23="DAMAGED",I23="CARRIER_DAMAGED"),ISERROR(SEARCH("reimburs",K23))),"yes","no")</f>
        <v/>
      </c>
    </row>
    <row r="24">
      <c r="A24" t="inlineStr">
        <is>
          <t>2026-06-07</t>
        </is>
      </c>
      <c r="B24" t="inlineStr">
        <is>
          <t>111-4001529-1011856</t>
        </is>
      </c>
      <c r="C24" t="inlineStr">
        <is>
          <t>TH-ENADUT-03</t>
        </is>
      </c>
      <c r="D24" t="inlineStr">
        <is>
          <t>B0TH003KX</t>
        </is>
      </c>
      <c r="E24" t="inlineStr">
        <is>
          <t>X0TH0003</t>
        </is>
      </c>
      <c r="F24" t="inlineStr">
        <is>
          <t>Enamel Dutch Oven 5qt</t>
        </is>
      </c>
      <c r="G24" t="n">
        <v>1</v>
      </c>
      <c r="H24" t="inlineStr">
        <is>
          <t>DFW6</t>
        </is>
      </c>
      <c r="I24" t="inlineStr">
        <is>
          <t>DEFECTIVE</t>
        </is>
      </c>
      <c r="J24" t="inlineStr">
        <is>
          <t>ORDERED_WRONG_ITEM</t>
        </is>
      </c>
      <c r="K24" t="inlineStr">
        <is>
          <t>Reimbursed</t>
        </is>
      </c>
      <c r="L24">
        <f>IF(AND(OR(I24="DAMAGED",I24="CARRIER_DAMAGED"),ISERROR(SEARCH("reimburs",K24))),"yes","no")</f>
        <v/>
      </c>
    </row>
    <row r="25">
      <c r="A25" t="inlineStr">
        <is>
          <t>2026-06-07</t>
        </is>
      </c>
      <c r="B25" t="inlineStr">
        <is>
          <t>111-4006170-5237350</t>
        </is>
      </c>
      <c r="C25" t="inlineStr">
        <is>
          <t>TH-STAMIX-12</t>
        </is>
      </c>
      <c r="D25" t="inlineStr">
        <is>
          <t>B0TH012KX</t>
        </is>
      </c>
      <c r="E25" t="inlineStr">
        <is>
          <t>X0TH0012</t>
        </is>
      </c>
      <c r="F25" t="inlineStr">
        <is>
          <t>Stainless Mixing Bowls 5pc</t>
        </is>
      </c>
      <c r="G25" t="n">
        <v>1</v>
      </c>
      <c r="H25" t="inlineStr">
        <is>
          <t>MDW2</t>
        </is>
      </c>
      <c r="I25" t="inlineStr">
        <is>
          <t>CUSTOMER_DAMAGED</t>
        </is>
      </c>
      <c r="J25" t="inlineStr">
        <is>
          <t>ORDERED_WRONG_ITEM</t>
        </is>
      </c>
      <c r="K25" t="inlineStr">
        <is>
          <t>Reimbursed</t>
        </is>
      </c>
      <c r="L25">
        <f>IF(AND(OR(I25="DAMAGED",I25="CARRIER_DAMAGED"),ISERROR(SEARCH("reimburs",K25))),"yes","no")</f>
        <v/>
      </c>
    </row>
    <row r="26">
      <c r="A26" t="inlineStr">
        <is>
          <t>2026-06-07</t>
        </is>
      </c>
      <c r="B26" t="inlineStr">
        <is>
          <t>111-4006840-8088000</t>
        </is>
      </c>
      <c r="C26" t="inlineStr">
        <is>
          <t>TH-MEACUP-14</t>
        </is>
      </c>
      <c r="D26" t="inlineStr">
        <is>
          <t>B0TH014KX</t>
        </is>
      </c>
      <c r="E26" t="inlineStr">
        <is>
          <t>X0TH0014</t>
        </is>
      </c>
      <c r="F26" t="inlineStr">
        <is>
          <t>Measuring Cups Steel</t>
        </is>
      </c>
      <c r="G26" t="n">
        <v>1</v>
      </c>
      <c r="H26" t="inlineStr">
        <is>
          <t>MDW2</t>
        </is>
      </c>
      <c r="I26" t="inlineStr">
        <is>
          <t>CARRIER_DAMAGED</t>
        </is>
      </c>
      <c r="J26" t="inlineStr">
        <is>
          <t>DEFECTIVE</t>
        </is>
      </c>
      <c r="K26" t="inlineStr">
        <is>
          <t>Unit not returned to inventory</t>
        </is>
      </c>
      <c r="L26">
        <f>IF(AND(OR(I26="DAMAGED",I26="CARRIER_DAMAGED"),ISERROR(SEARCH("reimburs",K26))),"yes","no")</f>
        <v/>
      </c>
    </row>
    <row r="27">
      <c r="A27" t="inlineStr">
        <is>
          <t>2026-06-07</t>
        </is>
      </c>
      <c r="B27" t="inlineStr">
        <is>
          <t>111-4009527-8990155</t>
        </is>
      </c>
      <c r="C27" t="inlineStr">
        <is>
          <t>TH-TEAINF-20</t>
        </is>
      </c>
      <c r="D27" t="inlineStr">
        <is>
          <t>B0TH020KX</t>
        </is>
      </c>
      <c r="E27" t="inlineStr">
        <is>
          <t>X0TH0020</t>
        </is>
      </c>
      <c r="F27" t="inlineStr">
        <is>
          <t>Tea Infuser Mug</t>
        </is>
      </c>
      <c r="G27" t="n">
        <v>1</v>
      </c>
      <c r="H27" t="inlineStr">
        <is>
          <t>DFW6</t>
        </is>
      </c>
      <c r="I27" t="inlineStr">
        <is>
          <t>SELLABLE</t>
        </is>
      </c>
      <c r="J27" t="inlineStr">
        <is>
          <t>DEFECTIVE</t>
        </is>
      </c>
      <c r="K27" t="inlineStr">
        <is>
          <t>Unit returned to inventory</t>
        </is>
      </c>
      <c r="L27">
        <f>IF(AND(OR(I27="DAMAGED",I27="CARRIER_DAMAGED"),ISERROR(SEARCH("reimburs",K27))),"yes","no")</f>
        <v/>
      </c>
    </row>
    <row r="28">
      <c r="A28" t="inlineStr">
        <is>
          <t>2026-06-09</t>
        </is>
      </c>
      <c r="B28" t="inlineStr">
        <is>
          <t>111-4001448-1999806</t>
        </is>
      </c>
      <c r="C28" t="inlineStr">
        <is>
          <t>TH-ENADUT-03</t>
        </is>
      </c>
      <c r="D28" t="inlineStr">
        <is>
          <t>B0TH003KX</t>
        </is>
      </c>
      <c r="E28" t="inlineStr">
        <is>
          <t>X0TH0003</t>
        </is>
      </c>
      <c r="F28" t="inlineStr">
        <is>
          <t>Enamel Dutch Oven 5qt</t>
        </is>
      </c>
      <c r="G28" t="n">
        <v>1</v>
      </c>
      <c r="H28" t="inlineStr">
        <is>
          <t>DFW6</t>
        </is>
      </c>
      <c r="I28" t="inlineStr">
        <is>
          <t>SELLABLE</t>
        </is>
      </c>
      <c r="J28" t="inlineStr">
        <is>
          <t>DEFECTIVE</t>
        </is>
      </c>
      <c r="K28" t="inlineStr">
        <is>
          <t>Unit returned to inventory</t>
        </is>
      </c>
      <c r="L28">
        <f>IF(AND(OR(I28="DAMAGED",I28="CARRIER_DAMAGED"),ISERROR(SEARCH("reimburs",K28))),"yes","no")</f>
        <v/>
      </c>
    </row>
    <row r="29">
      <c r="A29" t="inlineStr">
        <is>
          <t>2026-06-09</t>
        </is>
      </c>
      <c r="B29" t="inlineStr">
        <is>
          <t>111-4007751-8335136</t>
        </is>
      </c>
      <c r="C29" t="inlineStr">
        <is>
          <t>TH-PEPMIL-16</t>
        </is>
      </c>
      <c r="D29" t="inlineStr">
        <is>
          <t>B0TH016KX</t>
        </is>
      </c>
      <c r="E29" t="inlineStr">
        <is>
          <t>X0TH0016</t>
        </is>
      </c>
      <c r="F29" t="inlineStr">
        <is>
          <t>Pepper Mill Walnut</t>
        </is>
      </c>
      <c r="G29" t="n">
        <v>1</v>
      </c>
      <c r="H29" t="inlineStr">
        <is>
          <t>ONT8</t>
        </is>
      </c>
      <c r="I29" t="inlineStr">
        <is>
          <t>CARRIER_DAMAGED</t>
        </is>
      </c>
      <c r="J29" t="inlineStr">
        <is>
          <t>UNWANTED_ITEM</t>
        </is>
      </c>
      <c r="K29" t="inlineStr">
        <is>
          <t>Unit not returned to inventory</t>
        </is>
      </c>
      <c r="L29">
        <f>IF(AND(OR(I29="DAMAGED",I29="CARRIER_DAMAGED"),ISERROR(SEARCH("reimburs",K29))),"yes","no")</f>
        <v/>
      </c>
    </row>
    <row r="30">
      <c r="A30" t="inlineStr">
        <is>
          <t>2026-06-11</t>
        </is>
      </c>
      <c r="B30" t="inlineStr">
        <is>
          <t>111-4006457-3990575</t>
        </is>
      </c>
      <c r="C30" t="inlineStr">
        <is>
          <t>TH-SILSPA-13</t>
        </is>
      </c>
      <c r="D30" t="inlineStr">
        <is>
          <t>B0TH013KX</t>
        </is>
      </c>
      <c r="E30" t="inlineStr">
        <is>
          <t>X0TH0013</t>
        </is>
      </c>
      <c r="F30" t="inlineStr">
        <is>
          <t>Silicone Spatula Set</t>
        </is>
      </c>
      <c r="G30" t="n">
        <v>1</v>
      </c>
      <c r="H30" t="inlineStr">
        <is>
          <t>LAX9</t>
        </is>
      </c>
      <c r="I30" t="inlineStr">
        <is>
          <t>SELLABLE</t>
        </is>
      </c>
      <c r="J30" t="inlineStr">
        <is>
          <t>DEFECTIVE</t>
        </is>
      </c>
      <c r="K30" t="inlineStr">
        <is>
          <t>Unit returned to inventory</t>
        </is>
      </c>
      <c r="L30">
        <f>IF(AND(OR(I30="DAMAGED",I30="CARRIER_DAMAGED"),ISERROR(SEARCH("reimburs",K30))),"yes","no")</f>
        <v/>
      </c>
    </row>
    <row r="31">
      <c r="A31" t="inlineStr">
        <is>
          <t>2026-06-11</t>
        </is>
      </c>
      <c r="B31" t="inlineStr">
        <is>
          <t>111-4007464-4834130</t>
        </is>
      </c>
      <c r="C31" t="inlineStr">
        <is>
          <t>TH-SALCEL-15</t>
        </is>
      </c>
      <c r="D31" t="inlineStr">
        <is>
          <t>B0TH015KX</t>
        </is>
      </c>
      <c r="E31" t="inlineStr">
        <is>
          <t>X0TH0015</t>
        </is>
      </c>
      <c r="F31" t="inlineStr">
        <is>
          <t>Salt Cellar Acacia</t>
        </is>
      </c>
      <c r="G31" t="n">
        <v>1</v>
      </c>
      <c r="H31" t="inlineStr">
        <is>
          <t>DFW6</t>
        </is>
      </c>
      <c r="I31" t="inlineStr">
        <is>
          <t>CUSTOMER_DAMAGED</t>
        </is>
      </c>
      <c r="J31" t="inlineStr">
        <is>
          <t>DEFECTIVE</t>
        </is>
      </c>
      <c r="K31" t="inlineStr">
        <is>
          <t>Unit not returned to inventory</t>
        </is>
      </c>
      <c r="L31">
        <f>IF(AND(OR(I31="DAMAGED",I31="CARRIER_DAMAGED"),ISERROR(SEARCH("reimburs",K31))),"yes","no")</f>
        <v/>
      </c>
    </row>
    <row r="32">
      <c r="A32" t="inlineStr">
        <is>
          <t>2026-06-12</t>
        </is>
      </c>
      <c r="B32" t="inlineStr">
        <is>
          <t>111-4009643-9115491</t>
        </is>
      </c>
      <c r="C32" t="inlineStr">
        <is>
          <t>TH-TEAINF-20</t>
        </is>
      </c>
      <c r="D32" t="inlineStr">
        <is>
          <t>B0TH020KX</t>
        </is>
      </c>
      <c r="E32" t="inlineStr">
        <is>
          <t>X0TH0020</t>
        </is>
      </c>
      <c r="F32" t="inlineStr">
        <is>
          <t>Tea Infuser Mug</t>
        </is>
      </c>
      <c r="G32" t="n">
        <v>1</v>
      </c>
      <c r="H32" t="inlineStr">
        <is>
          <t>DFW6</t>
        </is>
      </c>
      <c r="I32" t="inlineStr">
        <is>
          <t>DAMAGED</t>
        </is>
      </c>
      <c r="J32" t="inlineStr">
        <is>
          <t>DEFECTIVE</t>
        </is>
      </c>
      <c r="K32" t="inlineStr">
        <is>
          <t>Reimbursed</t>
        </is>
      </c>
      <c r="L32">
        <f>IF(AND(OR(I32="DAMAGED",I32="CARRIER_DAMAGED"),ISERROR(SEARCH("reimburs",K32))),"yes","no")</f>
        <v/>
      </c>
    </row>
    <row r="33">
      <c r="A33" t="inlineStr">
        <is>
          <t>2026-06-13</t>
        </is>
      </c>
      <c r="B33" t="inlineStr">
        <is>
          <t>111-4003695-9889298</t>
        </is>
      </c>
      <c r="C33" t="inlineStr">
        <is>
          <t>TH-CHEKNI-08</t>
        </is>
      </c>
      <c r="D33" t="inlineStr">
        <is>
          <t>B0TH008KX</t>
        </is>
      </c>
      <c r="E33" t="inlineStr">
        <is>
          <t>X0TH0008</t>
        </is>
      </c>
      <c r="F33" t="inlineStr">
        <is>
          <t>Chef Knife 8in</t>
        </is>
      </c>
      <c r="G33" t="n">
        <v>1</v>
      </c>
      <c r="H33" t="inlineStr">
        <is>
          <t>DFW6</t>
        </is>
      </c>
      <c r="I33" t="inlineStr">
        <is>
          <t>SELLABLE</t>
        </is>
      </c>
      <c r="J33" t="inlineStr">
        <is>
          <t>UNWANTED_ITEM</t>
        </is>
      </c>
      <c r="K33" t="inlineStr">
        <is>
          <t>Unit returned to inventory</t>
        </is>
      </c>
      <c r="L33">
        <f>IF(AND(OR(I33="DAMAGED",I33="CARRIER_DAMAGED"),ISERROR(SEARCH("reimburs",K33))),"yes","no")</f>
        <v/>
      </c>
    </row>
    <row r="34">
      <c r="A34" t="inlineStr">
        <is>
          <t>2026-06-14</t>
        </is>
      </c>
      <c r="B34" t="inlineStr">
        <is>
          <t>111-4007423-8658050</t>
        </is>
      </c>
      <c r="C34" t="inlineStr">
        <is>
          <t>TH-SALCEL-15</t>
        </is>
      </c>
      <c r="D34" t="inlineStr">
        <is>
          <t>B0TH015KX</t>
        </is>
      </c>
      <c r="E34" t="inlineStr">
        <is>
          <t>X0TH0015</t>
        </is>
      </c>
      <c r="F34" t="inlineStr">
        <is>
          <t>Salt Cellar Acacia</t>
        </is>
      </c>
      <c r="G34" t="n">
        <v>1</v>
      </c>
      <c r="H34" t="inlineStr">
        <is>
          <t>MDW2</t>
        </is>
      </c>
      <c r="I34" t="inlineStr">
        <is>
          <t>DAMAGED</t>
        </is>
      </c>
      <c r="J34" t="inlineStr">
        <is>
          <t>DEFECTIVE</t>
        </is>
      </c>
      <c r="K34" t="inlineStr">
        <is>
          <t>Unit not returned to inventory</t>
        </is>
      </c>
      <c r="L34">
        <f>IF(AND(OR(I34="DAMAGED",I34="CARRIER_DAMAGED"),ISERROR(SEARCH("reimburs",K34))),"yes","no")</f>
        <v/>
      </c>
    </row>
    <row r="35">
      <c r="A35" t="inlineStr">
        <is>
          <t>2026-06-14</t>
        </is>
      </c>
      <c r="B35" t="inlineStr">
        <is>
          <t>111-4010601-7598678</t>
        </is>
      </c>
      <c r="C35" t="inlineStr">
        <is>
          <t>TH-OVEMIT-22</t>
        </is>
      </c>
      <c r="D35" t="inlineStr">
        <is>
          <t>B0TH022KX</t>
        </is>
      </c>
      <c r="E35" t="inlineStr">
        <is>
          <t>X0TH0022</t>
        </is>
      </c>
      <c r="F35" t="inlineStr">
        <is>
          <t>Oven Mitts Aramid Pair</t>
        </is>
      </c>
      <c r="G35" t="n">
        <v>1</v>
      </c>
      <c r="H35" t="inlineStr">
        <is>
          <t>MDW2</t>
        </is>
      </c>
      <c r="I35" t="inlineStr">
        <is>
          <t>CARRIER_DAMAGED</t>
        </is>
      </c>
      <c r="J35" t="inlineStr">
        <is>
          <t>NOT_AS_DESCRIBED</t>
        </is>
      </c>
      <c r="K35" t="inlineStr">
        <is>
          <t>Unit not returned to inventory</t>
        </is>
      </c>
      <c r="L35">
        <f>IF(AND(OR(I35="DAMAGED",I35="CARRIER_DAMAGED"),ISERROR(SEARCH("reimburs",K35))),"yes","no")</f>
        <v/>
      </c>
    </row>
    <row r="36">
      <c r="A36" t="inlineStr">
        <is>
          <t>2026-06-15</t>
        </is>
      </c>
      <c r="B36" t="inlineStr">
        <is>
          <t>111-4008662-1188262</t>
        </is>
      </c>
      <c r="C36" t="inlineStr">
        <is>
          <t>TH-POUOVE-18</t>
        </is>
      </c>
      <c r="D36" t="inlineStr">
        <is>
          <t>B0TH018KX</t>
        </is>
      </c>
      <c r="E36" t="inlineStr">
        <is>
          <t>X0TH0018</t>
        </is>
      </c>
      <c r="F36" t="inlineStr">
        <is>
          <t>Pour Over Kettle Gooseneck</t>
        </is>
      </c>
      <c r="G36" t="n">
        <v>1</v>
      </c>
      <c r="H36" t="inlineStr">
        <is>
          <t>DFW6</t>
        </is>
      </c>
      <c r="I36" t="inlineStr">
        <is>
          <t>SELLABLE</t>
        </is>
      </c>
      <c r="J36" t="inlineStr">
        <is>
          <t>UNWANTED_ITEM</t>
        </is>
      </c>
      <c r="K36" t="inlineStr">
        <is>
          <t>Unit returned to inventory</t>
        </is>
      </c>
      <c r="L36">
        <f>IF(AND(OR(I36="DAMAGED",I36="CARRIER_DAMAGED"),ISERROR(SEARCH("reimburs",K36))),"yes","no")</f>
        <v/>
      </c>
    </row>
    <row r="37">
      <c r="A37" t="inlineStr">
        <is>
          <t>2026-06-16</t>
        </is>
      </c>
      <c r="B37" t="inlineStr">
        <is>
          <t>111-4001923-2381660</t>
        </is>
      </c>
      <c r="C37" t="inlineStr">
        <is>
          <t>TH-CARSTE-04</t>
        </is>
      </c>
      <c r="D37" t="inlineStr">
        <is>
          <t>B0TH004KX</t>
        </is>
      </c>
      <c r="E37" t="inlineStr">
        <is>
          <t>X0TH0004</t>
        </is>
      </c>
      <c r="F37" t="inlineStr">
        <is>
          <t>Carbon Steel Wok</t>
        </is>
      </c>
      <c r="G37" t="n">
        <v>1</v>
      </c>
      <c r="H37" t="inlineStr">
        <is>
          <t>DFW6</t>
        </is>
      </c>
      <c r="I37" t="inlineStr">
        <is>
          <t>DAMAGED</t>
        </is>
      </c>
      <c r="J37" t="inlineStr">
        <is>
          <t>NOT_AS_DESCRIBED</t>
        </is>
      </c>
      <c r="K37" t="inlineStr">
        <is>
          <t>Unit not returned to inventory</t>
        </is>
      </c>
      <c r="L37">
        <f>IF(AND(OR(I37="DAMAGED",I37="CARRIER_DAMAGED"),ISERROR(SEARCH("reimburs",K37))),"yes","no")</f>
        <v/>
      </c>
    </row>
    <row r="38">
      <c r="A38" t="inlineStr">
        <is>
          <t>2026-06-16</t>
        </is>
      </c>
      <c r="B38" t="inlineStr">
        <is>
          <t>111-4004574-8148369</t>
        </is>
      </c>
      <c r="C38" t="inlineStr">
        <is>
          <t>TH-BREKNI-10</t>
        </is>
      </c>
      <c r="D38" t="inlineStr">
        <is>
          <t>B0TH010KX</t>
        </is>
      </c>
      <c r="E38" t="inlineStr">
        <is>
          <t>X0TH0010</t>
        </is>
      </c>
      <c r="F38" t="inlineStr">
        <is>
          <t>Bread Knife 10in</t>
        </is>
      </c>
      <c r="G38" t="n">
        <v>1</v>
      </c>
      <c r="H38" t="inlineStr">
        <is>
          <t>LAX9</t>
        </is>
      </c>
      <c r="I38" t="inlineStr">
        <is>
          <t>DEFECTIVE</t>
        </is>
      </c>
      <c r="J38" t="inlineStr">
        <is>
          <t>DEFECTIVE</t>
        </is>
      </c>
      <c r="K38" t="inlineStr">
        <is>
          <t>Unit not returned to inventory</t>
        </is>
      </c>
      <c r="L38">
        <f>IF(AND(OR(I38="DAMAGED",I38="CARRIER_DAMAGED"),ISERROR(SEARCH("reimburs",K38))),"yes","no")</f>
        <v/>
      </c>
    </row>
    <row r="39">
      <c r="A39" t="inlineStr">
        <is>
          <t>2026-06-16</t>
        </is>
      </c>
      <c r="B39" t="inlineStr">
        <is>
          <t>111-4005273-5446135</t>
        </is>
      </c>
      <c r="C39" t="inlineStr">
        <is>
          <t>TH-KNISHA-11</t>
        </is>
      </c>
      <c r="D39" t="inlineStr">
        <is>
          <t>B0TH011KX</t>
        </is>
      </c>
      <c r="E39" t="inlineStr">
        <is>
          <t>X0TH0011</t>
        </is>
      </c>
      <c r="F39" t="inlineStr">
        <is>
          <t>Knife Sharpener Whetstone</t>
        </is>
      </c>
      <c r="G39" t="n">
        <v>1</v>
      </c>
      <c r="H39" t="inlineStr">
        <is>
          <t>DFW6</t>
        </is>
      </c>
      <c r="I39" t="inlineStr">
        <is>
          <t>SELLABLE</t>
        </is>
      </c>
      <c r="J39" t="inlineStr">
        <is>
          <t>ORDERED_WRONG_ITEM</t>
        </is>
      </c>
      <c r="K39" t="inlineStr">
        <is>
          <t>Unit returned to inventory</t>
        </is>
      </c>
      <c r="L39">
        <f>IF(AND(OR(I39="DAMAGED",I39="CARRIER_DAMAGED"),ISERROR(SEARCH("reimburs",K39))),"yes","no")</f>
        <v/>
      </c>
    </row>
    <row r="40">
      <c r="A40" t="inlineStr">
        <is>
          <t>2026-06-16</t>
        </is>
      </c>
      <c r="B40" t="inlineStr">
        <is>
          <t>111-4005475-8663326</t>
        </is>
      </c>
      <c r="C40" t="inlineStr">
        <is>
          <t>TH-KNISHA-11</t>
        </is>
      </c>
      <c r="D40" t="inlineStr">
        <is>
          <t>B0TH011KX</t>
        </is>
      </c>
      <c r="E40" t="inlineStr">
        <is>
          <t>X0TH0011</t>
        </is>
      </c>
      <c r="F40" t="inlineStr">
        <is>
          <t>Knife Sharpener Whetstone</t>
        </is>
      </c>
      <c r="G40" t="n">
        <v>1</v>
      </c>
      <c r="H40" t="inlineStr">
        <is>
          <t>DFW6</t>
        </is>
      </c>
      <c r="I40" t="inlineStr">
        <is>
          <t>DAMAGED</t>
        </is>
      </c>
      <c r="J40" t="inlineStr">
        <is>
          <t>NOT_AS_DESCRIBED</t>
        </is>
      </c>
      <c r="K40" t="inlineStr">
        <is>
          <t>Unit not returned to inventory</t>
        </is>
      </c>
      <c r="L40">
        <f>IF(AND(OR(I40="DAMAGED",I40="CARRIER_DAMAGED"),ISERROR(SEARCH("reimburs",K40))),"yes","no")</f>
        <v/>
      </c>
    </row>
    <row r="41">
      <c r="A41" t="inlineStr">
        <is>
          <t>2026-06-16</t>
        </is>
      </c>
      <c r="B41" t="inlineStr">
        <is>
          <t>111-4008592-3878699</t>
        </is>
      </c>
      <c r="C41" t="inlineStr">
        <is>
          <t>TH-POUOVE-18</t>
        </is>
      </c>
      <c r="D41" t="inlineStr">
        <is>
          <t>B0TH018KX</t>
        </is>
      </c>
      <c r="E41" t="inlineStr">
        <is>
          <t>X0TH0018</t>
        </is>
      </c>
      <c r="F41" t="inlineStr">
        <is>
          <t>Pour Over Kettle Gooseneck</t>
        </is>
      </c>
      <c r="G41" t="n">
        <v>1</v>
      </c>
      <c r="H41" t="inlineStr">
        <is>
          <t>ONT8</t>
        </is>
      </c>
      <c r="I41" t="inlineStr">
        <is>
          <t>SELLABLE</t>
        </is>
      </c>
      <c r="J41" t="inlineStr">
        <is>
          <t>NOT_AS_DESCRIBED</t>
        </is>
      </c>
      <c r="K41" t="inlineStr">
        <is>
          <t>Unit returned to inventory</t>
        </is>
      </c>
      <c r="L41">
        <f>IF(AND(OR(I41="DAMAGED",I41="CARRIER_DAMAGED"),ISERROR(SEARCH("reimburs",K41))),"yes","no")</f>
        <v/>
      </c>
    </row>
    <row r="42">
      <c r="A42" t="inlineStr">
        <is>
          <t>2026-06-19</t>
        </is>
      </c>
      <c r="B42" t="inlineStr">
        <is>
          <t>111-4006443-4064328</t>
        </is>
      </c>
      <c r="C42" t="inlineStr">
        <is>
          <t>TH-SILSPA-13</t>
        </is>
      </c>
      <c r="D42" t="inlineStr">
        <is>
          <t>B0TH013KX</t>
        </is>
      </c>
      <c r="E42" t="inlineStr">
        <is>
          <t>X0TH0013</t>
        </is>
      </c>
      <c r="F42" t="inlineStr">
        <is>
          <t>Silicone Spatula Set</t>
        </is>
      </c>
      <c r="G42" t="n">
        <v>1</v>
      </c>
      <c r="H42" t="inlineStr">
        <is>
          <t>PHX7</t>
        </is>
      </c>
      <c r="I42" t="inlineStr">
        <is>
          <t>CUSTOMER_DAMAGED</t>
        </is>
      </c>
      <c r="J42" t="inlineStr">
        <is>
          <t>ORDERED_WRONG_ITEM</t>
        </is>
      </c>
      <c r="K42" t="inlineStr">
        <is>
          <t>Reimbursed</t>
        </is>
      </c>
      <c r="L42">
        <f>IF(AND(OR(I42="DAMAGED",I42="CARRIER_DAMAGED"),ISERROR(SEARCH("reimburs",K42))),"yes","no")</f>
        <v/>
      </c>
    </row>
    <row r="43">
      <c r="A43" t="inlineStr">
        <is>
          <t>2026-06-19</t>
        </is>
      </c>
      <c r="B43" t="inlineStr">
        <is>
          <t>111-4011604-6801555</t>
        </is>
      </c>
      <c r="C43" t="inlineStr">
        <is>
          <t>TH-KITTOW-24</t>
        </is>
      </c>
      <c r="D43" t="inlineStr">
        <is>
          <t>B0TH024KX</t>
        </is>
      </c>
      <c r="E43" t="inlineStr">
        <is>
          <t>X0TH0024</t>
        </is>
      </c>
      <c r="F43" t="inlineStr">
        <is>
          <t>Kitchen Towels Linen 4pk</t>
        </is>
      </c>
      <c r="G43" t="n">
        <v>1</v>
      </c>
      <c r="H43" t="inlineStr">
        <is>
          <t>DFW6</t>
        </is>
      </c>
      <c r="I43" t="inlineStr">
        <is>
          <t>SELLABLE</t>
        </is>
      </c>
      <c r="J43" t="inlineStr">
        <is>
          <t>NOT_AS_DESCRIBED</t>
        </is>
      </c>
      <c r="K43" t="inlineStr">
        <is>
          <t>Unit returned to inventory</t>
        </is>
      </c>
      <c r="L43">
        <f>IF(AND(OR(I43="DAMAGED",I43="CARRIER_DAMAGED"),ISERROR(SEARCH("reimburs",K43))),"yes","no")</f>
        <v/>
      </c>
    </row>
    <row r="44">
      <c r="A44" t="inlineStr">
        <is>
          <t>2026-06-23</t>
        </is>
      </c>
      <c r="B44" t="inlineStr">
        <is>
          <t>111-4003726-8282721</t>
        </is>
      </c>
      <c r="C44" t="inlineStr">
        <is>
          <t>TH-CHEKNI-08</t>
        </is>
      </c>
      <c r="D44" t="inlineStr">
        <is>
          <t>B0TH008KX</t>
        </is>
      </c>
      <c r="E44" t="inlineStr">
        <is>
          <t>X0TH0008</t>
        </is>
      </c>
      <c r="F44" t="inlineStr">
        <is>
          <t>Chef Knife 8in</t>
        </is>
      </c>
      <c r="G44" t="n">
        <v>1</v>
      </c>
      <c r="H44" t="inlineStr">
        <is>
          <t>DFW6</t>
        </is>
      </c>
      <c r="I44" t="inlineStr">
        <is>
          <t>SELLABLE</t>
        </is>
      </c>
      <c r="J44" t="inlineStr">
        <is>
          <t>ORDERED_WRONG_ITEM</t>
        </is>
      </c>
      <c r="K44" t="inlineStr">
        <is>
          <t>Unit returned to inventory</t>
        </is>
      </c>
      <c r="L44">
        <f>IF(AND(OR(I44="DAMAGED",I44="CARRIER_DAMAGED"),ISERROR(SEARCH("reimburs",K44))),"yes","no")</f>
        <v/>
      </c>
    </row>
    <row r="45">
      <c r="A45" t="inlineStr">
        <is>
          <t>2026-06-23</t>
        </is>
      </c>
      <c r="B45" t="inlineStr">
        <is>
          <t>111-4011181-2586149</t>
        </is>
      </c>
      <c r="C45" t="inlineStr">
        <is>
          <t>TH-TRICOR-23</t>
        </is>
      </c>
      <c r="D45" t="inlineStr">
        <is>
          <t>B0TH023KX</t>
        </is>
      </c>
      <c r="E45" t="inlineStr">
        <is>
          <t>X0TH0023</t>
        </is>
      </c>
      <c r="F45" t="inlineStr">
        <is>
          <t>Trivet Cork Set</t>
        </is>
      </c>
      <c r="G45" t="n">
        <v>1</v>
      </c>
      <c r="H45" t="inlineStr">
        <is>
          <t>PHX7</t>
        </is>
      </c>
      <c r="I45" t="inlineStr">
        <is>
          <t>SELLABLE</t>
        </is>
      </c>
      <c r="J45" t="inlineStr">
        <is>
          <t>UNWANTED_ITEM</t>
        </is>
      </c>
      <c r="K45" t="inlineStr">
        <is>
          <t>Unit returned to inventory</t>
        </is>
      </c>
      <c r="L45">
        <f>IF(AND(OR(I45="DAMAGED",I45="CARRIER_DAMAGED"),ISERROR(SEARCH("reimburs",K45))),"yes","no")</f>
        <v/>
      </c>
    </row>
    <row r="46">
      <c r="A46" t="inlineStr">
        <is>
          <t>2026-06-25</t>
        </is>
      </c>
      <c r="B46" t="inlineStr">
        <is>
          <t>111-4005202-4555698</t>
        </is>
      </c>
      <c r="C46" t="inlineStr">
        <is>
          <t>TH-KNISHA-11</t>
        </is>
      </c>
      <c r="D46" t="inlineStr">
        <is>
          <t>B0TH011KX</t>
        </is>
      </c>
      <c r="E46" t="inlineStr">
        <is>
          <t>X0TH0011</t>
        </is>
      </c>
      <c r="F46" t="inlineStr">
        <is>
          <t>Knife Sharpener Whetstone</t>
        </is>
      </c>
      <c r="G46" t="n">
        <v>1</v>
      </c>
      <c r="H46" t="inlineStr">
        <is>
          <t>PHX7</t>
        </is>
      </c>
      <c r="I46" t="inlineStr">
        <is>
          <t>SELLABLE</t>
        </is>
      </c>
      <c r="J46" t="inlineStr">
        <is>
          <t>ORDERED_WRONG_ITEM</t>
        </is>
      </c>
      <c r="K46" t="inlineStr">
        <is>
          <t>Unit returned to inventory</t>
        </is>
      </c>
      <c r="L46">
        <f>IF(AND(OR(I46="DAMAGED",I46="CARRIER_DAMAGED"),ISERROR(SEARCH("reimburs",K46))),"yes","no")</f>
        <v/>
      </c>
    </row>
    <row r="47">
      <c r="A47" t="inlineStr">
        <is>
          <t>2026-06-25</t>
        </is>
      </c>
      <c r="B47" t="inlineStr">
        <is>
          <t>111-4007359-1778709</t>
        </is>
      </c>
      <c r="C47" t="inlineStr">
        <is>
          <t>TH-SALCEL-15</t>
        </is>
      </c>
      <c r="D47" t="inlineStr">
        <is>
          <t>B0TH015KX</t>
        </is>
      </c>
      <c r="E47" t="inlineStr">
        <is>
          <t>X0TH0015</t>
        </is>
      </c>
      <c r="F47" t="inlineStr">
        <is>
          <t>Salt Cellar Acacia</t>
        </is>
      </c>
      <c r="G47" t="n">
        <v>1</v>
      </c>
      <c r="H47" t="inlineStr">
        <is>
          <t>MDW2</t>
        </is>
      </c>
      <c r="I47" t="inlineStr">
        <is>
          <t>SELLABLE</t>
        </is>
      </c>
      <c r="J47" t="inlineStr">
        <is>
          <t>ORDERED_WRONG_ITEM</t>
        </is>
      </c>
      <c r="K47" t="inlineStr">
        <is>
          <t>Unit returned to inventory</t>
        </is>
      </c>
      <c r="L47">
        <f>IF(AND(OR(I47="DAMAGED",I47="CARRIER_DAMAGED"),ISERROR(SEARCH("reimburs",K47))),"yes","no")</f>
        <v/>
      </c>
    </row>
    <row r="48">
      <c r="A48" t="inlineStr">
        <is>
          <t>2026-06-26</t>
        </is>
      </c>
      <c r="B48" t="inlineStr">
        <is>
          <t>111-4011091-9800846</t>
        </is>
      </c>
      <c r="C48" t="inlineStr">
        <is>
          <t>TH-TRICOR-23</t>
        </is>
      </c>
      <c r="D48" t="inlineStr">
        <is>
          <t>B0TH023KX</t>
        </is>
      </c>
      <c r="E48" t="inlineStr">
        <is>
          <t>X0TH0023</t>
        </is>
      </c>
      <c r="F48" t="inlineStr">
        <is>
          <t>Trivet Cork Set</t>
        </is>
      </c>
      <c r="G48" t="n">
        <v>1</v>
      </c>
      <c r="H48" t="inlineStr">
        <is>
          <t>MDW2</t>
        </is>
      </c>
      <c r="I48" t="inlineStr">
        <is>
          <t>CUSTOMER_DAMAGED</t>
        </is>
      </c>
      <c r="J48" t="inlineStr">
        <is>
          <t>NOT_AS_DESCRIBED</t>
        </is>
      </c>
      <c r="K48" t="inlineStr">
        <is>
          <t>Unit not returned to inventory</t>
        </is>
      </c>
      <c r="L48">
        <f>IF(AND(OR(I48="DAMAGED",I48="CARRIER_DAMAGED"),ISERROR(SEARCH("reimburs",K48))),"yes","no")</f>
        <v/>
      </c>
    </row>
    <row r="49">
      <c r="A49" t="inlineStr">
        <is>
          <t>2026-06-28</t>
        </is>
      </c>
      <c r="B49" t="inlineStr">
        <is>
          <t>111-4005369-2718496</t>
        </is>
      </c>
      <c r="C49" t="inlineStr">
        <is>
          <t>TH-KNISHA-11</t>
        </is>
      </c>
      <c r="D49" t="inlineStr">
        <is>
          <t>B0TH011KX</t>
        </is>
      </c>
      <c r="E49" t="inlineStr">
        <is>
          <t>X0TH0011</t>
        </is>
      </c>
      <c r="F49" t="inlineStr">
        <is>
          <t>Knife Sharpener Whetstone</t>
        </is>
      </c>
      <c r="G49" t="n">
        <v>1</v>
      </c>
      <c r="H49" t="inlineStr">
        <is>
          <t>MDW2</t>
        </is>
      </c>
      <c r="I49" t="inlineStr">
        <is>
          <t>SELLABLE</t>
        </is>
      </c>
      <c r="J49" t="inlineStr">
        <is>
          <t>NOT_AS_DESCRIBED</t>
        </is>
      </c>
      <c r="K49" t="inlineStr">
        <is>
          <t>Unit returned to inventory</t>
        </is>
      </c>
      <c r="L49">
        <f>IF(AND(OR(I49="DAMAGED",I49="CARRIER_DAMAGED"),ISERROR(SEARCH("reimburs",K49))),"yes","no")</f>
        <v/>
      </c>
    </row>
    <row r="50">
      <c r="A50" t="inlineStr">
        <is>
          <t>2026-06-29</t>
        </is>
      </c>
      <c r="B50" t="inlineStr">
        <is>
          <t>111-4004556-1470117</t>
        </is>
      </c>
      <c r="C50" t="inlineStr">
        <is>
          <t>TH-BREKNI-10</t>
        </is>
      </c>
      <c r="D50" t="inlineStr">
        <is>
          <t>B0TH010KX</t>
        </is>
      </c>
      <c r="E50" t="inlineStr">
        <is>
          <t>X0TH0010</t>
        </is>
      </c>
      <c r="F50" t="inlineStr">
        <is>
          <t>Bread Knife 10in</t>
        </is>
      </c>
      <c r="G50" t="n">
        <v>1</v>
      </c>
      <c r="H50" t="inlineStr">
        <is>
          <t>ONT8</t>
        </is>
      </c>
      <c r="I50" t="inlineStr">
        <is>
          <t>CARRIER_DAMAGED</t>
        </is>
      </c>
      <c r="J50" t="inlineStr">
        <is>
          <t>NOT_AS_DESCRIBED</t>
        </is>
      </c>
      <c r="K50" t="inlineStr">
        <is>
          <t>Unit not returned to inventory</t>
        </is>
      </c>
      <c r="L50">
        <f>IF(AND(OR(I50="DAMAGED",I50="CARRIER_DAMAGED"),ISERROR(SEARCH("reimburs",K50))),"yes","no")</f>
        <v/>
      </c>
    </row>
    <row r="51">
      <c r="A51" t="inlineStr">
        <is>
          <t>2026-06-30</t>
        </is>
      </c>
      <c r="B51" t="inlineStr">
        <is>
          <t>111-4002767-7547464</t>
        </is>
      </c>
      <c r="C51" t="inlineStr">
        <is>
          <t>TH-BAMCUT-06</t>
        </is>
      </c>
      <c r="D51" t="inlineStr">
        <is>
          <t>B0TH006KX</t>
        </is>
      </c>
      <c r="E51" t="inlineStr">
        <is>
          <t>X0TH0006</t>
        </is>
      </c>
      <c r="F51" t="inlineStr">
        <is>
          <t>Bamboo Cutting Board M</t>
        </is>
      </c>
      <c r="G51" t="n">
        <v>1</v>
      </c>
      <c r="H51" t="inlineStr">
        <is>
          <t>ONT8</t>
        </is>
      </c>
      <c r="I51" t="inlineStr">
        <is>
          <t>DEFECTIVE</t>
        </is>
      </c>
      <c r="J51" t="inlineStr">
        <is>
          <t>NOT_AS_DESCRIBED</t>
        </is>
      </c>
      <c r="K51" t="inlineStr">
        <is>
          <t>Unit not returned to inventory</t>
        </is>
      </c>
      <c r="L51">
        <f>IF(AND(OR(I51="DAMAGED",I51="CARRIER_DAMAGED"),ISERROR(SEARCH("reimburs",K51))),"yes","no")</f>
        <v/>
      </c>
    </row>
    <row r="52">
      <c r="A52" t="inlineStr">
        <is>
          <t>2026-06-30</t>
        </is>
      </c>
      <c r="B52" t="inlineStr">
        <is>
          <t>111-4010271-7097275</t>
        </is>
      </c>
      <c r="C52" t="inlineStr">
        <is>
          <t>TH-APRWAX-21</t>
        </is>
      </c>
      <c r="D52" t="inlineStr">
        <is>
          <t>B0TH021KX</t>
        </is>
      </c>
      <c r="E52" t="inlineStr">
        <is>
          <t>X0TH0021</t>
        </is>
      </c>
      <c r="F52" t="inlineStr">
        <is>
          <t>Apron Waxed Canvas</t>
        </is>
      </c>
      <c r="G52" t="n">
        <v>1</v>
      </c>
      <c r="H52" t="inlineStr">
        <is>
          <t>LAX9</t>
        </is>
      </c>
      <c r="I52" t="inlineStr">
        <is>
          <t>SELLABLE</t>
        </is>
      </c>
      <c r="J52" t="inlineStr">
        <is>
          <t>DEFECTIVE</t>
        </is>
      </c>
      <c r="K52" t="inlineStr">
        <is>
          <t>Unit returned to inventory</t>
        </is>
      </c>
      <c r="L52">
        <f>IF(AND(OR(I52="DAMAGED",I52="CARRIER_DAMAGED"),ISERROR(SEARCH("reimburs",K52))),"yes","no")</f>
        <v/>
      </c>
    </row>
    <row r="53">
      <c r="A53" t="inlineStr">
        <is>
          <t>2026-07-01</t>
        </is>
      </c>
      <c r="B53" t="inlineStr">
        <is>
          <t>111-4000339-4867996</t>
        </is>
      </c>
      <c r="C53" t="inlineStr">
        <is>
          <t>TH-CASIRO-01</t>
        </is>
      </c>
      <c r="D53" t="inlineStr">
        <is>
          <t>B0TH001KX</t>
        </is>
      </c>
      <c r="E53" t="inlineStr">
        <is>
          <t>X0TH0001</t>
        </is>
      </c>
      <c r="F53" t="inlineStr">
        <is>
          <t>Cast Iron Skillet 10in</t>
        </is>
      </c>
      <c r="G53" t="n">
        <v>1</v>
      </c>
      <c r="H53" t="inlineStr">
        <is>
          <t>LAX9</t>
        </is>
      </c>
      <c r="I53" t="inlineStr">
        <is>
          <t>CUSTOMER_DAMAGED</t>
        </is>
      </c>
      <c r="J53" t="inlineStr">
        <is>
          <t>DEFECTIVE</t>
        </is>
      </c>
      <c r="K53" t="inlineStr">
        <is>
          <t>Unit not returned to inventory</t>
        </is>
      </c>
      <c r="L53">
        <f>IF(AND(OR(I53="DAMAGED",I53="CARRIER_DAMAGED"),ISERROR(SEARCH("reimburs",K53))),"yes","no")</f>
        <v/>
      </c>
    </row>
    <row r="54">
      <c r="A54" t="inlineStr">
        <is>
          <t>2026-07-01</t>
        </is>
      </c>
      <c r="B54" t="inlineStr">
        <is>
          <t>111-4009139-5700270</t>
        </is>
      </c>
      <c r="C54" t="inlineStr">
        <is>
          <t>TH-COFCAN-19</t>
        </is>
      </c>
      <c r="D54" t="inlineStr">
        <is>
          <t>B0TH019KX</t>
        </is>
      </c>
      <c r="E54" t="inlineStr">
        <is>
          <t>X0TH0019</t>
        </is>
      </c>
      <c r="F54" t="inlineStr">
        <is>
          <t>Coffee Canister Airtight</t>
        </is>
      </c>
      <c r="G54" t="n">
        <v>1</v>
      </c>
      <c r="H54" t="inlineStr">
        <is>
          <t>LAX9</t>
        </is>
      </c>
      <c r="I54" t="inlineStr">
        <is>
          <t>DEFECTIVE</t>
        </is>
      </c>
      <c r="J54" t="inlineStr">
        <is>
          <t>ORDERED_WRONG_ITEM</t>
        </is>
      </c>
      <c r="K54" t="inlineStr">
        <is>
          <t>Reimbursed</t>
        </is>
      </c>
      <c r="L54">
        <f>IF(AND(OR(I54="DAMAGED",I54="CARRIER_DAMAGED"),ISERROR(SEARCH("reimburs",K54))),"yes","no")</f>
        <v/>
      </c>
    </row>
    <row r="55">
      <c r="A55" t="inlineStr">
        <is>
          <t>2026-07-02</t>
        </is>
      </c>
      <c r="B55" t="inlineStr">
        <is>
          <t>111-4000980-5092017</t>
        </is>
      </c>
      <c r="C55" t="inlineStr">
        <is>
          <t>TH-CASIRO-02</t>
        </is>
      </c>
      <c r="D55" t="inlineStr">
        <is>
          <t>B0TH002KX</t>
        </is>
      </c>
      <c r="E55" t="inlineStr">
        <is>
          <t>X0TH0002</t>
        </is>
      </c>
      <c r="F55" t="inlineStr">
        <is>
          <t>Cast Iron Skillet 12in</t>
        </is>
      </c>
      <c r="G55" t="n">
        <v>1</v>
      </c>
      <c r="H55" t="inlineStr">
        <is>
          <t>PHX7</t>
        </is>
      </c>
      <c r="I55" t="inlineStr">
        <is>
          <t>SELLABLE</t>
        </is>
      </c>
      <c r="J55" t="inlineStr">
        <is>
          <t>UNWANTED_ITEM</t>
        </is>
      </c>
      <c r="K55" t="inlineStr">
        <is>
          <t>Unit returned to inventory</t>
        </is>
      </c>
      <c r="L55">
        <f>IF(AND(OR(I55="DAMAGED",I55="CARRIER_DAMAGED"),ISERROR(SEARCH("reimburs",K55))),"yes","no")</f>
        <v/>
      </c>
    </row>
    <row r="56">
      <c r="A56" t="inlineStr">
        <is>
          <t>2026-07-02</t>
        </is>
      </c>
      <c r="B56" t="inlineStr">
        <is>
          <t>111-4004086-9676371</t>
        </is>
      </c>
      <c r="C56" t="inlineStr">
        <is>
          <t>TH-PARKNI-09</t>
        </is>
      </c>
      <c r="D56" t="inlineStr">
        <is>
          <t>B0TH009KX</t>
        </is>
      </c>
      <c r="E56" t="inlineStr">
        <is>
          <t>X0TH0009</t>
        </is>
      </c>
      <c r="F56" t="inlineStr">
        <is>
          <t>Paring Knife 3.5in</t>
        </is>
      </c>
      <c r="G56" t="n">
        <v>1</v>
      </c>
      <c r="H56" t="inlineStr">
        <is>
          <t>PHX7</t>
        </is>
      </c>
      <c r="I56" t="inlineStr">
        <is>
          <t>CUSTOMER_DAMAGED</t>
        </is>
      </c>
      <c r="J56" t="inlineStr">
        <is>
          <t>UNWANTED_ITEM</t>
        </is>
      </c>
      <c r="K56" t="inlineStr">
        <is>
          <t>Reimbursed</t>
        </is>
      </c>
      <c r="L56">
        <f>IF(AND(OR(I56="DAMAGED",I56="CARRIER_DAMAGED"),ISERROR(SEARCH("reimburs",K56))),"yes","no")</f>
        <v/>
      </c>
    </row>
    <row r="57">
      <c r="A57" t="inlineStr">
        <is>
          <t>2026-07-06</t>
        </is>
      </c>
      <c r="B57" t="inlineStr">
        <is>
          <t>111-4000172-1485759</t>
        </is>
      </c>
      <c r="C57" t="inlineStr">
        <is>
          <t>TH-CASIRO-01</t>
        </is>
      </c>
      <c r="D57" t="inlineStr">
        <is>
          <t>B0TH001KX</t>
        </is>
      </c>
      <c r="E57" t="inlineStr">
        <is>
          <t>X0TH0001</t>
        </is>
      </c>
      <c r="F57" t="inlineStr">
        <is>
          <t>Cast Iron Skillet 10in</t>
        </is>
      </c>
      <c r="G57" t="n">
        <v>1</v>
      </c>
      <c r="H57" t="inlineStr">
        <is>
          <t>DFW6</t>
        </is>
      </c>
      <c r="I57" t="inlineStr">
        <is>
          <t>CARRIER_DAMAGED</t>
        </is>
      </c>
      <c r="J57" t="inlineStr">
        <is>
          <t>UNWANTED_ITEM</t>
        </is>
      </c>
      <c r="K57" t="inlineStr">
        <is>
          <t>Unit not returned to inventory</t>
        </is>
      </c>
      <c r="L57">
        <f>IF(AND(OR(I57="DAMAGED",I57="CARRIER_DAMAGED"),ISERROR(SEARCH("reimburs",K57))),"yes","no")</f>
        <v/>
      </c>
    </row>
    <row r="58">
      <c r="A58" t="inlineStr">
        <is>
          <t>2026-07-06</t>
        </is>
      </c>
      <c r="B58" t="inlineStr">
        <is>
          <t>111-4009221-3909542</t>
        </is>
      </c>
      <c r="C58" t="inlineStr">
        <is>
          <t>TH-COFCAN-19</t>
        </is>
      </c>
      <c r="D58" t="inlineStr">
        <is>
          <t>B0TH019KX</t>
        </is>
      </c>
      <c r="E58" t="inlineStr">
        <is>
          <t>X0TH0019</t>
        </is>
      </c>
      <c r="F58" t="inlineStr">
        <is>
          <t>Coffee Canister Airtight</t>
        </is>
      </c>
      <c r="G58" t="n">
        <v>1</v>
      </c>
      <c r="H58" t="inlineStr">
        <is>
          <t>ONT8</t>
        </is>
      </c>
      <c r="I58" t="inlineStr">
        <is>
          <t>CARRIER_DAMAGED</t>
        </is>
      </c>
      <c r="J58" t="inlineStr">
        <is>
          <t>UNWANTED_ITEM</t>
        </is>
      </c>
      <c r="K58" t="inlineStr">
        <is>
          <t>Unit not returned to inventory</t>
        </is>
      </c>
      <c r="L58">
        <f>IF(AND(OR(I58="DAMAGED",I58="CARRIER_DAMAGED"),ISERROR(SEARCH("reimburs",K58))),"yes","no")</f>
        <v/>
      </c>
    </row>
    <row r="59">
      <c r="A59" t="inlineStr">
        <is>
          <t>2026-07-06</t>
        </is>
      </c>
      <c r="B59" t="inlineStr">
        <is>
          <t>111-4010114-7638485</t>
        </is>
      </c>
      <c r="C59" t="inlineStr">
        <is>
          <t>TH-APRWAX-21</t>
        </is>
      </c>
      <c r="D59" t="inlineStr">
        <is>
          <t>B0TH021KX</t>
        </is>
      </c>
      <c r="E59" t="inlineStr">
        <is>
          <t>X0TH0021</t>
        </is>
      </c>
      <c r="F59" t="inlineStr">
        <is>
          <t>Apron Waxed Canvas</t>
        </is>
      </c>
      <c r="G59" t="n">
        <v>1</v>
      </c>
      <c r="H59" t="inlineStr">
        <is>
          <t>DFW6</t>
        </is>
      </c>
      <c r="I59" t="inlineStr">
        <is>
          <t>SELLABLE</t>
        </is>
      </c>
      <c r="J59" t="inlineStr">
        <is>
          <t>UNWANTED_ITEM</t>
        </is>
      </c>
      <c r="K59" t="inlineStr">
        <is>
          <t>Unit returned to inventory</t>
        </is>
      </c>
      <c r="L59">
        <f>IF(AND(OR(I59="DAMAGED",I59="CARRIER_DAMAGED"),ISERROR(SEARCH("reimburs",K59))),"yes","no")</f>
        <v/>
      </c>
    </row>
    <row r="60">
      <c r="A60" t="inlineStr">
        <is>
          <t>2026-07-09</t>
        </is>
      </c>
      <c r="B60" t="inlineStr">
        <is>
          <t>111-4009121-3689668</t>
        </is>
      </c>
      <c r="C60" t="inlineStr">
        <is>
          <t>TH-COFCAN-19</t>
        </is>
      </c>
      <c r="D60" t="inlineStr">
        <is>
          <t>B0TH019KX</t>
        </is>
      </c>
      <c r="E60" t="inlineStr">
        <is>
          <t>X0TH0019</t>
        </is>
      </c>
      <c r="F60" t="inlineStr">
        <is>
          <t>Coffee Canister Airtight</t>
        </is>
      </c>
      <c r="G60" t="n">
        <v>1</v>
      </c>
      <c r="H60" t="inlineStr">
        <is>
          <t>LAX9</t>
        </is>
      </c>
      <c r="I60" t="inlineStr">
        <is>
          <t>DAMAGED</t>
        </is>
      </c>
      <c r="J60" t="inlineStr">
        <is>
          <t>ORDERED_WRONG_ITEM</t>
        </is>
      </c>
      <c r="K60" t="inlineStr">
        <is>
          <t>Unit not returned to inventory</t>
        </is>
      </c>
      <c r="L60">
        <f>IF(AND(OR(I60="DAMAGED",I60="CARRIER_DAMAGED"),ISERROR(SEARCH("reimburs",K60))),"yes","no")</f>
        <v/>
      </c>
    </row>
    <row r="61">
      <c r="A61" t="inlineStr">
        <is>
          <t>2026-07-10</t>
        </is>
      </c>
      <c r="B61" t="inlineStr">
        <is>
          <t>111-4005865-1782567</t>
        </is>
      </c>
      <c r="C61" t="inlineStr">
        <is>
          <t>TH-STAMIX-12</t>
        </is>
      </c>
      <c r="D61" t="inlineStr">
        <is>
          <t>B0TH012KX</t>
        </is>
      </c>
      <c r="E61" t="inlineStr">
        <is>
          <t>X0TH0012</t>
        </is>
      </c>
      <c r="F61" t="inlineStr">
        <is>
          <t>Stainless Mixing Bowls 5pc</t>
        </is>
      </c>
      <c r="G61" t="n">
        <v>1</v>
      </c>
      <c r="H61" t="inlineStr">
        <is>
          <t>DFW6</t>
        </is>
      </c>
      <c r="I61" t="inlineStr">
        <is>
          <t>SELLABLE</t>
        </is>
      </c>
      <c r="J61" t="inlineStr">
        <is>
          <t>UNWANTED_ITEM</t>
        </is>
      </c>
      <c r="K61" t="inlineStr">
        <is>
          <t>Unit returned to inventory</t>
        </is>
      </c>
      <c r="L61">
        <f>IF(AND(OR(I61="DAMAGED",I61="CARRIER_DAMAGED"),ISERROR(SEARCH("reimburs",K61))),"yes","no")</f>
        <v/>
      </c>
    </row>
    <row r="62">
      <c r="A62" t="inlineStr">
        <is>
          <t>2026-07-12</t>
        </is>
      </c>
      <c r="B62" t="inlineStr">
        <is>
          <t>111-4003666-6634679</t>
        </is>
      </c>
      <c r="C62" t="inlineStr">
        <is>
          <t>TH-CHEKNI-08</t>
        </is>
      </c>
      <c r="D62" t="inlineStr">
        <is>
          <t>B0TH008KX</t>
        </is>
      </c>
      <c r="E62" t="inlineStr">
        <is>
          <t>X0TH0008</t>
        </is>
      </c>
      <c r="F62" t="inlineStr">
        <is>
          <t>Chef Knife 8in</t>
        </is>
      </c>
      <c r="G62" t="n">
        <v>1</v>
      </c>
      <c r="H62" t="inlineStr">
        <is>
          <t>PHX7</t>
        </is>
      </c>
      <c r="I62" t="inlineStr">
        <is>
          <t>DEFECTIVE</t>
        </is>
      </c>
      <c r="J62" t="inlineStr">
        <is>
          <t>ORDERED_WRONG_ITEM</t>
        </is>
      </c>
      <c r="K62" t="inlineStr">
        <is>
          <t>Unit not returned to inventory</t>
        </is>
      </c>
      <c r="L62">
        <f>IF(AND(OR(I62="DAMAGED",I62="CARRIER_DAMAGED"),ISERROR(SEARCH("reimburs",K62))),"yes","no")</f>
        <v/>
      </c>
    </row>
    <row r="63">
      <c r="A63" t="inlineStr">
        <is>
          <t>2026-07-12</t>
        </is>
      </c>
      <c r="B63" t="inlineStr">
        <is>
          <t>111-4010200-8564283</t>
        </is>
      </c>
      <c r="C63" t="inlineStr">
        <is>
          <t>TH-APRWAX-21</t>
        </is>
      </c>
      <c r="D63" t="inlineStr">
        <is>
          <t>B0TH021KX</t>
        </is>
      </c>
      <c r="E63" t="inlineStr">
        <is>
          <t>X0TH0021</t>
        </is>
      </c>
      <c r="F63" t="inlineStr">
        <is>
          <t>Apron Waxed Canvas</t>
        </is>
      </c>
      <c r="G63" t="n">
        <v>1</v>
      </c>
      <c r="H63" t="inlineStr">
        <is>
          <t>DFW6</t>
        </is>
      </c>
      <c r="I63" t="inlineStr">
        <is>
          <t>SELLABLE</t>
        </is>
      </c>
      <c r="J63" t="inlineStr">
        <is>
          <t>UNWANTED_ITEM</t>
        </is>
      </c>
      <c r="K63" t="inlineStr">
        <is>
          <t>Unit returned to inventory</t>
        </is>
      </c>
      <c r="L63">
        <f>IF(AND(OR(I63="DAMAGED",I63="CARRIER_DAMAGED"),ISERROR(SEARCH("reimburs",K63))),"yes","no")</f>
        <v/>
      </c>
    </row>
    <row r="64">
      <c r="A64" t="inlineStr">
        <is>
          <t>2026-07-12</t>
        </is>
      </c>
      <c r="B64" t="inlineStr">
        <is>
          <t>111-4011049-6061639</t>
        </is>
      </c>
      <c r="C64" t="inlineStr">
        <is>
          <t>TH-TRICOR-23</t>
        </is>
      </c>
      <c r="D64" t="inlineStr">
        <is>
          <t>B0TH023KX</t>
        </is>
      </c>
      <c r="E64" t="inlineStr">
        <is>
          <t>X0TH0023</t>
        </is>
      </c>
      <c r="F64" t="inlineStr">
        <is>
          <t>Trivet Cork Set</t>
        </is>
      </c>
      <c r="G64" t="n">
        <v>1</v>
      </c>
      <c r="H64" t="inlineStr">
        <is>
          <t>PHX7</t>
        </is>
      </c>
      <c r="I64" t="inlineStr">
        <is>
          <t>SELLABLE</t>
        </is>
      </c>
      <c r="J64" t="inlineStr">
        <is>
          <t>UNWANTED_ITEM</t>
        </is>
      </c>
      <c r="K64" t="inlineStr">
        <is>
          <t>Unit returned to inventory</t>
        </is>
      </c>
      <c r="L64">
        <f>IF(AND(OR(I64="DAMAGED",I64="CARRIER_DAMAGED"),ISERROR(SEARCH("reimburs",K64))),"yes","no")</f>
        <v/>
      </c>
    </row>
    <row r="65">
      <c r="A65" t="inlineStr">
        <is>
          <t>2026-07-13</t>
        </is>
      </c>
      <c r="B65" t="inlineStr">
        <is>
          <t>111-4010585-7573195</t>
        </is>
      </c>
      <c r="C65" t="inlineStr">
        <is>
          <t>TH-OVEMIT-22</t>
        </is>
      </c>
      <c r="D65" t="inlineStr">
        <is>
          <t>B0TH022KX</t>
        </is>
      </c>
      <c r="E65" t="inlineStr">
        <is>
          <t>X0TH0022</t>
        </is>
      </c>
      <c r="F65" t="inlineStr">
        <is>
          <t>Oven Mitts Aramid Pair</t>
        </is>
      </c>
      <c r="G65" t="n">
        <v>1</v>
      </c>
      <c r="H65" t="inlineStr">
        <is>
          <t>ONT8</t>
        </is>
      </c>
      <c r="I65" t="inlineStr">
        <is>
          <t>CARRIER_DAMAGED</t>
        </is>
      </c>
      <c r="J65" t="inlineStr">
        <is>
          <t>NOT_AS_DESCRIBED</t>
        </is>
      </c>
      <c r="K65" t="inlineStr">
        <is>
          <t>Unit not returned to inventory</t>
        </is>
      </c>
      <c r="L65">
        <f>IF(AND(OR(I65="DAMAGED",I65="CARRIER_DAMAGED"),ISERROR(SEARCH("reimburs",K65))),"yes","no")</f>
        <v/>
      </c>
    </row>
    <row r="66">
      <c r="A66" t="inlineStr">
        <is>
          <t>2026-07-14</t>
        </is>
      </c>
      <c r="B66" t="inlineStr">
        <is>
          <t>111-4000891-9985475</t>
        </is>
      </c>
      <c r="C66" t="inlineStr">
        <is>
          <t>TH-CASIRO-02</t>
        </is>
      </c>
      <c r="D66" t="inlineStr">
        <is>
          <t>B0TH002KX</t>
        </is>
      </c>
      <c r="E66" t="inlineStr">
        <is>
          <t>X0TH0002</t>
        </is>
      </c>
      <c r="F66" t="inlineStr">
        <is>
          <t>Cast Iron Skillet 12in</t>
        </is>
      </c>
      <c r="G66" t="n">
        <v>1</v>
      </c>
      <c r="H66" t="inlineStr">
        <is>
          <t>LAX9</t>
        </is>
      </c>
      <c r="I66" t="inlineStr">
        <is>
          <t>SELLABLE</t>
        </is>
      </c>
      <c r="J66" t="inlineStr">
        <is>
          <t>NOT_AS_DESCRIBED</t>
        </is>
      </c>
      <c r="K66" t="inlineStr">
        <is>
          <t>Unit returned to inventory</t>
        </is>
      </c>
      <c r="L66">
        <f>IF(AND(OR(I66="DAMAGED",I66="CARRIER_DAMAGED"),ISERROR(SEARCH("reimburs",K66))),"yes","no")</f>
        <v/>
      </c>
    </row>
    <row r="67">
      <c r="A67" t="inlineStr">
        <is>
          <t>2026-07-14</t>
        </is>
      </c>
      <c r="B67" t="inlineStr">
        <is>
          <t>111-4007001-7534531</t>
        </is>
      </c>
      <c r="C67" t="inlineStr">
        <is>
          <t>TH-MEACUP-14</t>
        </is>
      </c>
      <c r="D67" t="inlineStr">
        <is>
          <t>B0TH014KX</t>
        </is>
      </c>
      <c r="E67" t="inlineStr">
        <is>
          <t>X0TH0014</t>
        </is>
      </c>
      <c r="F67" t="inlineStr">
        <is>
          <t>Measuring Cups Steel</t>
        </is>
      </c>
      <c r="G67" t="n">
        <v>1</v>
      </c>
      <c r="H67" t="inlineStr">
        <is>
          <t>DFW6</t>
        </is>
      </c>
      <c r="I67" t="inlineStr">
        <is>
          <t>SELLABLE</t>
        </is>
      </c>
      <c r="J67" t="inlineStr">
        <is>
          <t>ORDERED_WRONG_ITEM</t>
        </is>
      </c>
      <c r="K67" t="inlineStr">
        <is>
          <t>Unit returned to inventory</t>
        </is>
      </c>
      <c r="L67">
        <f>IF(AND(OR(I67="DAMAGED",I67="CARRIER_DAMAGED"),ISERROR(SEARCH("reimburs",K67))),"yes","no")</f>
        <v/>
      </c>
    </row>
    <row r="68">
      <c r="A68" t="inlineStr">
        <is>
          <t>2026-07-15</t>
        </is>
      </c>
      <c r="B68" t="inlineStr">
        <is>
          <t>111-4000080-4517037</t>
        </is>
      </c>
      <c r="C68" t="inlineStr">
        <is>
          <t>TH-CASIRO-01</t>
        </is>
      </c>
      <c r="D68" t="inlineStr">
        <is>
          <t>B0TH001KX</t>
        </is>
      </c>
      <c r="E68" t="inlineStr">
        <is>
          <t>X0TH0001</t>
        </is>
      </c>
      <c r="F68" t="inlineStr">
        <is>
          <t>Cast Iron Skillet 10in</t>
        </is>
      </c>
      <c r="G68" t="n">
        <v>1</v>
      </c>
      <c r="H68" t="inlineStr">
        <is>
          <t>LAX9</t>
        </is>
      </c>
      <c r="I68" t="inlineStr">
        <is>
          <t>SELLABLE</t>
        </is>
      </c>
      <c r="J68" t="inlineStr">
        <is>
          <t>UNWANTED_ITEM</t>
        </is>
      </c>
      <c r="K68" t="inlineStr">
        <is>
          <t>Unit returned to inventory</t>
        </is>
      </c>
      <c r="L68">
        <f>IF(AND(OR(I68="DAMAGED",I68="CARRIER_DAMAGED"),ISERROR(SEARCH("reimburs",K68))),"yes","no")</f>
        <v/>
      </c>
    </row>
    <row r="69">
      <c r="A69" t="inlineStr">
        <is>
          <t>2026-07-15</t>
        </is>
      </c>
      <c r="B69" t="inlineStr">
        <is>
          <t>111-4005177-2907453</t>
        </is>
      </c>
      <c r="C69" t="inlineStr">
        <is>
          <t>TH-KNISHA-11</t>
        </is>
      </c>
      <c r="D69" t="inlineStr">
        <is>
          <t>B0TH011KX</t>
        </is>
      </c>
      <c r="E69" t="inlineStr">
        <is>
          <t>X0TH0011</t>
        </is>
      </c>
      <c r="F69" t="inlineStr">
        <is>
          <t>Knife Sharpener Whetstone</t>
        </is>
      </c>
      <c r="G69" t="n">
        <v>1</v>
      </c>
      <c r="H69" t="inlineStr">
        <is>
          <t>PHX7</t>
        </is>
      </c>
      <c r="I69" t="inlineStr">
        <is>
          <t>CUSTOMER_DAMAGED</t>
        </is>
      </c>
      <c r="J69" t="inlineStr">
        <is>
          <t>NOT_AS_DESCRIBED</t>
        </is>
      </c>
      <c r="K69" t="inlineStr">
        <is>
          <t>Unit not returned to inventory</t>
        </is>
      </c>
      <c r="L69">
        <f>IF(AND(OR(I69="DAMAGED",I69="CARRIER_DAMAGED"),ISERROR(SEARCH("reimburs",K69))),"yes","no")</f>
        <v/>
      </c>
    </row>
    <row r="70">
      <c r="A70" t="inlineStr">
        <is>
          <t>2026-07-15</t>
        </is>
      </c>
      <c r="B70" t="inlineStr">
        <is>
          <t>111-4006576-8550885</t>
        </is>
      </c>
      <c r="C70" t="inlineStr">
        <is>
          <t>TH-SILSPA-13</t>
        </is>
      </c>
      <c r="D70" t="inlineStr">
        <is>
          <t>B0TH013KX</t>
        </is>
      </c>
      <c r="E70" t="inlineStr">
        <is>
          <t>X0TH0013</t>
        </is>
      </c>
      <c r="F70" t="inlineStr">
        <is>
          <t>Silicone Spatula Set</t>
        </is>
      </c>
      <c r="G70" t="n">
        <v>1</v>
      </c>
      <c r="H70" t="inlineStr">
        <is>
          <t>DFW6</t>
        </is>
      </c>
      <c r="I70" t="inlineStr">
        <is>
          <t>CARRIER_DAMAGED</t>
        </is>
      </c>
      <c r="J70" t="inlineStr">
        <is>
          <t>ORDERED_WRONG_ITEM</t>
        </is>
      </c>
      <c r="K70" t="inlineStr">
        <is>
          <t>Reimbursed</t>
        </is>
      </c>
      <c r="L70">
        <f>IF(AND(OR(I70="DAMAGED",I70="CARRIER_DAMAGED"),ISERROR(SEARCH("reimburs",K70))),"yes","no")</f>
        <v/>
      </c>
    </row>
    <row r="71">
      <c r="A71" t="inlineStr">
        <is>
          <t>2026-07-16</t>
        </is>
      </c>
      <c r="B71" t="inlineStr">
        <is>
          <t>111-4003317-9770649</t>
        </is>
      </c>
      <c r="C71" t="inlineStr">
        <is>
          <t>TH-WALSER-07</t>
        </is>
      </c>
      <c r="D71" t="inlineStr">
        <is>
          <t>B0TH007KX</t>
        </is>
      </c>
      <c r="E71" t="inlineStr">
        <is>
          <t>X0TH0007</t>
        </is>
      </c>
      <c r="F71" t="inlineStr">
        <is>
          <t>Walnut Serving Tray</t>
        </is>
      </c>
      <c r="G71" t="n">
        <v>1</v>
      </c>
      <c r="H71" t="inlineStr">
        <is>
          <t>LAX9</t>
        </is>
      </c>
      <c r="I71" t="inlineStr">
        <is>
          <t>CARRIER_DAMAGED</t>
        </is>
      </c>
      <c r="J71" t="inlineStr">
        <is>
          <t>UNWANTED_ITEM</t>
        </is>
      </c>
      <c r="K71" t="inlineStr">
        <is>
          <t>Unit not returned to inventory</t>
        </is>
      </c>
      <c r="L71">
        <f>IF(AND(OR(I71="DAMAGED",I71="CARRIER_DAMAGED"),ISERROR(SEARCH("reimburs",K71))),"yes","no")</f>
        <v/>
      </c>
    </row>
    <row r="72">
      <c r="A72" t="inlineStr">
        <is>
          <t>2026-07-16</t>
        </is>
      </c>
      <c r="B72" t="inlineStr">
        <is>
          <t>111-4008758-6816963</t>
        </is>
      </c>
      <c r="C72" t="inlineStr">
        <is>
          <t>TH-POUOVE-18</t>
        </is>
      </c>
      <c r="D72" t="inlineStr">
        <is>
          <t>B0TH018KX</t>
        </is>
      </c>
      <c r="E72" t="inlineStr">
        <is>
          <t>X0TH0018</t>
        </is>
      </c>
      <c r="F72" t="inlineStr">
        <is>
          <t>Pour Over Kettle Gooseneck</t>
        </is>
      </c>
      <c r="G72" t="n">
        <v>1</v>
      </c>
      <c r="H72" t="inlineStr">
        <is>
          <t>DFW6</t>
        </is>
      </c>
      <c r="I72" t="inlineStr">
        <is>
          <t>DEFECTIVE</t>
        </is>
      </c>
      <c r="J72" t="inlineStr">
        <is>
          <t>ORDERED_WRONG_ITEM</t>
        </is>
      </c>
      <c r="K72" t="inlineStr">
        <is>
          <t>Unit not returned to inventory</t>
        </is>
      </c>
      <c r="L72">
        <f>IF(AND(OR(I72="DAMAGED",I72="CARRIER_DAMAGED"),ISERROR(SEARCH("reimburs",K72))),"yes","no")</f>
        <v/>
      </c>
    </row>
    <row r="73">
      <c r="A73" t="inlineStr">
        <is>
          <t>2026-07-17</t>
        </is>
      </c>
      <c r="B73" t="inlineStr">
        <is>
          <t>111-4010212-9353804</t>
        </is>
      </c>
      <c r="C73" t="inlineStr">
        <is>
          <t>TH-APRWAX-21</t>
        </is>
      </c>
      <c r="D73" t="inlineStr">
        <is>
          <t>B0TH021KX</t>
        </is>
      </c>
      <c r="E73" t="inlineStr">
        <is>
          <t>X0TH0021</t>
        </is>
      </c>
      <c r="F73" t="inlineStr">
        <is>
          <t>Apron Waxed Canvas</t>
        </is>
      </c>
      <c r="G73" t="n">
        <v>1</v>
      </c>
      <c r="H73" t="inlineStr">
        <is>
          <t>LAX9</t>
        </is>
      </c>
      <c r="I73" t="inlineStr">
        <is>
          <t>CARRIER_DAMAGED</t>
        </is>
      </c>
      <c r="J73" t="inlineStr">
        <is>
          <t>NOT_AS_DESCRIBED</t>
        </is>
      </c>
      <c r="K73" t="inlineStr">
        <is>
          <t>Unit not returned to inventory</t>
        </is>
      </c>
      <c r="L73">
        <f>IF(AND(OR(I73="DAMAGED",I73="CARRIER_DAMAGED"),ISERROR(SEARCH("reimburs",K73))),"yes","no")</f>
        <v/>
      </c>
    </row>
    <row r="74">
      <c r="A74" t="inlineStr">
        <is>
          <t>2026-07-18</t>
        </is>
      </c>
      <c r="B74" t="inlineStr">
        <is>
          <t>111-4009667-5339873</t>
        </is>
      </c>
      <c r="C74" t="inlineStr">
        <is>
          <t>TH-TEAINF-20</t>
        </is>
      </c>
      <c r="D74" t="inlineStr">
        <is>
          <t>B0TH020KX</t>
        </is>
      </c>
      <c r="E74" t="inlineStr">
        <is>
          <t>X0TH0020</t>
        </is>
      </c>
      <c r="F74" t="inlineStr">
        <is>
          <t>Tea Infuser Mug</t>
        </is>
      </c>
      <c r="G74" t="n">
        <v>1</v>
      </c>
      <c r="H74" t="inlineStr">
        <is>
          <t>LAX9</t>
        </is>
      </c>
      <c r="I74" t="inlineStr">
        <is>
          <t>CUSTOMER_DAMAGED</t>
        </is>
      </c>
      <c r="J74" t="inlineStr">
        <is>
          <t>ORDERED_WRONG_ITEM</t>
        </is>
      </c>
      <c r="K74" t="inlineStr">
        <is>
          <t>Reimbursed</t>
        </is>
      </c>
      <c r="L74">
        <f>IF(AND(OR(I74="DAMAGED",I74="CARRIER_DAMAGED"),ISERROR(SEARCH("reimburs",K74))),"yes","no")</f>
        <v/>
      </c>
    </row>
    <row r="75">
      <c r="A75" t="inlineStr">
        <is>
          <t>2026-07-19</t>
        </is>
      </c>
      <c r="B75" t="inlineStr">
        <is>
          <t>111-4004013-4495538</t>
        </is>
      </c>
      <c r="C75" t="inlineStr">
        <is>
          <t>TH-PARKNI-09</t>
        </is>
      </c>
      <c r="D75" t="inlineStr">
        <is>
          <t>B0TH009KX</t>
        </is>
      </c>
      <c r="E75" t="inlineStr">
        <is>
          <t>X0TH0009</t>
        </is>
      </c>
      <c r="F75" t="inlineStr">
        <is>
          <t>Paring Knife 3.5in</t>
        </is>
      </c>
      <c r="G75" t="n">
        <v>1</v>
      </c>
      <c r="H75" t="inlineStr">
        <is>
          <t>PHX7</t>
        </is>
      </c>
      <c r="I75" t="inlineStr">
        <is>
          <t>SELLABLE</t>
        </is>
      </c>
      <c r="J75" t="inlineStr">
        <is>
          <t>ORDERED_WRONG_ITEM</t>
        </is>
      </c>
      <c r="K75" t="inlineStr">
        <is>
          <t>Unit returned to inventory</t>
        </is>
      </c>
      <c r="L75">
        <f>IF(AND(OR(I75="DAMAGED",I75="CARRIER_DAMAGED"),ISERROR(SEARCH("reimburs",K75))),"yes","no")</f>
        <v/>
      </c>
    </row>
    <row r="76">
      <c r="A76" t="inlineStr">
        <is>
          <t>2026-07-19</t>
        </is>
      </c>
      <c r="B76" t="inlineStr">
        <is>
          <t>111-4006011-3723857</t>
        </is>
      </c>
      <c r="C76" t="inlineStr">
        <is>
          <t>TH-STAMIX-12</t>
        </is>
      </c>
      <c r="D76" t="inlineStr">
        <is>
          <t>B0TH012KX</t>
        </is>
      </c>
      <c r="E76" t="inlineStr">
        <is>
          <t>X0TH0012</t>
        </is>
      </c>
      <c r="F76" t="inlineStr">
        <is>
          <t>Stainless Mixing Bowls 5pc</t>
        </is>
      </c>
      <c r="G76" t="n">
        <v>1</v>
      </c>
      <c r="H76" t="inlineStr">
        <is>
          <t>LAX9</t>
        </is>
      </c>
      <c r="I76" t="inlineStr">
        <is>
          <t>CUSTOMER_DAMAGED</t>
        </is>
      </c>
      <c r="J76" t="inlineStr">
        <is>
          <t>ORDERED_WRONG_ITEM</t>
        </is>
      </c>
      <c r="K76" t="inlineStr">
        <is>
          <t>Reimbursed</t>
        </is>
      </c>
      <c r="L76">
        <f>IF(AND(OR(I76="DAMAGED",I76="CARRIER_DAMAGED"),ISERROR(SEARCH("reimburs",K76))),"yes","no")</f>
        <v/>
      </c>
    </row>
    <row r="77">
      <c r="A77" t="inlineStr">
        <is>
          <t>2026-07-20</t>
        </is>
      </c>
      <c r="B77" t="inlineStr">
        <is>
          <t>111-4008581-3462261</t>
        </is>
      </c>
      <c r="C77" t="inlineStr">
        <is>
          <t>TH-POUOVE-18</t>
        </is>
      </c>
      <c r="D77" t="inlineStr">
        <is>
          <t>B0TH018KX</t>
        </is>
      </c>
      <c r="E77" t="inlineStr">
        <is>
          <t>X0TH0018</t>
        </is>
      </c>
      <c r="F77" t="inlineStr">
        <is>
          <t>Pour Over Kettle Gooseneck</t>
        </is>
      </c>
      <c r="G77" t="n">
        <v>1</v>
      </c>
      <c r="H77" t="inlineStr">
        <is>
          <t>MDW2</t>
        </is>
      </c>
      <c r="I77" t="inlineStr">
        <is>
          <t>SELLABLE</t>
        </is>
      </c>
      <c r="J77" t="inlineStr">
        <is>
          <t>NOT_AS_DESCRIBED</t>
        </is>
      </c>
      <c r="K77" t="inlineStr">
        <is>
          <t>Unit returned to inventory</t>
        </is>
      </c>
      <c r="L77">
        <f>IF(AND(OR(I77="DAMAGED",I77="CARRIER_DAMAGED"),ISERROR(SEARCH("reimburs",K77))),"yes","no")</f>
        <v/>
      </c>
    </row>
    <row r="78">
      <c r="A78" t="inlineStr">
        <is>
          <t>2026-07-20</t>
        </is>
      </c>
      <c r="B78" t="inlineStr">
        <is>
          <t>111-4010526-2155295</t>
        </is>
      </c>
      <c r="C78" t="inlineStr">
        <is>
          <t>TH-OVEMIT-22</t>
        </is>
      </c>
      <c r="D78" t="inlineStr">
        <is>
          <t>B0TH022KX</t>
        </is>
      </c>
      <c r="E78" t="inlineStr">
        <is>
          <t>X0TH0022</t>
        </is>
      </c>
      <c r="F78" t="inlineStr">
        <is>
          <t>Oven Mitts Aramid Pair</t>
        </is>
      </c>
      <c r="G78" t="n">
        <v>1</v>
      </c>
      <c r="H78" t="inlineStr">
        <is>
          <t>ONT8</t>
        </is>
      </c>
      <c r="I78" t="inlineStr">
        <is>
          <t>SELLABLE</t>
        </is>
      </c>
      <c r="J78" t="inlineStr">
        <is>
          <t>UNWANTED_ITEM</t>
        </is>
      </c>
      <c r="K78" t="inlineStr">
        <is>
          <t>Unit returned to inventory</t>
        </is>
      </c>
      <c r="L78">
        <f>IF(AND(OR(I78="DAMAGED",I78="CARRIER_DAMAGED"),ISERROR(SEARCH("reimburs",K78))),"yes","no")</f>
        <v/>
      </c>
    </row>
    <row r="79">
      <c r="A79" t="inlineStr">
        <is>
          <t>2026-07-21</t>
        </is>
      </c>
      <c r="B79" t="inlineStr">
        <is>
          <t>111-4005099-6202009</t>
        </is>
      </c>
      <c r="C79" t="inlineStr">
        <is>
          <t>TH-KNISHA-11</t>
        </is>
      </c>
      <c r="D79" t="inlineStr">
        <is>
          <t>B0TH011KX</t>
        </is>
      </c>
      <c r="E79" t="inlineStr">
        <is>
          <t>X0TH0011</t>
        </is>
      </c>
      <c r="F79" t="inlineStr">
        <is>
          <t>Knife Sharpener Whetstone</t>
        </is>
      </c>
      <c r="G79" t="n">
        <v>1</v>
      </c>
      <c r="H79" t="inlineStr">
        <is>
          <t>DFW6</t>
        </is>
      </c>
      <c r="I79" t="inlineStr">
        <is>
          <t>SELLABLE</t>
        </is>
      </c>
      <c r="J79" t="inlineStr">
        <is>
          <t>ORDERED_WRONG_ITEM</t>
        </is>
      </c>
      <c r="K79" t="inlineStr">
        <is>
          <t>Unit returned to inventory</t>
        </is>
      </c>
      <c r="L79">
        <f>IF(AND(OR(I79="DAMAGED",I79="CARRIER_DAMAGED"),ISERROR(SEARCH("reimburs",K79))),"yes","no")</f>
        <v/>
      </c>
    </row>
    <row r="80">
      <c r="A80" t="inlineStr">
        <is>
          <t>2026-07-22</t>
        </is>
      </c>
      <c r="B80" t="inlineStr">
        <is>
          <t>111-4008203-3426565</t>
        </is>
      </c>
      <c r="C80" t="inlineStr">
        <is>
          <t>TH-FREPRE-17</t>
        </is>
      </c>
      <c r="D80" t="inlineStr">
        <is>
          <t>B0TH017KX</t>
        </is>
      </c>
      <c r="E80" t="inlineStr">
        <is>
          <t>X0TH0017</t>
        </is>
      </c>
      <c r="F80" t="inlineStr">
        <is>
          <t>French Press 34oz</t>
        </is>
      </c>
      <c r="G80" t="n">
        <v>1</v>
      </c>
      <c r="H80" t="inlineStr">
        <is>
          <t>MDW2</t>
        </is>
      </c>
      <c r="I80" t="inlineStr">
        <is>
          <t>SELLABLE</t>
        </is>
      </c>
      <c r="J80" t="inlineStr">
        <is>
          <t>NOT_AS_DESCRIBED</t>
        </is>
      </c>
      <c r="K80" t="inlineStr">
        <is>
          <t>Unit returned to inventory</t>
        </is>
      </c>
      <c r="L80">
        <f>IF(AND(OR(I80="DAMAGED",I80="CARRIER_DAMAGED"),ISERROR(SEARCH("reimburs",K80))),"yes","no")</f>
        <v/>
      </c>
    </row>
    <row r="81">
      <c r="A81" t="inlineStr">
        <is>
          <t>2026-07-24</t>
        </is>
      </c>
      <c r="B81" t="inlineStr">
        <is>
          <t>111-4000777-9624660</t>
        </is>
      </c>
      <c r="C81" t="inlineStr">
        <is>
          <t>TH-CASIRO-02</t>
        </is>
      </c>
      <c r="D81" t="inlineStr">
        <is>
          <t>B0TH002KX</t>
        </is>
      </c>
      <c r="E81" t="inlineStr">
        <is>
          <t>X0TH0002</t>
        </is>
      </c>
      <c r="F81" t="inlineStr">
        <is>
          <t>Cast Iron Skillet 12in</t>
        </is>
      </c>
      <c r="G81" t="n">
        <v>1</v>
      </c>
      <c r="H81" t="inlineStr">
        <is>
          <t>MDW2</t>
        </is>
      </c>
      <c r="I81" t="inlineStr">
        <is>
          <t>DAMAGED</t>
        </is>
      </c>
      <c r="J81" t="inlineStr">
        <is>
          <t>DEFECTIVE</t>
        </is>
      </c>
      <c r="K81" t="inlineStr">
        <is>
          <t>Unit not returned to inventory</t>
        </is>
      </c>
      <c r="L81">
        <f>IF(AND(OR(I81="DAMAGED",I81="CARRIER_DAMAGED"),ISERROR(SEARCH("reimburs",K81))),"yes","no")</f>
        <v/>
      </c>
    </row>
    <row r="82">
      <c r="A82" t="inlineStr">
        <is>
          <t>2026-07-24</t>
        </is>
      </c>
      <c r="B82" t="inlineStr">
        <is>
          <t>111-4006925-6253319</t>
        </is>
      </c>
      <c r="C82" t="inlineStr">
        <is>
          <t>TH-MEACUP-14</t>
        </is>
      </c>
      <c r="D82" t="inlineStr">
        <is>
          <t>B0TH014KX</t>
        </is>
      </c>
      <c r="E82" t="inlineStr">
        <is>
          <t>X0TH0014</t>
        </is>
      </c>
      <c r="F82" t="inlineStr">
        <is>
          <t>Measuring Cups Steel</t>
        </is>
      </c>
      <c r="G82" t="n">
        <v>1</v>
      </c>
      <c r="H82" t="inlineStr">
        <is>
          <t>ONT8</t>
        </is>
      </c>
      <c r="I82" t="inlineStr">
        <is>
          <t>DEFECTIVE</t>
        </is>
      </c>
      <c r="J82" t="inlineStr">
        <is>
          <t>ORDERED_WRONG_ITEM</t>
        </is>
      </c>
      <c r="K82" t="inlineStr">
        <is>
          <t>Reimbursed</t>
        </is>
      </c>
      <c r="L82">
        <f>IF(AND(OR(I82="DAMAGED",I82="CARRIER_DAMAGED"),ISERROR(SEARCH("reimburs",K82))),"yes","no")</f>
        <v/>
      </c>
    </row>
    <row r="83">
      <c r="A83" t="inlineStr">
        <is>
          <t>2026-07-25</t>
        </is>
      </c>
      <c r="B83" t="inlineStr">
        <is>
          <t>111-4010329-4458788</t>
        </is>
      </c>
      <c r="C83" t="inlineStr">
        <is>
          <t>TH-APRWAX-21</t>
        </is>
      </c>
      <c r="D83" t="inlineStr">
        <is>
          <t>B0TH021KX</t>
        </is>
      </c>
      <c r="E83" t="inlineStr">
        <is>
          <t>X0TH0021</t>
        </is>
      </c>
      <c r="F83" t="inlineStr">
        <is>
          <t>Apron Waxed Canvas</t>
        </is>
      </c>
      <c r="G83" t="n">
        <v>1</v>
      </c>
      <c r="H83" t="inlineStr">
        <is>
          <t>PHX7</t>
        </is>
      </c>
      <c r="I83" t="inlineStr">
        <is>
          <t>DAMAGED</t>
        </is>
      </c>
      <c r="J83" t="inlineStr">
        <is>
          <t>UNWANTED_ITEM</t>
        </is>
      </c>
      <c r="K83" t="inlineStr">
        <is>
          <t>Reimbursed</t>
        </is>
      </c>
      <c r="L83">
        <f>IF(AND(OR(I83="DAMAGED",I83="CARRIER_DAMAGED"),ISERROR(SEARCH("reimburs",K83))),"yes","no")</f>
        <v/>
      </c>
    </row>
    <row r="84">
      <c r="A84" t="inlineStr">
        <is>
          <t>2026-07-28</t>
        </is>
      </c>
      <c r="B84" t="inlineStr">
        <is>
          <t>111-4000903-6020280</t>
        </is>
      </c>
      <c r="C84" t="inlineStr">
        <is>
          <t>TH-CASIRO-02</t>
        </is>
      </c>
      <c r="D84" t="inlineStr">
        <is>
          <t>B0TH002KX</t>
        </is>
      </c>
      <c r="E84" t="inlineStr">
        <is>
          <t>X0TH0002</t>
        </is>
      </c>
      <c r="F84" t="inlineStr">
        <is>
          <t>Cast Iron Skillet 12in</t>
        </is>
      </c>
      <c r="G84" t="n">
        <v>1</v>
      </c>
      <c r="H84" t="inlineStr">
        <is>
          <t>DFW6</t>
        </is>
      </c>
      <c r="I84" t="inlineStr">
        <is>
          <t>SELLABLE</t>
        </is>
      </c>
      <c r="J84" t="inlineStr">
        <is>
          <t>UNWANTED_ITEM</t>
        </is>
      </c>
      <c r="K84" t="inlineStr">
        <is>
          <t>Unit returned to inventory</t>
        </is>
      </c>
      <c r="L84">
        <f>IF(AND(OR(I84="DAMAGED",I84="CARRIER_DAMAGED"),ISERROR(SEARCH("reimburs",K84))),"yes","no")</f>
        <v/>
      </c>
    </row>
    <row r="85">
      <c r="A85" t="inlineStr">
        <is>
          <t>2026-07-28</t>
        </is>
      </c>
      <c r="B85" t="inlineStr">
        <is>
          <t>111-4004783-2151629</t>
        </is>
      </c>
      <c r="C85" t="inlineStr">
        <is>
          <t>TH-BREKNI-10</t>
        </is>
      </c>
      <c r="D85" t="inlineStr">
        <is>
          <t>B0TH010KX</t>
        </is>
      </c>
      <c r="E85" t="inlineStr">
        <is>
          <t>X0TH0010</t>
        </is>
      </c>
      <c r="F85" t="inlineStr">
        <is>
          <t>Bread Knife 10in</t>
        </is>
      </c>
      <c r="G85" t="n">
        <v>1</v>
      </c>
      <c r="H85" t="inlineStr">
        <is>
          <t>ONT8</t>
        </is>
      </c>
      <c r="I85" t="inlineStr">
        <is>
          <t>CUSTOMER_DAMAGED</t>
        </is>
      </c>
      <c r="J85" t="inlineStr">
        <is>
          <t>ORDERED_WRONG_ITEM</t>
        </is>
      </c>
      <c r="K85" t="inlineStr">
        <is>
          <t>Unit not returned to inventory</t>
        </is>
      </c>
      <c r="L85">
        <f>IF(AND(OR(I85="DAMAGED",I85="CARRIER_DAMAGED"),ISERROR(SEARCH("reimburs",K85))),"yes","no")</f>
        <v/>
      </c>
    </row>
    <row r="86">
      <c r="A86" t="inlineStr">
        <is>
          <t>2026-07-30</t>
        </is>
      </c>
      <c r="B86" t="inlineStr">
        <is>
          <t>111-4006803-1795361</t>
        </is>
      </c>
      <c r="C86" t="inlineStr">
        <is>
          <t>TH-MEACUP-14</t>
        </is>
      </c>
      <c r="D86" t="inlineStr">
        <is>
          <t>B0TH014KX</t>
        </is>
      </c>
      <c r="E86" t="inlineStr">
        <is>
          <t>X0TH0014</t>
        </is>
      </c>
      <c r="F86" t="inlineStr">
        <is>
          <t>Measuring Cups Steel</t>
        </is>
      </c>
      <c r="G86" t="n">
        <v>1</v>
      </c>
      <c r="H86" t="inlineStr">
        <is>
          <t>MDW2</t>
        </is>
      </c>
      <c r="I86" t="inlineStr">
        <is>
          <t>DAMAGED</t>
        </is>
      </c>
      <c r="J86" t="inlineStr">
        <is>
          <t>DEFECTIVE</t>
        </is>
      </c>
      <c r="K86" t="inlineStr">
        <is>
          <t>Unit not returned to inventory</t>
        </is>
      </c>
      <c r="L86">
        <f>IF(AND(OR(I86="DAMAGED",I86="CARRIER_DAMAGED"),ISERROR(SEARCH("reimburs",K86))),"yes","no")</f>
        <v/>
      </c>
    </row>
    <row r="87">
      <c r="A87" t="inlineStr">
        <is>
          <t>2026-07-30</t>
        </is>
      </c>
      <c r="B87" t="inlineStr">
        <is>
          <t>111-4011515-4269611</t>
        </is>
      </c>
      <c r="C87" t="inlineStr">
        <is>
          <t>TH-KITTOW-24</t>
        </is>
      </c>
      <c r="D87" t="inlineStr">
        <is>
          <t>B0TH024KX</t>
        </is>
      </c>
      <c r="E87" t="inlineStr">
        <is>
          <t>X0TH0024</t>
        </is>
      </c>
      <c r="F87" t="inlineStr">
        <is>
          <t>Kitchen Towels Linen 4pk</t>
        </is>
      </c>
      <c r="G87" t="n">
        <v>1</v>
      </c>
      <c r="H87" t="inlineStr">
        <is>
          <t>LAX9</t>
        </is>
      </c>
      <c r="I87" t="inlineStr">
        <is>
          <t>CUSTOMER_DAMAGED</t>
        </is>
      </c>
      <c r="J87" t="inlineStr">
        <is>
          <t>DEFECTIVE</t>
        </is>
      </c>
      <c r="K87" t="inlineStr">
        <is>
          <t>Reimbursed</t>
        </is>
      </c>
      <c r="L87">
        <f>IF(AND(OR(I87="DAMAGED",I87="CARRIER_DAMAGED"),ISERROR(SEARCH("reimburs",K87))),"yes","no")</f>
        <v/>
      </c>
    </row>
    <row r="88">
      <c r="A88" t="inlineStr">
        <is>
          <t>2026-08-04</t>
        </is>
      </c>
      <c r="B88" t="inlineStr">
        <is>
          <t>111-4011569-3207450</t>
        </is>
      </c>
      <c r="C88" t="inlineStr">
        <is>
          <t>TH-KITTOW-24</t>
        </is>
      </c>
      <c r="D88" t="inlineStr">
        <is>
          <t>B0TH024KX</t>
        </is>
      </c>
      <c r="E88" t="inlineStr">
        <is>
          <t>X0TH0024</t>
        </is>
      </c>
      <c r="F88" t="inlineStr">
        <is>
          <t>Kitchen Towels Linen 4pk</t>
        </is>
      </c>
      <c r="G88" t="n">
        <v>1</v>
      </c>
      <c r="H88" t="inlineStr">
        <is>
          <t>LAX9</t>
        </is>
      </c>
      <c r="I88" t="inlineStr">
        <is>
          <t>DAMAGED</t>
        </is>
      </c>
      <c r="J88" t="inlineStr">
        <is>
          <t>NOT_AS_DESCRIBED</t>
        </is>
      </c>
      <c r="K88" t="inlineStr">
        <is>
          <t>Reimbursed</t>
        </is>
      </c>
      <c r="L88">
        <f>IF(AND(OR(I88="DAMAGED",I88="CARRIER_DAMAGED"),ISERROR(SEARCH("reimburs",K88))),"yes","no")</f>
        <v/>
      </c>
    </row>
    <row r="89">
      <c r="A89" t="inlineStr">
        <is>
          <t>2026-08-05</t>
        </is>
      </c>
      <c r="B89" t="inlineStr">
        <is>
          <t>111-4002717-3824843</t>
        </is>
      </c>
      <c r="C89" t="inlineStr">
        <is>
          <t>TH-BAMCUT-06</t>
        </is>
      </c>
      <c r="D89" t="inlineStr">
        <is>
          <t>B0TH006KX</t>
        </is>
      </c>
      <c r="E89" t="inlineStr">
        <is>
          <t>X0TH0006</t>
        </is>
      </c>
      <c r="F89" t="inlineStr">
        <is>
          <t>Bamboo Cutting Board M</t>
        </is>
      </c>
      <c r="G89" t="n">
        <v>1</v>
      </c>
      <c r="H89" t="inlineStr">
        <is>
          <t>PHX7</t>
        </is>
      </c>
      <c r="I89" t="inlineStr">
        <is>
          <t>CUSTOMER_DAMAGED</t>
        </is>
      </c>
      <c r="J89" t="inlineStr">
        <is>
          <t>DEFECTIVE</t>
        </is>
      </c>
      <c r="K89" t="inlineStr">
        <is>
          <t>Reimbursed</t>
        </is>
      </c>
      <c r="L89">
        <f>IF(AND(OR(I89="DAMAGED",I89="CARRIER_DAMAGED"),ISERROR(SEARCH("reimburs",K89))),"yes","no")</f>
        <v/>
      </c>
    </row>
    <row r="90">
      <c r="A90" t="inlineStr">
        <is>
          <t>2026-08-05</t>
        </is>
      </c>
      <c r="B90" t="inlineStr">
        <is>
          <t>111-4005830-8920177</t>
        </is>
      </c>
      <c r="C90" t="inlineStr">
        <is>
          <t>TH-STAMIX-12</t>
        </is>
      </c>
      <c r="D90" t="inlineStr">
        <is>
          <t>B0TH012KX</t>
        </is>
      </c>
      <c r="E90" t="inlineStr">
        <is>
          <t>X0TH0012</t>
        </is>
      </c>
      <c r="F90" t="inlineStr">
        <is>
          <t>Stainless Mixing Bowls 5pc</t>
        </is>
      </c>
      <c r="G90" t="n">
        <v>1</v>
      </c>
      <c r="H90" t="inlineStr">
        <is>
          <t>DFW6</t>
        </is>
      </c>
      <c r="I90" t="inlineStr">
        <is>
          <t>DEFECTIVE</t>
        </is>
      </c>
      <c r="J90" t="inlineStr">
        <is>
          <t>DEFECTIVE</t>
        </is>
      </c>
      <c r="K90" t="inlineStr">
        <is>
          <t>Unit not returned to inventory</t>
        </is>
      </c>
      <c r="L90">
        <f>IF(AND(OR(I90="DAMAGED",I90="CARRIER_DAMAGED"),ISERROR(SEARCH("reimburs",K90))),"yes","no")</f>
        <v/>
      </c>
    </row>
    <row r="91">
      <c r="A91" t="inlineStr">
        <is>
          <t>2026-08-05</t>
        </is>
      </c>
      <c r="B91" t="inlineStr">
        <is>
          <t>111-4009206-5380884</t>
        </is>
      </c>
      <c r="C91" t="inlineStr">
        <is>
          <t>TH-COFCAN-19</t>
        </is>
      </c>
      <c r="D91" t="inlineStr">
        <is>
          <t>B0TH019KX</t>
        </is>
      </c>
      <c r="E91" t="inlineStr">
        <is>
          <t>X0TH0019</t>
        </is>
      </c>
      <c r="F91" t="inlineStr">
        <is>
          <t>Coffee Canister Airtight</t>
        </is>
      </c>
      <c r="G91" t="n">
        <v>1</v>
      </c>
      <c r="H91" t="inlineStr">
        <is>
          <t>ONT8</t>
        </is>
      </c>
      <c r="I91" t="inlineStr">
        <is>
          <t>SELLABLE</t>
        </is>
      </c>
      <c r="J91" t="inlineStr">
        <is>
          <t>UNWANTED_ITEM</t>
        </is>
      </c>
      <c r="K91" t="inlineStr">
        <is>
          <t>Unit returned to inventory</t>
        </is>
      </c>
      <c r="L91">
        <f>IF(AND(OR(I91="DAMAGED",I91="CARRIER_DAMAGED"),ISERROR(SEARCH("reimburs",K91))),"yes","no")</f>
        <v/>
      </c>
    </row>
    <row r="92">
      <c r="A92" t="inlineStr">
        <is>
          <t>2026-08-06</t>
        </is>
      </c>
      <c r="B92" t="inlineStr">
        <is>
          <t>111-4000797-3657211</t>
        </is>
      </c>
      <c r="C92" t="inlineStr">
        <is>
          <t>TH-CASIRO-02</t>
        </is>
      </c>
      <c r="D92" t="inlineStr">
        <is>
          <t>B0TH002KX</t>
        </is>
      </c>
      <c r="E92" t="inlineStr">
        <is>
          <t>X0TH0002</t>
        </is>
      </c>
      <c r="F92" t="inlineStr">
        <is>
          <t>Cast Iron Skillet 12in</t>
        </is>
      </c>
      <c r="G92" t="n">
        <v>1</v>
      </c>
      <c r="H92" t="inlineStr">
        <is>
          <t>PHX7</t>
        </is>
      </c>
      <c r="I92" t="inlineStr">
        <is>
          <t>CUSTOMER_DAMAGED</t>
        </is>
      </c>
      <c r="J92" t="inlineStr">
        <is>
          <t>UNWANTED_ITEM</t>
        </is>
      </c>
      <c r="K92" t="inlineStr">
        <is>
          <t>Unit not returned to inventory</t>
        </is>
      </c>
      <c r="L92">
        <f>IF(AND(OR(I92="DAMAGED",I92="CARRIER_DAMAGED"),ISERROR(SEARCH("reimburs",K92))),"yes","no")</f>
        <v/>
      </c>
    </row>
    <row r="93">
      <c r="A93" t="inlineStr">
        <is>
          <t>2026-08-06</t>
        </is>
      </c>
      <c r="B93" t="inlineStr">
        <is>
          <t>111-4007069-8495470</t>
        </is>
      </c>
      <c r="C93" t="inlineStr">
        <is>
          <t>TH-MEACUP-14</t>
        </is>
      </c>
      <c r="D93" t="inlineStr">
        <is>
          <t>B0TH014KX</t>
        </is>
      </c>
      <c r="E93" t="inlineStr">
        <is>
          <t>X0TH0014</t>
        </is>
      </c>
      <c r="F93" t="inlineStr">
        <is>
          <t>Measuring Cups Steel</t>
        </is>
      </c>
      <c r="G93" t="n">
        <v>1</v>
      </c>
      <c r="H93" t="inlineStr">
        <is>
          <t>ONT8</t>
        </is>
      </c>
      <c r="I93" t="inlineStr">
        <is>
          <t>SELLABLE</t>
        </is>
      </c>
      <c r="J93" t="inlineStr">
        <is>
          <t>DEFECTIVE</t>
        </is>
      </c>
      <c r="K93" t="inlineStr">
        <is>
          <t>Unit returned to inventory</t>
        </is>
      </c>
      <c r="L93">
        <f>IF(AND(OR(I93="DAMAGED",I93="CARRIER_DAMAGED"),ISERROR(SEARCH("reimburs",K93))),"yes","no")</f>
        <v/>
      </c>
    </row>
    <row r="94">
      <c r="A94" t="inlineStr">
        <is>
          <t>2026-08-07</t>
        </is>
      </c>
      <c r="B94" t="inlineStr">
        <is>
          <t>111-4003271-1393134</t>
        </is>
      </c>
      <c r="C94" t="inlineStr">
        <is>
          <t>TH-WALSER-07</t>
        </is>
      </c>
      <c r="D94" t="inlineStr">
        <is>
          <t>B0TH007KX</t>
        </is>
      </c>
      <c r="E94" t="inlineStr">
        <is>
          <t>X0TH0007</t>
        </is>
      </c>
      <c r="F94" t="inlineStr">
        <is>
          <t>Walnut Serving Tray</t>
        </is>
      </c>
      <c r="G94" t="n">
        <v>1</v>
      </c>
      <c r="H94" t="inlineStr">
        <is>
          <t>DFW6</t>
        </is>
      </c>
      <c r="I94" t="inlineStr">
        <is>
          <t>DEFECTIVE</t>
        </is>
      </c>
      <c r="J94" t="inlineStr">
        <is>
          <t>ORDERED_WRONG_ITEM</t>
        </is>
      </c>
      <c r="K94" t="inlineStr">
        <is>
          <t>Reimbursed</t>
        </is>
      </c>
      <c r="L94">
        <f>IF(AND(OR(I94="DAMAGED",I94="CARRIER_DAMAGED"),ISERROR(SEARCH("reimburs",K94))),"yes","no")</f>
        <v/>
      </c>
    </row>
    <row r="95">
      <c r="A95" t="inlineStr">
        <is>
          <t>2026-08-09</t>
        </is>
      </c>
      <c r="B95" t="inlineStr">
        <is>
          <t>111-4004664-7584751</t>
        </is>
      </c>
      <c r="C95" t="inlineStr">
        <is>
          <t>TH-BREKNI-10</t>
        </is>
      </c>
      <c r="D95" t="inlineStr">
        <is>
          <t>B0TH010KX</t>
        </is>
      </c>
      <c r="E95" t="inlineStr">
        <is>
          <t>X0TH0010</t>
        </is>
      </c>
      <c r="F95" t="inlineStr">
        <is>
          <t>Bread Knife 10in</t>
        </is>
      </c>
      <c r="G95" t="n">
        <v>1</v>
      </c>
      <c r="H95" t="inlineStr">
        <is>
          <t>MDW2</t>
        </is>
      </c>
      <c r="I95" t="inlineStr">
        <is>
          <t>SELLABLE</t>
        </is>
      </c>
      <c r="J95" t="inlineStr">
        <is>
          <t>NOT_AS_DESCRIBED</t>
        </is>
      </c>
      <c r="K95" t="inlineStr">
        <is>
          <t>Unit returned to inventory</t>
        </is>
      </c>
      <c r="L95">
        <f>IF(AND(OR(I95="DAMAGED",I95="CARRIER_DAMAGED"),ISERROR(SEARCH("reimburs",K95))),"yes","no")</f>
        <v/>
      </c>
    </row>
    <row r="96">
      <c r="A96" t="inlineStr">
        <is>
          <t>2026-08-09</t>
        </is>
      </c>
      <c r="B96" t="inlineStr">
        <is>
          <t>111-4004713-5315177</t>
        </is>
      </c>
      <c r="C96" t="inlineStr">
        <is>
          <t>TH-BREKNI-10</t>
        </is>
      </c>
      <c r="D96" t="inlineStr">
        <is>
          <t>B0TH010KX</t>
        </is>
      </c>
      <c r="E96" t="inlineStr">
        <is>
          <t>X0TH0010</t>
        </is>
      </c>
      <c r="F96" t="inlineStr">
        <is>
          <t>Bread Knife 10in</t>
        </is>
      </c>
      <c r="G96" t="n">
        <v>1</v>
      </c>
      <c r="H96" t="inlineStr">
        <is>
          <t>PHX7</t>
        </is>
      </c>
      <c r="I96" t="inlineStr">
        <is>
          <t>CUSTOMER_DAMAGED</t>
        </is>
      </c>
      <c r="J96" t="inlineStr">
        <is>
          <t>UNWANTED_ITEM</t>
        </is>
      </c>
      <c r="K96" t="inlineStr">
        <is>
          <t>Reimbursed</t>
        </is>
      </c>
      <c r="L96">
        <f>IF(AND(OR(I96="DAMAGED",I96="CARRIER_DAMAGED"),ISERROR(SEARCH("reimburs",K96))),"yes","no")</f>
        <v/>
      </c>
    </row>
    <row r="97">
      <c r="A97" t="inlineStr">
        <is>
          <t>2026-08-11</t>
        </is>
      </c>
      <c r="B97" t="inlineStr">
        <is>
          <t>111-4001819-3676665</t>
        </is>
      </c>
      <c r="C97" t="inlineStr">
        <is>
          <t>TH-CARSTE-04</t>
        </is>
      </c>
      <c r="D97" t="inlineStr">
        <is>
          <t>B0TH004KX</t>
        </is>
      </c>
      <c r="E97" t="inlineStr">
        <is>
          <t>X0TH0004</t>
        </is>
      </c>
      <c r="F97" t="inlineStr">
        <is>
          <t>Carbon Steel Wok</t>
        </is>
      </c>
      <c r="G97" t="n">
        <v>1</v>
      </c>
      <c r="H97" t="inlineStr">
        <is>
          <t>DFW6</t>
        </is>
      </c>
      <c r="I97" t="inlineStr">
        <is>
          <t>SELLABLE</t>
        </is>
      </c>
      <c r="J97" t="inlineStr">
        <is>
          <t>ORDERED_WRONG_ITEM</t>
        </is>
      </c>
      <c r="K97" t="inlineStr">
        <is>
          <t>Unit returned to inventory</t>
        </is>
      </c>
      <c r="L97">
        <f>IF(AND(OR(I97="DAMAGED",I97="CARRIER_DAMAGED"),ISERROR(SEARCH("reimburs",K97))),"yes","no")</f>
        <v/>
      </c>
    </row>
    <row r="98">
      <c r="A98" t="inlineStr">
        <is>
          <t>2026-08-12</t>
        </is>
      </c>
      <c r="B98" t="inlineStr">
        <is>
          <t>111-4002236-4632010</t>
        </is>
      </c>
      <c r="C98" t="inlineStr">
        <is>
          <t>TH-BAMCUT-05</t>
        </is>
      </c>
      <c r="D98" t="inlineStr">
        <is>
          <t>B0TH005KX</t>
        </is>
      </c>
      <c r="E98" t="inlineStr">
        <is>
          <t>X0TH0005</t>
        </is>
      </c>
      <c r="F98" t="inlineStr">
        <is>
          <t>Bamboo Cutting Board L</t>
        </is>
      </c>
      <c r="G98" t="n">
        <v>1</v>
      </c>
      <c r="H98" t="inlineStr">
        <is>
          <t>DFW6</t>
        </is>
      </c>
      <c r="I98" t="inlineStr">
        <is>
          <t>DEFECTIVE</t>
        </is>
      </c>
      <c r="J98" t="inlineStr">
        <is>
          <t>NOT_AS_DESCRIBED</t>
        </is>
      </c>
      <c r="K98" t="inlineStr">
        <is>
          <t>Unit not returned to inventory</t>
        </is>
      </c>
      <c r="L98">
        <f>IF(AND(OR(I98="DAMAGED",I98="CARRIER_DAMAGED"),ISERROR(SEARCH("reimburs",K98))),"yes","no")</f>
        <v/>
      </c>
    </row>
    <row r="99">
      <c r="A99" t="inlineStr">
        <is>
          <t>2026-08-13</t>
        </is>
      </c>
      <c r="B99" t="inlineStr">
        <is>
          <t>111-4011820-2824383</t>
        </is>
      </c>
      <c r="C99" t="inlineStr">
        <is>
          <t>TH-KITTOW-24</t>
        </is>
      </c>
      <c r="D99" t="inlineStr">
        <is>
          <t>B0TH024KX</t>
        </is>
      </c>
      <c r="E99" t="inlineStr">
        <is>
          <t>X0TH0024</t>
        </is>
      </c>
      <c r="F99" t="inlineStr">
        <is>
          <t>Kitchen Towels Linen 4pk</t>
        </is>
      </c>
      <c r="G99" t="n">
        <v>1</v>
      </c>
      <c r="H99" t="inlineStr">
        <is>
          <t>MDW2</t>
        </is>
      </c>
      <c r="I99" t="inlineStr">
        <is>
          <t>SELLABLE</t>
        </is>
      </c>
      <c r="J99" t="inlineStr">
        <is>
          <t>DEFECTIVE</t>
        </is>
      </c>
      <c r="K99" t="inlineStr">
        <is>
          <t>Unit returned to inventory</t>
        </is>
      </c>
      <c r="L99">
        <f>IF(AND(OR(I99="DAMAGED",I99="CARRIER_DAMAGED"),ISERROR(SEARCH("reimburs",K99))),"yes","no")</f>
        <v/>
      </c>
    </row>
    <row r="100">
      <c r="A100" t="inlineStr">
        <is>
          <t>2026-08-14</t>
        </is>
      </c>
      <c r="B100" t="inlineStr">
        <is>
          <t>111-4011783-5437791</t>
        </is>
      </c>
      <c r="C100" t="inlineStr">
        <is>
          <t>TH-KITTOW-24</t>
        </is>
      </c>
      <c r="D100" t="inlineStr">
        <is>
          <t>B0TH024KX</t>
        </is>
      </c>
      <c r="E100" t="inlineStr">
        <is>
          <t>X0TH0024</t>
        </is>
      </c>
      <c r="F100" t="inlineStr">
        <is>
          <t>Kitchen Towels Linen 4pk</t>
        </is>
      </c>
      <c r="G100" t="n">
        <v>1</v>
      </c>
      <c r="H100" t="inlineStr">
        <is>
          <t>ONT8</t>
        </is>
      </c>
      <c r="I100" t="inlineStr">
        <is>
          <t>SELLABLE</t>
        </is>
      </c>
      <c r="J100" t="inlineStr">
        <is>
          <t>UNWANTED_ITEM</t>
        </is>
      </c>
      <c r="K100" t="inlineStr">
        <is>
          <t>Unit returned to inventory</t>
        </is>
      </c>
      <c r="L100">
        <f>IF(AND(OR(I100="DAMAGED",I100="CARRIER_DAMAGED"),ISERROR(SEARCH("reimburs",K100))),"yes","no")</f>
        <v/>
      </c>
    </row>
    <row r="101">
      <c r="A101" t="inlineStr">
        <is>
          <t>2026-08-15</t>
        </is>
      </c>
      <c r="B101" t="inlineStr">
        <is>
          <t>111-4000869-8265324</t>
        </is>
      </c>
      <c r="C101" t="inlineStr">
        <is>
          <t>TH-CASIRO-02</t>
        </is>
      </c>
      <c r="D101" t="inlineStr">
        <is>
          <t>B0TH002KX</t>
        </is>
      </c>
      <c r="E101" t="inlineStr">
        <is>
          <t>X0TH0002</t>
        </is>
      </c>
      <c r="F101" t="inlineStr">
        <is>
          <t>Cast Iron Skillet 12in</t>
        </is>
      </c>
      <c r="G101" t="n">
        <v>1</v>
      </c>
      <c r="H101" t="inlineStr">
        <is>
          <t>PHX7</t>
        </is>
      </c>
      <c r="I101" t="inlineStr">
        <is>
          <t>SELLABLE</t>
        </is>
      </c>
      <c r="J101" t="inlineStr">
        <is>
          <t>ORDERED_WRONG_ITEM</t>
        </is>
      </c>
      <c r="K101" t="inlineStr">
        <is>
          <t>Unit returned to inventory</t>
        </is>
      </c>
      <c r="L101">
        <f>IF(AND(OR(I101="DAMAGED",I101="CARRIER_DAMAGED"),ISERROR(SEARCH("reimburs",K101))),"yes","no")</f>
        <v/>
      </c>
    </row>
    <row r="102">
      <c r="A102" t="inlineStr">
        <is>
          <t>2026-08-15</t>
        </is>
      </c>
      <c r="B102" t="inlineStr">
        <is>
          <t>111-4004854-9346814</t>
        </is>
      </c>
      <c r="C102" t="inlineStr">
        <is>
          <t>TH-BREKNI-10</t>
        </is>
      </c>
      <c r="D102" t="inlineStr">
        <is>
          <t>B0TH010KX</t>
        </is>
      </c>
      <c r="E102" t="inlineStr">
        <is>
          <t>X0TH0010</t>
        </is>
      </c>
      <c r="F102" t="inlineStr">
        <is>
          <t>Bread Knife 10in</t>
        </is>
      </c>
      <c r="G102" t="n">
        <v>1</v>
      </c>
      <c r="H102" t="inlineStr">
        <is>
          <t>PHX7</t>
        </is>
      </c>
      <c r="I102" t="inlineStr">
        <is>
          <t>CUSTOMER_DAMAGED</t>
        </is>
      </c>
      <c r="J102" t="inlineStr">
        <is>
          <t>ORDERED_WRONG_ITEM</t>
        </is>
      </c>
      <c r="K102" t="inlineStr">
        <is>
          <t>Unit not returned to inventory</t>
        </is>
      </c>
      <c r="L102">
        <f>IF(AND(OR(I102="DAMAGED",I102="CARRIER_DAMAGED"),ISERROR(SEARCH("reimburs",K102))),"yes","no")</f>
        <v/>
      </c>
    </row>
    <row r="103">
      <c r="A103" t="inlineStr">
        <is>
          <t>2026-08-15</t>
        </is>
      </c>
      <c r="B103" t="inlineStr">
        <is>
          <t>111-4009553-2891531</t>
        </is>
      </c>
      <c r="C103" t="inlineStr">
        <is>
          <t>TH-TEAINF-20</t>
        </is>
      </c>
      <c r="D103" t="inlineStr">
        <is>
          <t>B0TH020KX</t>
        </is>
      </c>
      <c r="E103" t="inlineStr">
        <is>
          <t>X0TH0020</t>
        </is>
      </c>
      <c r="F103" t="inlineStr">
        <is>
          <t>Tea Infuser Mug</t>
        </is>
      </c>
      <c r="G103" t="n">
        <v>1</v>
      </c>
      <c r="H103" t="inlineStr">
        <is>
          <t>DFW6</t>
        </is>
      </c>
      <c r="I103" t="inlineStr">
        <is>
          <t>DAMAGED</t>
        </is>
      </c>
      <c r="J103" t="inlineStr">
        <is>
          <t>NOT_AS_DESCRIBED</t>
        </is>
      </c>
      <c r="K103" t="inlineStr">
        <is>
          <t>Reimbursed</t>
        </is>
      </c>
      <c r="L103">
        <f>IF(AND(OR(I103="DAMAGED",I103="CARRIER_DAMAGED"),ISERROR(SEARCH("reimburs",K103))),"yes","no")</f>
        <v/>
      </c>
    </row>
    <row r="104">
      <c r="A104" t="inlineStr">
        <is>
          <t>2026-08-16</t>
        </is>
      </c>
      <c r="B104" t="inlineStr">
        <is>
          <t>111-4002860-3007410</t>
        </is>
      </c>
      <c r="C104" t="inlineStr">
        <is>
          <t>TH-BAMCUT-06</t>
        </is>
      </c>
      <c r="D104" t="inlineStr">
        <is>
          <t>B0TH006KX</t>
        </is>
      </c>
      <c r="E104" t="inlineStr">
        <is>
          <t>X0TH0006</t>
        </is>
      </c>
      <c r="F104" t="inlineStr">
        <is>
          <t>Bamboo Cutting Board M</t>
        </is>
      </c>
      <c r="G104" t="n">
        <v>1</v>
      </c>
      <c r="H104" t="inlineStr">
        <is>
          <t>LAX9</t>
        </is>
      </c>
      <c r="I104" t="inlineStr">
        <is>
          <t>DEFECTIVE</t>
        </is>
      </c>
      <c r="J104" t="inlineStr">
        <is>
          <t>DEFECTIVE</t>
        </is>
      </c>
      <c r="K104" t="inlineStr">
        <is>
          <t>Reimbursed</t>
        </is>
      </c>
      <c r="L104">
        <f>IF(AND(OR(I104="DAMAGED",I104="CARRIER_DAMAGED"),ISERROR(SEARCH("reimburs",K104))),"yes","no")</f>
        <v/>
      </c>
    </row>
    <row r="105">
      <c r="A105" t="inlineStr">
        <is>
          <t>2026-08-16</t>
        </is>
      </c>
      <c r="B105" t="inlineStr">
        <is>
          <t>111-4006132-6836469</t>
        </is>
      </c>
      <c r="C105" t="inlineStr">
        <is>
          <t>TH-STAMIX-12</t>
        </is>
      </c>
      <c r="D105" t="inlineStr">
        <is>
          <t>B0TH012KX</t>
        </is>
      </c>
      <c r="E105" t="inlineStr">
        <is>
          <t>X0TH0012</t>
        </is>
      </c>
      <c r="F105" t="inlineStr">
        <is>
          <t>Stainless Mixing Bowls 5pc</t>
        </is>
      </c>
      <c r="G105" t="n">
        <v>1</v>
      </c>
      <c r="H105" t="inlineStr">
        <is>
          <t>LAX9</t>
        </is>
      </c>
      <c r="I105" t="inlineStr">
        <is>
          <t>SELLABLE</t>
        </is>
      </c>
      <c r="J105" t="inlineStr">
        <is>
          <t>NOT_AS_DESCRIBED</t>
        </is>
      </c>
      <c r="K105" t="inlineStr">
        <is>
          <t>Unit returned to inventory</t>
        </is>
      </c>
      <c r="L105">
        <f>IF(AND(OR(I105="DAMAGED",I105="CARRIER_DAMAGED"),ISERROR(SEARCH("reimburs",K105))),"yes","no")</f>
        <v/>
      </c>
    </row>
    <row r="106">
      <c r="A106" t="inlineStr">
        <is>
          <t>2026-08-16</t>
        </is>
      </c>
      <c r="B106" t="inlineStr">
        <is>
          <t>111-4006520-8788796</t>
        </is>
      </c>
      <c r="C106" t="inlineStr">
        <is>
          <t>TH-SILSPA-13</t>
        </is>
      </c>
      <c r="D106" t="inlineStr">
        <is>
          <t>B0TH013KX</t>
        </is>
      </c>
      <c r="E106" t="inlineStr">
        <is>
          <t>X0TH0013</t>
        </is>
      </c>
      <c r="F106" t="inlineStr">
        <is>
          <t>Silicone Spatula Set</t>
        </is>
      </c>
      <c r="G106" t="n">
        <v>1</v>
      </c>
      <c r="H106" t="inlineStr">
        <is>
          <t>DFW6</t>
        </is>
      </c>
      <c r="I106" t="inlineStr">
        <is>
          <t>SELLABLE</t>
        </is>
      </c>
      <c r="J106" t="inlineStr">
        <is>
          <t>UNWANTED_ITEM</t>
        </is>
      </c>
      <c r="K106" t="inlineStr">
        <is>
          <t>Unit returned to inventory</t>
        </is>
      </c>
      <c r="L106">
        <f>IF(AND(OR(I106="DAMAGED",I106="CARRIER_DAMAGED"),ISERROR(SEARCH("reimburs",K106))),"yes","no")</f>
        <v/>
      </c>
    </row>
    <row r="107">
      <c r="A107" t="inlineStr">
        <is>
          <t>2026-08-18</t>
        </is>
      </c>
      <c r="B107" t="inlineStr">
        <is>
          <t>111-4011766-8267486</t>
        </is>
      </c>
      <c r="C107" t="inlineStr">
        <is>
          <t>TH-KITTOW-24</t>
        </is>
      </c>
      <c r="D107" t="inlineStr">
        <is>
          <t>B0TH024KX</t>
        </is>
      </c>
      <c r="E107" t="inlineStr">
        <is>
          <t>X0TH0024</t>
        </is>
      </c>
      <c r="F107" t="inlineStr">
        <is>
          <t>Kitchen Towels Linen 4pk</t>
        </is>
      </c>
      <c r="G107" t="n">
        <v>1</v>
      </c>
      <c r="H107" t="inlineStr">
        <is>
          <t>DFW6</t>
        </is>
      </c>
      <c r="I107" t="inlineStr">
        <is>
          <t>SELLABLE</t>
        </is>
      </c>
      <c r="J107" t="inlineStr">
        <is>
          <t>ORDERED_WRONG_ITEM</t>
        </is>
      </c>
      <c r="K107" t="inlineStr">
        <is>
          <t>Unit returned to inventory</t>
        </is>
      </c>
      <c r="L107">
        <f>IF(AND(OR(I107="DAMAGED",I107="CARRIER_DAMAGED"),ISERROR(SEARCH("reimburs",K107))),"yes","no")</f>
        <v/>
      </c>
    </row>
    <row r="108">
      <c r="A108" t="inlineStr">
        <is>
          <t>2026-08-19</t>
        </is>
      </c>
      <c r="B108" t="inlineStr">
        <is>
          <t>111-4007087-1150864</t>
        </is>
      </c>
      <c r="C108" t="inlineStr">
        <is>
          <t>TH-MEACUP-14</t>
        </is>
      </c>
      <c r="D108" t="inlineStr">
        <is>
          <t>B0TH014KX</t>
        </is>
      </c>
      <c r="E108" t="inlineStr">
        <is>
          <t>X0TH0014</t>
        </is>
      </c>
      <c r="F108" t="inlineStr">
        <is>
          <t>Measuring Cups Steel</t>
        </is>
      </c>
      <c r="G108" t="n">
        <v>1</v>
      </c>
      <c r="H108" t="inlineStr">
        <is>
          <t>LAX9</t>
        </is>
      </c>
      <c r="I108" t="inlineStr">
        <is>
          <t>CARRIER_DAMAGED</t>
        </is>
      </c>
      <c r="J108" t="inlineStr">
        <is>
          <t>NOT_AS_DESCRIBED</t>
        </is>
      </c>
      <c r="K108" t="inlineStr">
        <is>
          <t>Unit not returned to inventory</t>
        </is>
      </c>
      <c r="L108">
        <f>IF(AND(OR(I108="DAMAGED",I108="CARRIER_DAMAGED"),ISERROR(SEARCH("reimburs",K108))),"yes","no")</f>
        <v/>
      </c>
    </row>
    <row r="109">
      <c r="A109" t="inlineStr">
        <is>
          <t>2026-08-19</t>
        </is>
      </c>
      <c r="B109" t="inlineStr">
        <is>
          <t>111-4009590-3085344</t>
        </is>
      </c>
      <c r="C109" t="inlineStr">
        <is>
          <t>TH-TEAINF-20</t>
        </is>
      </c>
      <c r="D109" t="inlineStr">
        <is>
          <t>B0TH020KX</t>
        </is>
      </c>
      <c r="E109" t="inlineStr">
        <is>
          <t>X0TH0020</t>
        </is>
      </c>
      <c r="F109" t="inlineStr">
        <is>
          <t>Tea Infuser Mug</t>
        </is>
      </c>
      <c r="G109" t="n">
        <v>1</v>
      </c>
      <c r="H109" t="inlineStr">
        <is>
          <t>ONT8</t>
        </is>
      </c>
      <c r="I109" t="inlineStr">
        <is>
          <t>DEFECTIVE</t>
        </is>
      </c>
      <c r="J109" t="inlineStr">
        <is>
          <t>NOT_AS_DESCRIBED</t>
        </is>
      </c>
      <c r="K109" t="inlineStr">
        <is>
          <t>Unit not returned to inventory</t>
        </is>
      </c>
      <c r="L109">
        <f>IF(AND(OR(I109="DAMAGED",I109="CARRIER_DAMAGED"),ISERROR(SEARCH("reimburs",K109))),"yes","no")</f>
        <v/>
      </c>
    </row>
    <row r="110">
      <c r="A110" t="inlineStr">
        <is>
          <t>2026-08-20</t>
        </is>
      </c>
      <c r="B110" t="inlineStr">
        <is>
          <t>111-4005459-9197180</t>
        </is>
      </c>
      <c r="C110" t="inlineStr">
        <is>
          <t>TH-KNISHA-11</t>
        </is>
      </c>
      <c r="D110" t="inlineStr">
        <is>
          <t>B0TH011KX</t>
        </is>
      </c>
      <c r="E110" t="inlineStr">
        <is>
          <t>X0TH0011</t>
        </is>
      </c>
      <c r="F110" t="inlineStr">
        <is>
          <t>Knife Sharpener Whetstone</t>
        </is>
      </c>
      <c r="G110" t="n">
        <v>1</v>
      </c>
      <c r="H110" t="inlineStr">
        <is>
          <t>LAX9</t>
        </is>
      </c>
      <c r="I110" t="inlineStr">
        <is>
          <t>DAMAGED</t>
        </is>
      </c>
      <c r="J110" t="inlineStr">
        <is>
          <t>ORDERED_WRONG_ITEM</t>
        </is>
      </c>
      <c r="K110" t="inlineStr">
        <is>
          <t>Unit not returned to inventory</t>
        </is>
      </c>
      <c r="L110">
        <f>IF(AND(OR(I110="DAMAGED",I110="CARRIER_DAMAGED"),ISERROR(SEARCH("reimburs",K110))),"yes","no")</f>
        <v/>
      </c>
    </row>
    <row r="111">
      <c r="A111" t="inlineStr">
        <is>
          <t>2026-08-21</t>
        </is>
      </c>
      <c r="B111" t="inlineStr">
        <is>
          <t>111-4001893-6364951</t>
        </is>
      </c>
      <c r="C111" t="inlineStr">
        <is>
          <t>TH-CARSTE-04</t>
        </is>
      </c>
      <c r="D111" t="inlineStr">
        <is>
          <t>B0TH004KX</t>
        </is>
      </c>
      <c r="E111" t="inlineStr">
        <is>
          <t>X0TH0004</t>
        </is>
      </c>
      <c r="F111" t="inlineStr">
        <is>
          <t>Carbon Steel Wok</t>
        </is>
      </c>
      <c r="G111" t="n">
        <v>1</v>
      </c>
      <c r="H111" t="inlineStr">
        <is>
          <t>DFW6</t>
        </is>
      </c>
      <c r="I111" t="inlineStr">
        <is>
          <t>DAMAGED</t>
        </is>
      </c>
      <c r="J111" t="inlineStr">
        <is>
          <t>NOT_AS_DESCRIBED</t>
        </is>
      </c>
      <c r="K111" t="inlineStr">
        <is>
          <t>Unit not returned to inventory</t>
        </is>
      </c>
      <c r="L111">
        <f>IF(AND(OR(I111="DAMAGED",I111="CARRIER_DAMAGED"),ISERROR(SEARCH("reimburs",K111))),"yes","no")</f>
        <v/>
      </c>
    </row>
    <row r="112">
      <c r="A112" t="inlineStr">
        <is>
          <t>2026-08-22</t>
        </is>
      </c>
      <c r="B112" t="inlineStr">
        <is>
          <t>111-4003387-9289483</t>
        </is>
      </c>
      <c r="C112" t="inlineStr">
        <is>
          <t>TH-WALSER-07</t>
        </is>
      </c>
      <c r="D112" t="inlineStr">
        <is>
          <t>B0TH007KX</t>
        </is>
      </c>
      <c r="E112" t="inlineStr">
        <is>
          <t>X0TH0007</t>
        </is>
      </c>
      <c r="F112" t="inlineStr">
        <is>
          <t>Walnut Serving Tray</t>
        </is>
      </c>
      <c r="G112" t="n">
        <v>1</v>
      </c>
      <c r="H112" t="inlineStr">
        <is>
          <t>DFW6</t>
        </is>
      </c>
      <c r="I112" t="inlineStr">
        <is>
          <t>SELLABLE</t>
        </is>
      </c>
      <c r="J112" t="inlineStr">
        <is>
          <t>NOT_AS_DESCRIBED</t>
        </is>
      </c>
      <c r="K112" t="inlineStr">
        <is>
          <t>Unit returned to inventory</t>
        </is>
      </c>
      <c r="L112">
        <f>IF(AND(OR(I112="DAMAGED",I112="CARRIER_DAMAGED"),ISERROR(SEARCH("reimburs",K112))),"yes","no")</f>
        <v/>
      </c>
    </row>
    <row r="113">
      <c r="A113" t="inlineStr">
        <is>
          <t>2026-08-23</t>
        </is>
      </c>
      <c r="B113" t="inlineStr">
        <is>
          <t>111-4008249-3486038</t>
        </is>
      </c>
      <c r="C113" t="inlineStr">
        <is>
          <t>TH-FREPRE-17</t>
        </is>
      </c>
      <c r="D113" t="inlineStr">
        <is>
          <t>B0TH017KX</t>
        </is>
      </c>
      <c r="E113" t="inlineStr">
        <is>
          <t>X0TH0017</t>
        </is>
      </c>
      <c r="F113" t="inlineStr">
        <is>
          <t>French Press 34oz</t>
        </is>
      </c>
      <c r="G113" t="n">
        <v>1</v>
      </c>
      <c r="H113" t="inlineStr">
        <is>
          <t>ONT8</t>
        </is>
      </c>
      <c r="I113" t="inlineStr">
        <is>
          <t>DAMAGED</t>
        </is>
      </c>
      <c r="J113" t="inlineStr">
        <is>
          <t>NOT_AS_DESCRIBED</t>
        </is>
      </c>
      <c r="K113" t="inlineStr">
        <is>
          <t>Reimbursed</t>
        </is>
      </c>
      <c r="L113">
        <f>IF(AND(OR(I113="DAMAGED",I113="CARRIER_DAMAGED"),ISERROR(SEARCH("reimburs",K113))),"yes","no")</f>
        <v/>
      </c>
    </row>
    <row r="114">
      <c r="A114" t="inlineStr">
        <is>
          <t>2026-08-24</t>
        </is>
      </c>
      <c r="B114" t="inlineStr">
        <is>
          <t>111-4001621-3168318</t>
        </is>
      </c>
      <c r="C114" t="inlineStr">
        <is>
          <t>TH-ENADUT-03</t>
        </is>
      </c>
      <c r="D114" t="inlineStr">
        <is>
          <t>B0TH003KX</t>
        </is>
      </c>
      <c r="E114" t="inlineStr">
        <is>
          <t>X0TH0003</t>
        </is>
      </c>
      <c r="F114" t="inlineStr">
        <is>
          <t>Enamel Dutch Oven 5qt</t>
        </is>
      </c>
      <c r="G114" t="n">
        <v>1</v>
      </c>
      <c r="H114" t="inlineStr">
        <is>
          <t>ONT8</t>
        </is>
      </c>
      <c r="I114" t="inlineStr">
        <is>
          <t>DEFECTIVE</t>
        </is>
      </c>
      <c r="J114" t="inlineStr">
        <is>
          <t>UNWANTED_ITEM</t>
        </is>
      </c>
      <c r="K114" t="inlineStr">
        <is>
          <t>Unit not returned to inventory</t>
        </is>
      </c>
      <c r="L114">
        <f>IF(AND(OR(I114="DAMAGED",I114="CARRIER_DAMAGED"),ISERROR(SEARCH("reimburs",K114))),"yes","no")</f>
        <v/>
      </c>
    </row>
    <row r="115">
      <c r="A115" t="inlineStr">
        <is>
          <t>2026-08-24</t>
        </is>
      </c>
      <c r="B115" t="inlineStr">
        <is>
          <t>111-4004031-7757969</t>
        </is>
      </c>
      <c r="C115" t="inlineStr">
        <is>
          <t>TH-PARKNI-09</t>
        </is>
      </c>
      <c r="D115" t="inlineStr">
        <is>
          <t>B0TH009KX</t>
        </is>
      </c>
      <c r="E115" t="inlineStr">
        <is>
          <t>X0TH0009</t>
        </is>
      </c>
      <c r="F115" t="inlineStr">
        <is>
          <t>Paring Knife 3.5in</t>
        </is>
      </c>
      <c r="G115" t="n">
        <v>1</v>
      </c>
      <c r="H115" t="inlineStr">
        <is>
          <t>DFW6</t>
        </is>
      </c>
      <c r="I115" t="inlineStr">
        <is>
          <t>DEFECTIVE</t>
        </is>
      </c>
      <c r="J115" t="inlineStr">
        <is>
          <t>NOT_AS_DESCRIBED</t>
        </is>
      </c>
      <c r="K115" t="inlineStr">
        <is>
          <t>Reimbursed</t>
        </is>
      </c>
      <c r="L115">
        <f>IF(AND(OR(I115="DAMAGED",I115="CARRIER_DAMAGED"),ISERROR(SEARCH("reimburs",K115))),"yes","no")</f>
        <v/>
      </c>
    </row>
    <row r="116">
      <c r="A116" t="inlineStr">
        <is>
          <t>2026-08-24</t>
        </is>
      </c>
      <c r="B116" t="inlineStr">
        <is>
          <t>111-4010633-4509044</t>
        </is>
      </c>
      <c r="C116" t="inlineStr">
        <is>
          <t>TH-OVEMIT-22</t>
        </is>
      </c>
      <c r="D116" t="inlineStr">
        <is>
          <t>B0TH022KX</t>
        </is>
      </c>
      <c r="E116" t="inlineStr">
        <is>
          <t>X0TH0022</t>
        </is>
      </c>
      <c r="F116" t="inlineStr">
        <is>
          <t>Oven Mitts Aramid Pair</t>
        </is>
      </c>
      <c r="G116" t="n">
        <v>1</v>
      </c>
      <c r="H116" t="inlineStr">
        <is>
          <t>MDW2</t>
        </is>
      </c>
      <c r="I116" t="inlineStr">
        <is>
          <t>CARRIER_DAMAGED</t>
        </is>
      </c>
      <c r="J116" t="inlineStr">
        <is>
          <t>DEFECTIVE</t>
        </is>
      </c>
      <c r="K116" t="inlineStr">
        <is>
          <t>Unit not returned to inventory</t>
        </is>
      </c>
      <c r="L116">
        <f>IF(AND(OR(I116="DAMAGED",I116="CARRIER_DAMAGED"),ISERROR(SEARCH("reimburs",K116))),"yes","no")</f>
        <v/>
      </c>
    </row>
    <row r="117">
      <c r="A117" t="inlineStr">
        <is>
          <t>2026-08-25</t>
        </is>
      </c>
      <c r="B117" t="inlineStr">
        <is>
          <t>111-4001566-5331622</t>
        </is>
      </c>
      <c r="C117" t="inlineStr">
        <is>
          <t>TH-ENADUT-03</t>
        </is>
      </c>
      <c r="D117" t="inlineStr">
        <is>
          <t>B0TH003KX</t>
        </is>
      </c>
      <c r="E117" t="inlineStr">
        <is>
          <t>X0TH0003</t>
        </is>
      </c>
      <c r="F117" t="inlineStr">
        <is>
          <t>Enamel Dutch Oven 5qt</t>
        </is>
      </c>
      <c r="G117" t="n">
        <v>1</v>
      </c>
      <c r="H117" t="inlineStr">
        <is>
          <t>DFW6</t>
        </is>
      </c>
      <c r="I117" t="inlineStr">
        <is>
          <t>CUSTOMER_DAMAGED</t>
        </is>
      </c>
      <c r="J117" t="inlineStr">
        <is>
          <t>NOT_AS_DESCRIBED</t>
        </is>
      </c>
      <c r="K117" t="inlineStr">
        <is>
          <t>Unit not returned to inventory</t>
        </is>
      </c>
      <c r="L117">
        <f>IF(AND(OR(I117="DAMAGED",I117="CARRIER_DAMAGED"),ISERROR(SEARCH("reimburs",K117))),"yes","no")</f>
        <v/>
      </c>
    </row>
    <row r="118">
      <c r="A118" t="inlineStr">
        <is>
          <t>2026-08-25</t>
        </is>
      </c>
      <c r="B118" t="inlineStr">
        <is>
          <t>111-4002347-6390017</t>
        </is>
      </c>
      <c r="C118" t="inlineStr">
        <is>
          <t>TH-BAMCUT-05</t>
        </is>
      </c>
      <c r="D118" t="inlineStr">
        <is>
          <t>B0TH005KX</t>
        </is>
      </c>
      <c r="E118" t="inlineStr">
        <is>
          <t>X0TH0005</t>
        </is>
      </c>
      <c r="F118" t="inlineStr">
        <is>
          <t>Bamboo Cutting Board L</t>
        </is>
      </c>
      <c r="G118" t="n">
        <v>1</v>
      </c>
      <c r="H118" t="inlineStr">
        <is>
          <t>DFW6</t>
        </is>
      </c>
      <c r="I118" t="inlineStr">
        <is>
          <t>DEFECTIVE</t>
        </is>
      </c>
      <c r="J118" t="inlineStr">
        <is>
          <t>UNWANTED_ITEM</t>
        </is>
      </c>
      <c r="K118" t="inlineStr">
        <is>
          <t>Unit not returned to inventory</t>
        </is>
      </c>
      <c r="L118">
        <f>IF(AND(OR(I118="DAMAGED",I118="CARRIER_DAMAGED"),ISERROR(SEARCH("reimburs",K118))),"yes","no")</f>
        <v/>
      </c>
    </row>
    <row r="119">
      <c r="A119" t="inlineStr">
        <is>
          <t>2026-08-25</t>
        </is>
      </c>
      <c r="B119" t="inlineStr">
        <is>
          <t>111-4010682-5252335</t>
        </is>
      </c>
      <c r="C119" t="inlineStr">
        <is>
          <t>TH-OVEMIT-22</t>
        </is>
      </c>
      <c r="D119" t="inlineStr">
        <is>
          <t>B0TH022KX</t>
        </is>
      </c>
      <c r="E119" t="inlineStr">
        <is>
          <t>X0TH0022</t>
        </is>
      </c>
      <c r="F119" t="inlineStr">
        <is>
          <t>Oven Mitts Aramid Pair</t>
        </is>
      </c>
      <c r="G119" t="n">
        <v>1</v>
      </c>
      <c r="H119" t="inlineStr">
        <is>
          <t>ONT8</t>
        </is>
      </c>
      <c r="I119" t="inlineStr">
        <is>
          <t>SELLABLE</t>
        </is>
      </c>
      <c r="J119" t="inlineStr">
        <is>
          <t>NOT_AS_DESCRIBED</t>
        </is>
      </c>
      <c r="K119" t="inlineStr">
        <is>
          <t>Unit returned to inventory</t>
        </is>
      </c>
      <c r="L119">
        <f>IF(AND(OR(I119="DAMAGED",I119="CARRIER_DAMAGED"),ISERROR(SEARCH("reimburs",K119))),"yes","no")</f>
        <v/>
      </c>
    </row>
    <row r="120">
      <c r="A120" t="inlineStr">
        <is>
          <t>2026-08-26</t>
        </is>
      </c>
      <c r="B120" t="inlineStr">
        <is>
          <t>111-4001862-1379626</t>
        </is>
      </c>
      <c r="C120" t="inlineStr">
        <is>
          <t>TH-CARSTE-04</t>
        </is>
      </c>
      <c r="D120" t="inlineStr">
        <is>
          <t>B0TH004KX</t>
        </is>
      </c>
      <c r="E120" t="inlineStr">
        <is>
          <t>X0TH0004</t>
        </is>
      </c>
      <c r="F120" t="inlineStr">
        <is>
          <t>Carbon Steel Wok</t>
        </is>
      </c>
      <c r="G120" t="n">
        <v>1</v>
      </c>
      <c r="H120" t="inlineStr">
        <is>
          <t>DFW6</t>
        </is>
      </c>
      <c r="I120" t="inlineStr">
        <is>
          <t>CARRIER_DAMAGED</t>
        </is>
      </c>
      <c r="J120" t="inlineStr">
        <is>
          <t>DEFECTIVE</t>
        </is>
      </c>
      <c r="K120" t="inlineStr">
        <is>
          <t>Unit not returned to inventory</t>
        </is>
      </c>
      <c r="L120">
        <f>IF(AND(OR(I120="DAMAGED",I120="CARRIER_DAMAGED"),ISERROR(SEARCH("reimburs",K120))),"yes","no")</f>
        <v/>
      </c>
    </row>
    <row r="121">
      <c r="A121" t="inlineStr">
        <is>
          <t>2026-08-26</t>
        </is>
      </c>
      <c r="B121" t="inlineStr">
        <is>
          <t>111-4005943-8314716</t>
        </is>
      </c>
      <c r="C121" t="inlineStr">
        <is>
          <t>TH-STAMIX-12</t>
        </is>
      </c>
      <c r="D121" t="inlineStr">
        <is>
          <t>B0TH012KX</t>
        </is>
      </c>
      <c r="E121" t="inlineStr">
        <is>
          <t>X0TH0012</t>
        </is>
      </c>
      <c r="F121" t="inlineStr">
        <is>
          <t>Stainless Mixing Bowls 5pc</t>
        </is>
      </c>
      <c r="G121" t="n">
        <v>1</v>
      </c>
      <c r="H121" t="inlineStr">
        <is>
          <t>LAX9</t>
        </is>
      </c>
      <c r="I121" t="inlineStr">
        <is>
          <t>SELLABLE</t>
        </is>
      </c>
      <c r="J121" t="inlineStr">
        <is>
          <t>DEFECTIVE</t>
        </is>
      </c>
      <c r="K121" t="inlineStr">
        <is>
          <t>Unit returned to inventory</t>
        </is>
      </c>
      <c r="L121">
        <f>IF(AND(OR(I121="DAMAGED",I121="CARRIER_DAMAGED"),ISERROR(SEARCH("reimburs",K121))),"yes","no")</f>
        <v/>
      </c>
    </row>
    <row r="122">
      <c r="A122" t="inlineStr">
        <is>
          <t>2026-08-26</t>
        </is>
      </c>
      <c r="B122" t="inlineStr">
        <is>
          <t>111-4007798-6021701</t>
        </is>
      </c>
      <c r="C122" t="inlineStr">
        <is>
          <t>TH-PEPMIL-16</t>
        </is>
      </c>
      <c r="D122" t="inlineStr">
        <is>
          <t>B0TH016KX</t>
        </is>
      </c>
      <c r="E122" t="inlineStr">
        <is>
          <t>X0TH0016</t>
        </is>
      </c>
      <c r="F122" t="inlineStr">
        <is>
          <t>Pepper Mill Walnut</t>
        </is>
      </c>
      <c r="G122" t="n">
        <v>1</v>
      </c>
      <c r="H122" t="inlineStr">
        <is>
          <t>ONT8</t>
        </is>
      </c>
      <c r="I122" t="inlineStr">
        <is>
          <t>DEFECTIVE</t>
        </is>
      </c>
      <c r="J122" t="inlineStr">
        <is>
          <t>ORDERED_WRONG_ITEM</t>
        </is>
      </c>
      <c r="K122" t="inlineStr">
        <is>
          <t>Unit not returned to inventory</t>
        </is>
      </c>
      <c r="L122">
        <f>IF(AND(OR(I122="DAMAGED",I122="CARRIER_DAMAGED"),ISERROR(SEARCH("reimburs",K122))),"yes","no")</f>
        <v/>
      </c>
    </row>
    <row r="123">
      <c r="A123" t="inlineStr">
        <is>
          <t>2026-08-28</t>
        </is>
      </c>
      <c r="B123" t="inlineStr">
        <is>
          <t>111-4004207-9396863</t>
        </is>
      </c>
      <c r="C123" t="inlineStr">
        <is>
          <t>TH-PARKNI-09</t>
        </is>
      </c>
      <c r="D123" t="inlineStr">
        <is>
          <t>B0TH009KX</t>
        </is>
      </c>
      <c r="E123" t="inlineStr">
        <is>
          <t>X0TH0009</t>
        </is>
      </c>
      <c r="F123" t="inlineStr">
        <is>
          <t>Paring Knife 3.5in</t>
        </is>
      </c>
      <c r="G123" t="n">
        <v>1</v>
      </c>
      <c r="H123" t="inlineStr">
        <is>
          <t>DFW6</t>
        </is>
      </c>
      <c r="I123" t="inlineStr">
        <is>
          <t>DEFECTIVE</t>
        </is>
      </c>
      <c r="J123" t="inlineStr">
        <is>
          <t>DEFECTIVE</t>
        </is>
      </c>
      <c r="K123" t="inlineStr">
        <is>
          <t>Unit not returned to inventory</t>
        </is>
      </c>
      <c r="L123">
        <f>IF(AND(OR(I123="DAMAGED",I123="CARRIER_DAMAGED"),ISERROR(SEARCH("reimburs",K123))),"yes","no")</f>
        <v/>
      </c>
    </row>
    <row r="124">
      <c r="A124" t="inlineStr">
        <is>
          <t>2026-08-28</t>
        </is>
      </c>
      <c r="B124" t="inlineStr">
        <is>
          <t>111-4006029-5749140</t>
        </is>
      </c>
      <c r="C124" t="inlineStr">
        <is>
          <t>TH-STAMIX-12</t>
        </is>
      </c>
      <c r="D124" t="inlineStr">
        <is>
          <t>B0TH012KX</t>
        </is>
      </c>
      <c r="E124" t="inlineStr">
        <is>
          <t>X0TH0012</t>
        </is>
      </c>
      <c r="F124" t="inlineStr">
        <is>
          <t>Stainless Mixing Bowls 5pc</t>
        </is>
      </c>
      <c r="G124" t="n">
        <v>1</v>
      </c>
      <c r="H124" t="inlineStr">
        <is>
          <t>PHX7</t>
        </is>
      </c>
      <c r="I124" t="inlineStr">
        <is>
          <t>CUSTOMER_DAMAGED</t>
        </is>
      </c>
      <c r="J124" t="inlineStr">
        <is>
          <t>NOT_AS_DESCRIBED</t>
        </is>
      </c>
      <c r="K124" t="inlineStr">
        <is>
          <t>Unit not returned to inventory</t>
        </is>
      </c>
      <c r="L124">
        <f>IF(AND(OR(I124="DAMAGED",I124="CARRIER_DAMAGED"),ISERROR(SEARCH("reimburs",K124))),"yes","no")</f>
        <v/>
      </c>
    </row>
    <row r="125">
      <c r="A125" t="inlineStr">
        <is>
          <t>2026-08-29</t>
        </is>
      </c>
      <c r="B125" t="inlineStr">
        <is>
          <t>111-4009157-6843329</t>
        </is>
      </c>
      <c r="C125" t="inlineStr">
        <is>
          <t>TH-COFCAN-19</t>
        </is>
      </c>
      <c r="D125" t="inlineStr">
        <is>
          <t>B0TH019KX</t>
        </is>
      </c>
      <c r="E125" t="inlineStr">
        <is>
          <t>X0TH0019</t>
        </is>
      </c>
      <c r="F125" t="inlineStr">
        <is>
          <t>Coffee Canister Airtight</t>
        </is>
      </c>
      <c r="G125" t="n">
        <v>1</v>
      </c>
      <c r="H125" t="inlineStr">
        <is>
          <t>PHX7</t>
        </is>
      </c>
      <c r="I125" t="inlineStr">
        <is>
          <t>DAMAGED</t>
        </is>
      </c>
      <c r="J125" t="inlineStr">
        <is>
          <t>ORDERED_WRONG_ITEM</t>
        </is>
      </c>
      <c r="K125" t="inlineStr">
        <is>
          <t>Unit not returned to inventory</t>
        </is>
      </c>
      <c r="L125">
        <f>IF(AND(OR(I125="DAMAGED",I125="CARRIER_DAMAGED"),ISERROR(SEARCH("reimburs",K125))),"yes","no")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0" customWidth="1" min="5" max="5"/>
    <col width="18" customWidth="1" min="6" max="6"/>
    <col width="12" customWidth="1" min="7" max="7"/>
    <col width="14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8" customWidth="1" min="14" max="14"/>
    <col width="12" customWidth="1" min="15" max="15"/>
  </cols>
  <sheetData>
    <row r="1">
      <c r="A1" s="2" t="inlineStr">
        <is>
          <t>approval-date</t>
        </is>
      </c>
      <c r="B1" s="2" t="inlineStr">
        <is>
          <t>reimbursement-id</t>
        </is>
      </c>
      <c r="C1" s="2" t="inlineStr">
        <is>
          <t>case-id</t>
        </is>
      </c>
      <c r="D1" s="2" t="inlineStr">
        <is>
          <t>amazon-order-id</t>
        </is>
      </c>
      <c r="E1" s="2" t="inlineStr">
        <is>
          <t>reason</t>
        </is>
      </c>
      <c r="F1" s="2" t="inlineStr">
        <is>
          <t>sku</t>
        </is>
      </c>
      <c r="G1" s="2" t="inlineStr">
        <is>
          <t>fnsku</t>
        </is>
      </c>
      <c r="H1" s="2" t="inlineStr">
        <is>
          <t>asin</t>
        </is>
      </c>
      <c r="I1" s="2" t="inlineStr">
        <is>
          <t>amount-per-unit</t>
        </is>
      </c>
      <c r="J1" s="2" t="inlineStr">
        <is>
          <t>amount-total</t>
        </is>
      </c>
      <c r="K1" s="2" t="inlineStr">
        <is>
          <t>quantity-reimbursed-cash</t>
        </is>
      </c>
      <c r="L1" s="2" t="inlineStr">
        <is>
          <t>quantity-reimbursed-inventory</t>
        </is>
      </c>
      <c r="M1" s="2" t="inlineStr">
        <is>
          <t>quantity-reimbursed-total</t>
        </is>
      </c>
      <c r="N1" s="2" t="inlineStr">
        <is>
          <t>original-reimbursement-type</t>
        </is>
      </c>
      <c r="O1" s="2" t="inlineStr">
        <is>
          <t>Cash share (helper)</t>
        </is>
      </c>
    </row>
    <row r="2">
      <c r="A2" t="inlineStr">
        <is>
          <t>2026-06-14</t>
        </is>
      </c>
      <c r="B2" t="inlineStr">
        <is>
          <t>RM-77074</t>
        </is>
      </c>
      <c r="E2" t="inlineStr">
        <is>
          <t>Damaged_Warehouse</t>
        </is>
      </c>
      <c r="F2" t="inlineStr">
        <is>
          <t>TH-WALSER-07</t>
        </is>
      </c>
      <c r="G2" t="inlineStr">
        <is>
          <t>X0TH0007</t>
        </is>
      </c>
      <c r="H2" t="inlineStr">
        <is>
          <t>B0TH007KX</t>
        </is>
      </c>
      <c r="I2" t="n">
        <v>13.1</v>
      </c>
      <c r="J2" t="n">
        <v>26.2</v>
      </c>
      <c r="K2" t="n">
        <v>2</v>
      </c>
      <c r="L2" t="n">
        <v>0</v>
      </c>
      <c r="M2" t="n">
        <v>2</v>
      </c>
      <c r="O2">
        <f>IF(M2&gt;0,IF(K2&lt;&gt;"",K2,M2)/M2,0)</f>
        <v/>
      </c>
    </row>
    <row r="3">
      <c r="A3" t="inlineStr">
        <is>
          <t>2026-06-24</t>
        </is>
      </c>
      <c r="B3" t="inlineStr">
        <is>
          <t>RM-77084</t>
        </is>
      </c>
      <c r="E3" t="inlineStr">
        <is>
          <t>Lost_Warehouse</t>
        </is>
      </c>
      <c r="F3" t="inlineStr">
        <is>
          <t>TH-CHEKNI-08</t>
        </is>
      </c>
      <c r="G3" t="inlineStr">
        <is>
          <t>X0TH0008</t>
        </is>
      </c>
      <c r="H3" t="inlineStr">
        <is>
          <t>B0TH008KX</t>
        </is>
      </c>
      <c r="I3" t="n">
        <v>16.6</v>
      </c>
      <c r="J3" t="n">
        <v>49.8</v>
      </c>
      <c r="K3" t="n">
        <v>3</v>
      </c>
      <c r="L3" t="n">
        <v>0</v>
      </c>
      <c r="M3" t="n">
        <v>3</v>
      </c>
      <c r="O3">
        <f>IF(M3&gt;0,IF(K3&lt;&gt;"",K3,M3)/M3,0)</f>
        <v/>
      </c>
    </row>
    <row r="4">
      <c r="A4" t="inlineStr">
        <is>
          <t>2026-06-30</t>
        </is>
      </c>
      <c r="B4" t="inlineStr">
        <is>
          <t>RM-77064</t>
        </is>
      </c>
      <c r="E4" t="inlineStr">
        <is>
          <t>Damaged_Warehouse</t>
        </is>
      </c>
      <c r="F4" t="inlineStr">
        <is>
          <t>TH-BAMCUT-06</t>
        </is>
      </c>
      <c r="G4" t="inlineStr">
        <is>
          <t>X0TH0006</t>
        </is>
      </c>
      <c r="H4" t="inlineStr">
        <is>
          <t>B0TH006KX</t>
        </is>
      </c>
      <c r="I4" t="n">
        <v>5.5</v>
      </c>
      <c r="J4" t="n">
        <v>0</v>
      </c>
      <c r="K4" t="n">
        <v>0</v>
      </c>
      <c r="L4" t="n">
        <v>3</v>
      </c>
      <c r="M4" t="n">
        <v>3</v>
      </c>
      <c r="O4">
        <f>IF(M4&gt;0,IF(K4&lt;&gt;"",K4,M4)/M4,0)</f>
        <v/>
      </c>
    </row>
    <row r="5">
      <c r="A5" t="inlineStr">
        <is>
          <t>2026-06-30</t>
        </is>
      </c>
      <c r="B5" t="inlineStr">
        <is>
          <t>RM-77250</t>
        </is>
      </c>
      <c r="E5" t="inlineStr">
        <is>
          <t>Damaged_Warehouse</t>
        </is>
      </c>
      <c r="F5" t="inlineStr">
        <is>
          <t>TH-TRICOR-23</t>
        </is>
      </c>
      <c r="G5" t="inlineStr">
        <is>
          <t>X0TH0023</t>
        </is>
      </c>
      <c r="H5" t="inlineStr">
        <is>
          <t>B0TH023KX</t>
        </is>
      </c>
      <c r="I5" t="n">
        <v>2.6</v>
      </c>
      <c r="J5" t="n">
        <v>7.8</v>
      </c>
      <c r="K5" t="n">
        <v>3</v>
      </c>
      <c r="L5" t="n">
        <v>0</v>
      </c>
      <c r="M5" t="n">
        <v>3</v>
      </c>
      <c r="O5">
        <f>IF(M5&gt;0,IF(K5&lt;&gt;"",K5,M5)/M5,0)</f>
        <v/>
      </c>
    </row>
    <row r="6">
      <c r="A6" t="inlineStr">
        <is>
          <t>2026-07-05</t>
        </is>
      </c>
      <c r="B6" t="inlineStr">
        <is>
          <t>RM-77095</t>
        </is>
      </c>
      <c r="E6" t="inlineStr">
        <is>
          <t>Lost_Warehouse</t>
        </is>
      </c>
      <c r="F6" t="inlineStr">
        <is>
          <t>TH-PARKNI-09</t>
        </is>
      </c>
      <c r="G6" t="inlineStr">
        <is>
          <t>X0TH0009</t>
        </is>
      </c>
      <c r="H6" t="inlineStr">
        <is>
          <t>B0TH009KX</t>
        </is>
      </c>
      <c r="I6" t="n">
        <v>4.8</v>
      </c>
      <c r="J6" t="n">
        <v>14.4</v>
      </c>
      <c r="K6" t="n">
        <v>3</v>
      </c>
      <c r="L6" t="n">
        <v>0</v>
      </c>
      <c r="M6" t="n">
        <v>3</v>
      </c>
      <c r="O6">
        <f>IF(M6&gt;0,IF(K6&lt;&gt;"",K6,M6)/M6,0)</f>
        <v/>
      </c>
    </row>
    <row r="7">
      <c r="A7" t="inlineStr">
        <is>
          <t>2026-07-15</t>
        </is>
      </c>
      <c r="B7" t="inlineStr">
        <is>
          <t>RM-77122</t>
        </is>
      </c>
      <c r="E7" t="inlineStr">
        <is>
          <t>Lost_Warehouse</t>
        </is>
      </c>
      <c r="F7" t="inlineStr">
        <is>
          <t>TH-KNISHA-11</t>
        </is>
      </c>
      <c r="G7" t="inlineStr">
        <is>
          <t>X0TH0011</t>
        </is>
      </c>
      <c r="H7" t="inlineStr">
        <is>
          <t>B0TH011KX</t>
        </is>
      </c>
      <c r="I7" t="n">
        <v>6.5</v>
      </c>
      <c r="J7" t="n">
        <v>6.5</v>
      </c>
      <c r="K7" t="n">
        <v>1</v>
      </c>
      <c r="L7" t="n">
        <v>0</v>
      </c>
      <c r="M7" t="n">
        <v>1</v>
      </c>
      <c r="O7">
        <f>IF(M7&gt;0,IF(K7&lt;&gt;"",K7,M7)/M7,0)</f>
        <v/>
      </c>
    </row>
    <row r="8">
      <c r="A8" t="inlineStr">
        <is>
          <t>2026-07-26</t>
        </is>
      </c>
      <c r="B8" t="inlineStr">
        <is>
          <t>RM-77186</t>
        </is>
      </c>
      <c r="E8" t="inlineStr">
        <is>
          <t>Damaged_Warehouse</t>
        </is>
      </c>
      <c r="F8" t="inlineStr">
        <is>
          <t>TH-FREPRE-17</t>
        </is>
      </c>
      <c r="G8" t="inlineStr">
        <is>
          <t>X0TH0017</t>
        </is>
      </c>
      <c r="H8" t="inlineStr">
        <is>
          <t>B0TH017KX</t>
        </is>
      </c>
      <c r="I8" t="n">
        <v>9</v>
      </c>
      <c r="J8" t="n">
        <v>27</v>
      </c>
      <c r="K8" t="n">
        <v>3</v>
      </c>
      <c r="L8" t="n">
        <v>0</v>
      </c>
      <c r="M8" t="n">
        <v>3</v>
      </c>
      <c r="O8">
        <f>IF(M8&gt;0,IF(K8&lt;&gt;"",K8,M8)/M8,0)</f>
        <v/>
      </c>
    </row>
    <row r="9">
      <c r="A9" t="inlineStr">
        <is>
          <t>2026-07-27</t>
        </is>
      </c>
      <c r="B9" t="inlineStr">
        <is>
          <t>RM-77023</t>
        </is>
      </c>
      <c r="E9" t="inlineStr">
        <is>
          <t>Lost_Warehouse</t>
        </is>
      </c>
      <c r="F9" t="inlineStr">
        <is>
          <t>TH-CASIRO-02</t>
        </is>
      </c>
      <c r="G9" t="inlineStr">
        <is>
          <t>X0TH0002</t>
        </is>
      </c>
      <c r="H9" t="inlineStr">
        <is>
          <t>B0TH002KX</t>
        </is>
      </c>
      <c r="I9" t="n">
        <v>16.1</v>
      </c>
      <c r="J9" t="n">
        <v>32.2</v>
      </c>
      <c r="K9" t="n">
        <v>2</v>
      </c>
      <c r="L9" t="n">
        <v>0</v>
      </c>
      <c r="M9" t="n">
        <v>2</v>
      </c>
      <c r="O9">
        <f>IF(M9&gt;0,IF(K9&lt;&gt;"",K9,M9)/M9,0)</f>
        <v/>
      </c>
    </row>
    <row r="10">
      <c r="A10" t="inlineStr">
        <is>
          <t>2026-08-08</t>
        </is>
      </c>
      <c r="B10" t="inlineStr">
        <is>
          <t>RM-77045</t>
        </is>
      </c>
      <c r="E10" t="inlineStr">
        <is>
          <t>Lost_Warehouse</t>
        </is>
      </c>
      <c r="F10" t="inlineStr">
        <is>
          <t>TH-CARSTE-04</t>
        </is>
      </c>
      <c r="G10" t="inlineStr">
        <is>
          <t>X0TH0004</t>
        </is>
      </c>
      <c r="H10" t="inlineStr">
        <is>
          <t>B0TH004KX</t>
        </is>
      </c>
      <c r="I10" t="n">
        <v>16.1</v>
      </c>
      <c r="J10" t="n">
        <v>32.2</v>
      </c>
      <c r="K10" t="n">
        <v>2</v>
      </c>
      <c r="L10" t="n">
        <v>0</v>
      </c>
      <c r="M10" t="n">
        <v>2</v>
      </c>
      <c r="O10">
        <f>IF(M10&gt;0,IF(K10&lt;&gt;"",K10,M10)/M10,0)</f>
        <v/>
      </c>
    </row>
    <row r="11">
      <c r="A11" t="inlineStr">
        <is>
          <t>2026-08-11</t>
        </is>
      </c>
      <c r="B11" t="inlineStr">
        <is>
          <t>RM-77144</t>
        </is>
      </c>
      <c r="E11" t="inlineStr">
        <is>
          <t>Lost_Warehouse</t>
        </is>
      </c>
      <c r="F11" t="inlineStr">
        <is>
          <t>TH-SILSPA-13</t>
        </is>
      </c>
      <c r="G11" t="inlineStr">
        <is>
          <t>X0TH0013</t>
        </is>
      </c>
      <c r="H11" t="inlineStr">
        <is>
          <t>B0TH013KX</t>
        </is>
      </c>
      <c r="I11" t="n">
        <v>3.3</v>
      </c>
      <c r="J11" t="n">
        <v>0</v>
      </c>
      <c r="K11" t="n">
        <v>0</v>
      </c>
      <c r="L11" t="n">
        <v>3</v>
      </c>
      <c r="M11" t="n">
        <v>3</v>
      </c>
      <c r="O11">
        <f>IF(M11&gt;0,IF(K11&lt;&gt;"",K11,M11)/M11,0)</f>
        <v/>
      </c>
    </row>
    <row r="12">
      <c r="A12" t="inlineStr">
        <is>
          <t>2026-08-20</t>
        </is>
      </c>
      <c r="B12" t="inlineStr">
        <is>
          <t>RM-77264</t>
        </is>
      </c>
      <c r="E12" t="inlineStr">
        <is>
          <t>Reversal</t>
        </is>
      </c>
      <c r="F12" t="inlineStr">
        <is>
          <t>TH-CARSTE-04</t>
        </is>
      </c>
      <c r="G12" t="inlineStr">
        <is>
          <t>X0TH0004</t>
        </is>
      </c>
      <c r="H12" t="inlineStr">
        <is>
          <t>B0TH004KX</t>
        </is>
      </c>
      <c r="I12" t="n">
        <v>-16.1</v>
      </c>
      <c r="J12" t="n">
        <v>-32.2</v>
      </c>
      <c r="K12" t="n">
        <v>2</v>
      </c>
      <c r="L12" t="n">
        <v>0</v>
      </c>
      <c r="M12" t="n">
        <v>2</v>
      </c>
      <c r="N12" t="inlineStr">
        <is>
          <t>Reversal</t>
        </is>
      </c>
      <c r="O12">
        <f>IF(M12&gt;0,IF(K12&lt;&gt;"",K12,M12)/M12,0)</f>
        <v/>
      </c>
    </row>
    <row r="13">
      <c r="A13" t="inlineStr">
        <is>
          <t>2026-08-23</t>
        </is>
      </c>
      <c r="B13" t="inlineStr">
        <is>
          <t>RM-77167</t>
        </is>
      </c>
      <c r="E13" t="inlineStr">
        <is>
          <t>Damaged_Warehouse</t>
        </is>
      </c>
      <c r="F13" t="inlineStr">
        <is>
          <t>TH-SALCEL-15</t>
        </is>
      </c>
      <c r="G13" t="inlineStr">
        <is>
          <t>X0TH0015</t>
        </is>
      </c>
      <c r="H13" t="inlineStr">
        <is>
          <t>B0TH015KX</t>
        </is>
      </c>
      <c r="I13" t="n">
        <v>4.1</v>
      </c>
      <c r="J13" t="n">
        <v>8.199999999999999</v>
      </c>
      <c r="K13" t="n">
        <v>2</v>
      </c>
      <c r="L13" t="n">
        <v>0</v>
      </c>
      <c r="M13" t="n">
        <v>2</v>
      </c>
      <c r="O13">
        <f>IF(M13&gt;0,IF(K13&lt;&gt;"",K13,M13)/M13,0)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8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0" customWidth="1" min="10" max="10"/>
  </cols>
  <sheetData>
    <row r="1">
      <c r="A1" s="2" t="inlineStr">
        <is>
          <t>date/time</t>
        </is>
      </c>
      <c r="B1" s="2" t="inlineStr">
        <is>
          <t>type</t>
        </is>
      </c>
      <c r="C1" s="2" t="inlineStr">
        <is>
          <t>order id</t>
        </is>
      </c>
      <c r="D1" s="2" t="inlineStr">
        <is>
          <t>sku</t>
        </is>
      </c>
      <c r="E1" s="2" t="inlineStr">
        <is>
          <t>quantity</t>
        </is>
      </c>
      <c r="F1" s="2" t="inlineStr">
        <is>
          <t>product sales</t>
        </is>
      </c>
      <c r="G1" s="2" t="inlineStr">
        <is>
          <t>total</t>
        </is>
      </c>
      <c r="H1" s="2" t="inlineStr">
        <is>
          <t>Age in days (helper)</t>
        </is>
      </c>
      <c r="I1" s="2" t="inlineStr">
        <is>
          <t>Units returned (helper)</t>
        </is>
      </c>
      <c r="J1" s="2" t="inlineStr">
        <is>
          <t>Short (helper)</t>
        </is>
      </c>
    </row>
    <row r="2">
      <c r="A2" t="inlineStr">
        <is>
          <t>2026-05-08T20:00:00</t>
        </is>
      </c>
      <c r="B2" t="inlineStr">
        <is>
          <t>Refund</t>
        </is>
      </c>
      <c r="C2" t="inlineStr">
        <is>
          <t>111-4001167-4531939</t>
        </is>
      </c>
      <c r="D2" t="inlineStr">
        <is>
          <t>TH-CASIRO-02</t>
        </is>
      </c>
      <c r="E2" t="n">
        <v>1</v>
      </c>
      <c r="F2" t="n">
        <v>-46.34</v>
      </c>
      <c r="G2" t="n">
        <v>-40.78</v>
      </c>
      <c r="H2">
        <f>IFERROR(Windows!$B$2-DATEVALUE(LEFT(A2,10)),"")</f>
        <v/>
      </c>
      <c r="I2">
        <f>SUMIFS(Returns!$G:$G,Returns!$B:$B,C2)</f>
        <v/>
      </c>
      <c r="J2">
        <f>MAX(0,ABS(E2)-I2)</f>
        <v/>
      </c>
    </row>
    <row r="3">
      <c r="A3" t="inlineStr">
        <is>
          <t>2026-05-11T16:00:00</t>
        </is>
      </c>
      <c r="B3" t="inlineStr">
        <is>
          <t>Refund</t>
        </is>
      </c>
      <c r="C3" t="inlineStr">
        <is>
          <t>111-4006638-6018624</t>
        </is>
      </c>
      <c r="D3" t="inlineStr">
        <is>
          <t>TH-SILSPA-13</t>
        </is>
      </c>
      <c r="E3" t="n">
        <v>1</v>
      </c>
      <c r="F3" t="n">
        <v>-15.44</v>
      </c>
      <c r="G3" t="n">
        <v>-13.59</v>
      </c>
      <c r="H3">
        <f>IFERROR(Windows!$B$2-DATEVALUE(LEFT(A3,10)),"")</f>
        <v/>
      </c>
      <c r="I3">
        <f>SUMIFS(Returns!$G:$G,Returns!$B:$B,C3)</f>
        <v/>
      </c>
      <c r="J3">
        <f>MAX(0,ABS(E3)-I3)</f>
        <v/>
      </c>
    </row>
    <row r="4">
      <c r="A4" t="inlineStr">
        <is>
          <t>2026-05-12T14:00:00</t>
        </is>
      </c>
      <c r="B4" t="inlineStr">
        <is>
          <t>Refund</t>
        </is>
      </c>
      <c r="C4" t="inlineStr">
        <is>
          <t>111-4004228-2926992</t>
        </is>
      </c>
      <c r="D4" t="inlineStr">
        <is>
          <t>TH-PARKNI-09</t>
        </is>
      </c>
      <c r="E4" t="n">
        <v>1</v>
      </c>
      <c r="F4" t="n">
        <v>-18.42</v>
      </c>
      <c r="G4" t="n">
        <v>-16.21</v>
      </c>
      <c r="H4">
        <f>IFERROR(Windows!$B$2-DATEVALUE(LEFT(A4,10)),"")</f>
        <v/>
      </c>
      <c r="I4">
        <f>SUMIFS(Returns!$G:$G,Returns!$B:$B,C4)</f>
        <v/>
      </c>
      <c r="J4">
        <f>MAX(0,ABS(E4)-I4)</f>
        <v/>
      </c>
    </row>
    <row r="5">
      <c r="A5" t="inlineStr">
        <is>
          <t>2026-05-15T01:00:00</t>
        </is>
      </c>
      <c r="B5" t="inlineStr">
        <is>
          <t>Refund</t>
        </is>
      </c>
      <c r="C5" t="inlineStr">
        <is>
          <t>111-4008814-6418098</t>
        </is>
      </c>
      <c r="D5" t="inlineStr">
        <is>
          <t>TH-POUOVE-18</t>
        </is>
      </c>
      <c r="E5" t="n">
        <v>1</v>
      </c>
      <c r="F5" t="n">
        <v>-44.28</v>
      </c>
      <c r="G5" t="n">
        <v>-38.97</v>
      </c>
      <c r="H5">
        <f>IFERROR(Windows!$B$2-DATEVALUE(LEFT(A5,10)),"")</f>
        <v/>
      </c>
      <c r="I5">
        <f>SUMIFS(Returns!$G:$G,Returns!$B:$B,C5)</f>
        <v/>
      </c>
      <c r="J5">
        <f>MAX(0,ABS(E5)-I5)</f>
        <v/>
      </c>
    </row>
    <row r="6">
      <c r="A6" t="inlineStr">
        <is>
          <t>2026-05-21T11:00:00</t>
        </is>
      </c>
      <c r="B6" t="inlineStr">
        <is>
          <t>Refund</t>
        </is>
      </c>
      <c r="C6" t="inlineStr">
        <is>
          <t>111-4006547-6808666</t>
        </is>
      </c>
      <c r="D6" t="inlineStr">
        <is>
          <t>TH-SILSPA-13</t>
        </is>
      </c>
      <c r="E6" t="n">
        <v>1</v>
      </c>
      <c r="F6" t="n">
        <v>-15.44</v>
      </c>
      <c r="G6" t="n">
        <v>-13.59</v>
      </c>
      <c r="H6">
        <f>IFERROR(Windows!$B$2-DATEVALUE(LEFT(A6,10)),"")</f>
        <v/>
      </c>
      <c r="I6">
        <f>SUMIFS(Returns!$G:$G,Returns!$B:$B,C6)</f>
        <v/>
      </c>
      <c r="J6">
        <f>MAX(0,ABS(E6)-I6)</f>
        <v/>
      </c>
    </row>
    <row r="7">
      <c r="A7" t="inlineStr">
        <is>
          <t>2026-05-22T22:00:00</t>
        </is>
      </c>
      <c r="B7" t="inlineStr">
        <is>
          <t>Refund</t>
        </is>
      </c>
      <c r="C7" t="inlineStr">
        <is>
          <t>111-4000215-7071290</t>
        </is>
      </c>
      <c r="D7" t="inlineStr">
        <is>
          <t>TH-CASIRO-01</t>
        </is>
      </c>
      <c r="E7" t="n">
        <v>1</v>
      </c>
      <c r="F7" t="n">
        <v>-36.04</v>
      </c>
      <c r="G7" t="n">
        <v>-31.72</v>
      </c>
      <c r="H7">
        <f>IFERROR(Windows!$B$2-DATEVALUE(LEFT(A7,10)),"")</f>
        <v/>
      </c>
      <c r="I7">
        <f>SUMIFS(Returns!$G:$G,Returns!$B:$B,C7)</f>
        <v/>
      </c>
      <c r="J7">
        <f>MAX(0,ABS(E7)-I7)</f>
        <v/>
      </c>
    </row>
    <row r="8">
      <c r="A8" t="inlineStr">
        <is>
          <t>2026-05-24T07:00:00</t>
        </is>
      </c>
      <c r="B8" t="inlineStr">
        <is>
          <t>Refund</t>
        </is>
      </c>
      <c r="C8" t="inlineStr">
        <is>
          <t>111-4001074-3177903</t>
        </is>
      </c>
      <c r="D8" t="inlineStr">
        <is>
          <t>TH-CASIRO-02</t>
        </is>
      </c>
      <c r="E8" t="n">
        <v>1</v>
      </c>
      <c r="F8" t="n">
        <v>-46.34</v>
      </c>
      <c r="G8" t="n">
        <v>-40.78</v>
      </c>
      <c r="H8">
        <f>IFERROR(Windows!$B$2-DATEVALUE(LEFT(A8,10)),"")</f>
        <v/>
      </c>
      <c r="I8">
        <f>SUMIFS(Returns!$G:$G,Returns!$B:$B,C8)</f>
        <v/>
      </c>
      <c r="J8">
        <f>MAX(0,ABS(E8)-I8)</f>
        <v/>
      </c>
    </row>
    <row r="9">
      <c r="A9" t="inlineStr">
        <is>
          <t>2026-05-24T10:00:00</t>
        </is>
      </c>
      <c r="B9" t="inlineStr">
        <is>
          <t>Refund</t>
        </is>
      </c>
      <c r="C9" t="inlineStr">
        <is>
          <t>111-4011691-1549916</t>
        </is>
      </c>
      <c r="D9" t="inlineStr">
        <is>
          <t>TH-KITTOW-24</t>
        </is>
      </c>
      <c r="E9" t="n">
        <v>1</v>
      </c>
      <c r="F9" t="n">
        <v>-24.99</v>
      </c>
      <c r="G9" t="n">
        <v>-21.99</v>
      </c>
      <c r="H9">
        <f>IFERROR(Windows!$B$2-DATEVALUE(LEFT(A9,10)),"")</f>
        <v/>
      </c>
      <c r="I9">
        <f>SUMIFS(Returns!$G:$G,Returns!$B:$B,C9)</f>
        <v/>
      </c>
      <c r="J9">
        <f>MAX(0,ABS(E9)-I9)</f>
        <v/>
      </c>
    </row>
    <row r="10">
      <c r="A10" t="inlineStr">
        <is>
          <t>2026-05-24T19:00:00</t>
        </is>
      </c>
      <c r="B10" t="inlineStr">
        <is>
          <t>Refund</t>
        </is>
      </c>
      <c r="C10" t="inlineStr">
        <is>
          <t>111-4011334-2057147</t>
        </is>
      </c>
      <c r="D10" t="inlineStr">
        <is>
          <t>TH-TRICOR-23</t>
        </is>
      </c>
      <c r="E10" t="n">
        <v>1</v>
      </c>
      <c r="F10" t="n">
        <v>-12.6</v>
      </c>
      <c r="G10" t="n">
        <v>-11.09</v>
      </c>
      <c r="H10">
        <f>IFERROR(Windows!$B$2-DATEVALUE(LEFT(A10,10)),"")</f>
        <v/>
      </c>
      <c r="I10">
        <f>SUMIFS(Returns!$G:$G,Returns!$B:$B,C10)</f>
        <v/>
      </c>
      <c r="J10">
        <f>MAX(0,ABS(E10)-I10)</f>
        <v/>
      </c>
    </row>
    <row r="11">
      <c r="A11" t="inlineStr">
        <is>
          <t>2026-05-25T07:00:00</t>
        </is>
      </c>
      <c r="B11" t="inlineStr">
        <is>
          <t>Refund</t>
        </is>
      </c>
      <c r="C11" t="inlineStr">
        <is>
          <t>111-4000397-3921245</t>
        </is>
      </c>
      <c r="D11" t="inlineStr">
        <is>
          <t>TH-CASIRO-01</t>
        </is>
      </c>
      <c r="E11" t="n">
        <v>1</v>
      </c>
      <c r="F11" t="n">
        <v>-36.04</v>
      </c>
      <c r="G11" t="n">
        <v>-31.72</v>
      </c>
      <c r="H11">
        <f>IFERROR(Windows!$B$2-DATEVALUE(LEFT(A11,10)),"")</f>
        <v/>
      </c>
      <c r="I11">
        <f>SUMIFS(Returns!$G:$G,Returns!$B:$B,C11)</f>
        <v/>
      </c>
      <c r="J11">
        <f>MAX(0,ABS(E11)-I11)</f>
        <v/>
      </c>
    </row>
    <row r="12">
      <c r="A12" t="inlineStr">
        <is>
          <t>2026-05-25T08:00:00</t>
        </is>
      </c>
      <c r="B12" t="inlineStr">
        <is>
          <t>Refund</t>
        </is>
      </c>
      <c r="C12" t="inlineStr">
        <is>
          <t>111-4007866-6847779</t>
        </is>
      </c>
      <c r="D12" t="inlineStr">
        <is>
          <t>TH-PEPMIL-16</t>
        </is>
      </c>
      <c r="E12" t="n">
        <v>1</v>
      </c>
      <c r="F12" t="n">
        <v>-33.98</v>
      </c>
      <c r="G12" t="n">
        <v>-29.9</v>
      </c>
      <c r="H12">
        <f>IFERROR(Windows!$B$2-DATEVALUE(LEFT(A12,10)),"")</f>
        <v/>
      </c>
      <c r="I12">
        <f>SUMIFS(Returns!$G:$G,Returns!$B:$B,C12)</f>
        <v/>
      </c>
      <c r="J12">
        <f>MAX(0,ABS(E12)-I12)</f>
        <v/>
      </c>
    </row>
    <row r="13">
      <c r="A13" t="inlineStr">
        <is>
          <t>2026-05-26T14:00:00</t>
        </is>
      </c>
      <c r="B13" t="inlineStr">
        <is>
          <t>Refund</t>
        </is>
      </c>
      <c r="C13" t="inlineStr">
        <is>
          <t>111-4006090-3906751</t>
        </is>
      </c>
      <c r="D13" t="inlineStr">
        <is>
          <t>TH-STAMIX-12</t>
        </is>
      </c>
      <c r="E13" t="n">
        <v>1</v>
      </c>
      <c r="F13" t="n">
        <v>-38.1</v>
      </c>
      <c r="G13" t="n">
        <v>-33.53</v>
      </c>
      <c r="H13">
        <f>IFERROR(Windows!$B$2-DATEVALUE(LEFT(A13,10)),"")</f>
        <v/>
      </c>
      <c r="I13">
        <f>SUMIFS(Returns!$G:$G,Returns!$B:$B,C13)</f>
        <v/>
      </c>
      <c r="J13">
        <f>MAX(0,ABS(E13)-I13)</f>
        <v/>
      </c>
    </row>
    <row r="14">
      <c r="A14" t="inlineStr">
        <is>
          <t>2026-05-26T21:00:00</t>
        </is>
      </c>
      <c r="B14" t="inlineStr">
        <is>
          <t>Refund</t>
        </is>
      </c>
      <c r="C14" t="inlineStr">
        <is>
          <t>111-4002936-4262588</t>
        </is>
      </c>
      <c r="D14" t="inlineStr">
        <is>
          <t>TH-BAMCUT-06</t>
        </is>
      </c>
      <c r="E14" t="n">
        <v>1</v>
      </c>
      <c r="F14" t="n">
        <v>-19.39</v>
      </c>
      <c r="G14" t="n">
        <v>-17.06</v>
      </c>
      <c r="H14">
        <f>IFERROR(Windows!$B$2-DATEVALUE(LEFT(A14,10)),"")</f>
        <v/>
      </c>
      <c r="I14">
        <f>SUMIFS(Returns!$G:$G,Returns!$B:$B,C14)</f>
        <v/>
      </c>
      <c r="J14">
        <f>MAX(0,ABS(E14)-I14)</f>
        <v/>
      </c>
    </row>
    <row r="15">
      <c r="A15" t="inlineStr">
        <is>
          <t>2026-05-27T06:00:00</t>
        </is>
      </c>
      <c r="B15" t="inlineStr">
        <is>
          <t>Refund</t>
        </is>
      </c>
      <c r="C15" t="inlineStr">
        <is>
          <t>111-4002302-6048186</t>
        </is>
      </c>
      <c r="D15" t="inlineStr">
        <is>
          <t>TH-BAMCUT-05</t>
        </is>
      </c>
      <c r="E15" t="n">
        <v>1</v>
      </c>
      <c r="F15" t="n">
        <v>-27.15</v>
      </c>
      <c r="G15" t="n">
        <v>-23.89</v>
      </c>
      <c r="H15">
        <f>IFERROR(Windows!$B$2-DATEVALUE(LEFT(A15,10)),"")</f>
        <v/>
      </c>
      <c r="I15">
        <f>SUMIFS(Returns!$G:$G,Returns!$B:$B,C15)</f>
        <v/>
      </c>
      <c r="J15">
        <f>MAX(0,ABS(E15)-I15)</f>
        <v/>
      </c>
    </row>
    <row r="16">
      <c r="A16" t="inlineStr">
        <is>
          <t>2026-05-27T07:00:00</t>
        </is>
      </c>
      <c r="B16" t="inlineStr">
        <is>
          <t>Refund</t>
        </is>
      </c>
      <c r="C16" t="inlineStr">
        <is>
          <t>111-4000484-5296207</t>
        </is>
      </c>
      <c r="D16" t="inlineStr">
        <is>
          <t>TH-CASIRO-01</t>
        </is>
      </c>
      <c r="E16" t="n">
        <v>1</v>
      </c>
      <c r="F16" t="n">
        <v>-36.04</v>
      </c>
      <c r="G16" t="n">
        <v>-31.72</v>
      </c>
      <c r="H16">
        <f>IFERROR(Windows!$B$2-DATEVALUE(LEFT(A16,10)),"")</f>
        <v/>
      </c>
      <c r="I16">
        <f>SUMIFS(Returns!$G:$G,Returns!$B:$B,C16)</f>
        <v/>
      </c>
      <c r="J16">
        <f>MAX(0,ABS(E16)-I16)</f>
        <v/>
      </c>
    </row>
    <row r="17">
      <c r="A17" t="inlineStr">
        <is>
          <t>2026-05-27T09:00:00</t>
        </is>
      </c>
      <c r="B17" t="inlineStr">
        <is>
          <t>Refund</t>
        </is>
      </c>
      <c r="C17" t="inlineStr">
        <is>
          <t>111-4004114-9710250</t>
        </is>
      </c>
      <c r="D17" t="inlineStr">
        <is>
          <t>TH-PARKNI-09</t>
        </is>
      </c>
      <c r="E17" t="n">
        <v>1</v>
      </c>
      <c r="F17" t="n">
        <v>-18.42</v>
      </c>
      <c r="G17" t="n">
        <v>-16.21</v>
      </c>
      <c r="H17">
        <f>IFERROR(Windows!$B$2-DATEVALUE(LEFT(A17,10)),"")</f>
        <v/>
      </c>
      <c r="I17">
        <f>SUMIFS(Returns!$G:$G,Returns!$B:$B,C17)</f>
        <v/>
      </c>
      <c r="J17">
        <f>MAX(0,ABS(E17)-I17)</f>
        <v/>
      </c>
    </row>
    <row r="18">
      <c r="A18" t="inlineStr">
        <is>
          <t>2026-05-28T05:00:00</t>
        </is>
      </c>
      <c r="B18" t="inlineStr">
        <is>
          <t>Refund</t>
        </is>
      </c>
      <c r="C18" t="inlineStr">
        <is>
          <t>111-4000290-1596218</t>
        </is>
      </c>
      <c r="D18" t="inlineStr">
        <is>
          <t>TH-CASIRO-01</t>
        </is>
      </c>
      <c r="E18" t="n">
        <v>1</v>
      </c>
      <c r="F18" t="n">
        <v>-36.04</v>
      </c>
      <c r="G18" t="n">
        <v>-31.72</v>
      </c>
      <c r="H18">
        <f>IFERROR(Windows!$B$2-DATEVALUE(LEFT(A18,10)),"")</f>
        <v/>
      </c>
      <c r="I18">
        <f>SUMIFS(Returns!$G:$G,Returns!$B:$B,C18)</f>
        <v/>
      </c>
      <c r="J18">
        <f>MAX(0,ABS(E18)-I18)</f>
        <v/>
      </c>
    </row>
    <row r="19">
      <c r="A19" t="inlineStr">
        <is>
          <t>2026-05-28T13:00:00</t>
        </is>
      </c>
      <c r="B19" t="inlineStr">
        <is>
          <t>Refund</t>
        </is>
      </c>
      <c r="C19" t="inlineStr">
        <is>
          <t>111-4006766-2952585</t>
        </is>
      </c>
      <c r="D19" t="inlineStr">
        <is>
          <t>TH-MEACUP-14</t>
        </is>
      </c>
      <c r="E19" t="n">
        <v>1</v>
      </c>
      <c r="F19" t="n">
        <v>-21.33</v>
      </c>
      <c r="G19" t="n">
        <v>-18.77</v>
      </c>
      <c r="H19">
        <f>IFERROR(Windows!$B$2-DATEVALUE(LEFT(A19,10)),"")</f>
        <v/>
      </c>
      <c r="I19">
        <f>SUMIFS(Returns!$G:$G,Returns!$B:$B,C19)</f>
        <v/>
      </c>
      <c r="J19">
        <f>MAX(0,ABS(E19)-I19)</f>
        <v/>
      </c>
    </row>
    <row r="20">
      <c r="A20" t="inlineStr">
        <is>
          <t>2026-05-29T06:00:00</t>
        </is>
      </c>
      <c r="B20" t="inlineStr">
        <is>
          <t>Refund</t>
        </is>
      </c>
      <c r="C20" t="inlineStr">
        <is>
          <t>111-4002686-8128321</t>
        </is>
      </c>
      <c r="D20" t="inlineStr">
        <is>
          <t>TH-BAMCUT-06</t>
        </is>
      </c>
      <c r="E20" t="n">
        <v>1</v>
      </c>
      <c r="F20" t="n">
        <v>-19.39</v>
      </c>
      <c r="G20" t="n">
        <v>-17.06</v>
      </c>
      <c r="H20">
        <f>IFERROR(Windows!$B$2-DATEVALUE(LEFT(A20,10)),"")</f>
        <v/>
      </c>
      <c r="I20">
        <f>SUMIFS(Returns!$G:$G,Returns!$B:$B,C20)</f>
        <v/>
      </c>
      <c r="J20">
        <f>MAX(0,ABS(E20)-I20)</f>
        <v/>
      </c>
    </row>
    <row r="21">
      <c r="A21" t="inlineStr">
        <is>
          <t>2026-05-29T12:00:00</t>
        </is>
      </c>
      <c r="B21" t="inlineStr">
        <is>
          <t>Refund</t>
        </is>
      </c>
      <c r="C21" t="inlineStr">
        <is>
          <t>111-4008141-6913526</t>
        </is>
      </c>
      <c r="D21" t="inlineStr">
        <is>
          <t>TH-FREPRE-17</t>
        </is>
      </c>
      <c r="E21" t="n">
        <v>1</v>
      </c>
      <c r="F21" t="n">
        <v>-30.89</v>
      </c>
      <c r="G21" t="n">
        <v>-27.18</v>
      </c>
      <c r="H21">
        <f>IFERROR(Windows!$B$2-DATEVALUE(LEFT(A21,10)),"")</f>
        <v/>
      </c>
      <c r="I21">
        <f>SUMIFS(Returns!$G:$G,Returns!$B:$B,C21)</f>
        <v/>
      </c>
      <c r="J21">
        <f>MAX(0,ABS(E21)-I21)</f>
        <v/>
      </c>
    </row>
    <row r="22">
      <c r="A22" t="inlineStr">
        <is>
          <t>2026-05-29T14:00:00</t>
        </is>
      </c>
      <c r="B22" t="inlineStr">
        <is>
          <t>Refund</t>
        </is>
      </c>
      <c r="C22" t="inlineStr">
        <is>
          <t>111-4005571-5972185</t>
        </is>
      </c>
      <c r="D22" t="inlineStr">
        <is>
          <t>TH-KNISHA-11</t>
        </is>
      </c>
      <c r="E22" t="n">
        <v>1</v>
      </c>
      <c r="F22" t="n">
        <v>-24.99</v>
      </c>
      <c r="G22" t="n">
        <v>-21.99</v>
      </c>
      <c r="H22">
        <f>IFERROR(Windows!$B$2-DATEVALUE(LEFT(A22,10)),"")</f>
        <v/>
      </c>
      <c r="I22">
        <f>SUMIFS(Returns!$G:$G,Returns!$B:$B,C22)</f>
        <v/>
      </c>
      <c r="J22">
        <f>MAX(0,ABS(E22)-I22)</f>
        <v/>
      </c>
    </row>
    <row r="23">
      <c r="A23" t="inlineStr">
        <is>
          <t>2026-05-29T18:00:00</t>
        </is>
      </c>
      <c r="B23" t="inlineStr">
        <is>
          <t>Refund</t>
        </is>
      </c>
      <c r="C23" t="inlineStr">
        <is>
          <t>111-4010492-1396270</t>
        </is>
      </c>
      <c r="D23" t="inlineStr">
        <is>
          <t>TH-OVEMIT-22</t>
        </is>
      </c>
      <c r="E23" t="n">
        <v>1</v>
      </c>
      <c r="F23" t="n">
        <v>-19.99</v>
      </c>
      <c r="G23" t="n">
        <v>-17.59</v>
      </c>
      <c r="H23">
        <f>IFERROR(Windows!$B$2-DATEVALUE(LEFT(A23,10)),"")</f>
        <v/>
      </c>
      <c r="I23">
        <f>SUMIFS(Returns!$G:$G,Returns!$B:$B,C23)</f>
        <v/>
      </c>
      <c r="J23">
        <f>MAX(0,ABS(E23)-I23)</f>
        <v/>
      </c>
    </row>
    <row r="24">
      <c r="A24" t="inlineStr">
        <is>
          <t>2026-05-29T21:00:00</t>
        </is>
      </c>
      <c r="B24" t="inlineStr">
        <is>
          <t>Refund</t>
        </is>
      </c>
      <c r="C24" t="inlineStr">
        <is>
          <t>111-4005020-9298239</t>
        </is>
      </c>
      <c r="D24" t="inlineStr">
        <is>
          <t>TH-KNISHA-11</t>
        </is>
      </c>
      <c r="E24" t="n">
        <v>1</v>
      </c>
      <c r="F24" t="n">
        <v>-24.99</v>
      </c>
      <c r="G24" t="n">
        <v>-21.99</v>
      </c>
      <c r="H24">
        <f>IFERROR(Windows!$B$2-DATEVALUE(LEFT(A24,10)),"")</f>
        <v/>
      </c>
      <c r="I24">
        <f>SUMIFS(Returns!$G:$G,Returns!$B:$B,C24)</f>
        <v/>
      </c>
      <c r="J24">
        <f>MAX(0,ABS(E24)-I24)</f>
        <v/>
      </c>
    </row>
    <row r="25">
      <c r="A25" t="inlineStr">
        <is>
          <t>2026-05-29T22:00:00</t>
        </is>
      </c>
      <c r="B25" t="inlineStr">
        <is>
          <t>Refund</t>
        </is>
      </c>
      <c r="C25" t="inlineStr">
        <is>
          <t>111-4009710-4973788</t>
        </is>
      </c>
      <c r="D25" t="inlineStr">
        <is>
          <t>TH-TEAINF-20</t>
        </is>
      </c>
      <c r="E25" t="n">
        <v>1</v>
      </c>
      <c r="F25" t="n">
        <v>-18.53</v>
      </c>
      <c r="G25" t="n">
        <v>-16.31</v>
      </c>
      <c r="H25">
        <f>IFERROR(Windows!$B$2-DATEVALUE(LEFT(A25,10)),"")</f>
        <v/>
      </c>
      <c r="I25">
        <f>SUMIFS(Returns!$G:$G,Returns!$B:$B,C25)</f>
        <v/>
      </c>
      <c r="J25">
        <f>MAX(0,ABS(E25)-I25)</f>
        <v/>
      </c>
    </row>
    <row r="26">
      <c r="A26" t="inlineStr">
        <is>
          <t>2026-05-30T11:00:00</t>
        </is>
      </c>
      <c r="B26" t="inlineStr">
        <is>
          <t>Refund</t>
        </is>
      </c>
      <c r="C26" t="inlineStr">
        <is>
          <t>111-4002924-3916536</t>
        </is>
      </c>
      <c r="D26" t="inlineStr">
        <is>
          <t>TH-BAMCUT-06</t>
        </is>
      </c>
      <c r="E26" t="n">
        <v>1</v>
      </c>
      <c r="F26" t="n">
        <v>-19.39</v>
      </c>
      <c r="G26" t="n">
        <v>-17.06</v>
      </c>
      <c r="H26">
        <f>IFERROR(Windows!$B$2-DATEVALUE(LEFT(A26,10)),"")</f>
        <v/>
      </c>
      <c r="I26">
        <f>SUMIFS(Returns!$G:$G,Returns!$B:$B,C26)</f>
        <v/>
      </c>
      <c r="J26">
        <f>MAX(0,ABS(E26)-I26)</f>
        <v/>
      </c>
    </row>
    <row r="27">
      <c r="A27" t="inlineStr">
        <is>
          <t>2026-05-30T14:00:00</t>
        </is>
      </c>
      <c r="B27" t="inlineStr">
        <is>
          <t>Refund</t>
        </is>
      </c>
      <c r="C27" t="inlineStr">
        <is>
          <t>111-4007916-2698823</t>
        </is>
      </c>
      <c r="D27" t="inlineStr">
        <is>
          <t>TH-PEPMIL-16</t>
        </is>
      </c>
      <c r="E27" t="n">
        <v>1</v>
      </c>
      <c r="F27" t="n">
        <v>-33.98</v>
      </c>
      <c r="G27" t="n">
        <v>-29.9</v>
      </c>
      <c r="H27">
        <f>IFERROR(Windows!$B$2-DATEVALUE(LEFT(A27,10)),"")</f>
        <v/>
      </c>
      <c r="I27">
        <f>SUMIFS(Returns!$G:$G,Returns!$B:$B,C27)</f>
        <v/>
      </c>
      <c r="J27">
        <f>MAX(0,ABS(E27)-I27)</f>
        <v/>
      </c>
    </row>
    <row r="28">
      <c r="A28" t="inlineStr">
        <is>
          <t>2026-05-31T08:00:00</t>
        </is>
      </c>
      <c r="B28" t="inlineStr">
        <is>
          <t>Refund</t>
        </is>
      </c>
      <c r="C28" t="inlineStr">
        <is>
          <t>111-4004513-3017038</t>
        </is>
      </c>
      <c r="D28" t="inlineStr">
        <is>
          <t>TH-BREKNI-10</t>
        </is>
      </c>
      <c r="E28" t="n">
        <v>1</v>
      </c>
      <c r="F28" t="n">
        <v>-29.09</v>
      </c>
      <c r="G28" t="n">
        <v>-25.6</v>
      </c>
      <c r="H28">
        <f>IFERROR(Windows!$B$2-DATEVALUE(LEFT(A28,10)),"")</f>
        <v/>
      </c>
      <c r="I28">
        <f>SUMIFS(Returns!$G:$G,Returns!$B:$B,C28)</f>
        <v/>
      </c>
      <c r="J28">
        <f>MAX(0,ABS(E28)-I28)</f>
        <v/>
      </c>
    </row>
    <row r="29">
      <c r="A29" t="inlineStr">
        <is>
          <t>2026-05-31T11:00:00</t>
        </is>
      </c>
      <c r="B29" t="inlineStr">
        <is>
          <t>Refund</t>
        </is>
      </c>
      <c r="C29" t="inlineStr">
        <is>
          <t>111-4009786-8812146</t>
        </is>
      </c>
      <c r="D29" t="inlineStr">
        <is>
          <t>TH-TEAINF-20</t>
        </is>
      </c>
      <c r="E29" t="n">
        <v>1</v>
      </c>
      <c r="F29" t="n">
        <v>-18.53</v>
      </c>
      <c r="G29" t="n">
        <v>-16.31</v>
      </c>
      <c r="H29">
        <f>IFERROR(Windows!$B$2-DATEVALUE(LEFT(A29,10)),"")</f>
        <v/>
      </c>
      <c r="I29">
        <f>SUMIFS(Returns!$G:$G,Returns!$B:$B,C29)</f>
        <v/>
      </c>
      <c r="J29">
        <f>MAX(0,ABS(E29)-I29)</f>
        <v/>
      </c>
    </row>
    <row r="30">
      <c r="A30" t="inlineStr">
        <is>
          <t>2026-06-01T12:00:00</t>
        </is>
      </c>
      <c r="B30" t="inlineStr">
        <is>
          <t>Refund</t>
        </is>
      </c>
      <c r="C30" t="inlineStr">
        <is>
          <t>111-4000847-9493234</t>
        </is>
      </c>
      <c r="D30" t="inlineStr">
        <is>
          <t>TH-CASIRO-02</t>
        </is>
      </c>
      <c r="E30" t="n">
        <v>1</v>
      </c>
      <c r="F30" t="n">
        <v>-46.34</v>
      </c>
      <c r="G30" t="n">
        <v>-40.78</v>
      </c>
      <c r="H30">
        <f>IFERROR(Windows!$B$2-DATEVALUE(LEFT(A30,10)),"")</f>
        <v/>
      </c>
      <c r="I30">
        <f>SUMIFS(Returns!$G:$G,Returns!$B:$B,C30)</f>
        <v/>
      </c>
      <c r="J30">
        <f>MAX(0,ABS(E30)-I30)</f>
        <v/>
      </c>
    </row>
    <row r="31">
      <c r="A31" t="inlineStr">
        <is>
          <t>2026-06-01T18:00:00</t>
        </is>
      </c>
      <c r="B31" t="inlineStr">
        <is>
          <t>Refund</t>
        </is>
      </c>
      <c r="C31" t="inlineStr">
        <is>
          <t>111-4002457-7315217</t>
        </is>
      </c>
      <c r="D31" t="inlineStr">
        <is>
          <t>TH-BAMCUT-05</t>
        </is>
      </c>
      <c r="E31" t="n">
        <v>1</v>
      </c>
      <c r="F31" t="n">
        <v>-27.15</v>
      </c>
      <c r="G31" t="n">
        <v>-23.89</v>
      </c>
      <c r="H31">
        <f>IFERROR(Windows!$B$2-DATEVALUE(LEFT(A31,10)),"")</f>
        <v/>
      </c>
      <c r="I31">
        <f>SUMIFS(Returns!$G:$G,Returns!$B:$B,C31)</f>
        <v/>
      </c>
      <c r="J31">
        <f>MAX(0,ABS(E31)-I31)</f>
        <v/>
      </c>
    </row>
    <row r="32">
      <c r="A32" t="inlineStr">
        <is>
          <t>2026-06-01T23:00:00</t>
        </is>
      </c>
      <c r="B32" t="inlineStr">
        <is>
          <t>Refund</t>
        </is>
      </c>
      <c r="C32" t="inlineStr">
        <is>
          <t>111-4009527-8990155</t>
        </is>
      </c>
      <c r="D32" t="inlineStr">
        <is>
          <t>TH-TEAINF-20</t>
        </is>
      </c>
      <c r="E32" t="n">
        <v>1</v>
      </c>
      <c r="F32" t="n">
        <v>-18.53</v>
      </c>
      <c r="G32" t="n">
        <v>-16.31</v>
      </c>
      <c r="H32">
        <f>IFERROR(Windows!$B$2-DATEVALUE(LEFT(A32,10)),"")</f>
        <v/>
      </c>
      <c r="I32">
        <f>SUMIFS(Returns!$G:$G,Returns!$B:$B,C32)</f>
        <v/>
      </c>
      <c r="J32">
        <f>MAX(0,ABS(E32)-I32)</f>
        <v/>
      </c>
    </row>
    <row r="33">
      <c r="A33" t="inlineStr">
        <is>
          <t>2026-06-03T11:00:00</t>
        </is>
      </c>
      <c r="B33" t="inlineStr">
        <is>
          <t>Refund</t>
        </is>
      </c>
      <c r="C33" t="inlineStr">
        <is>
          <t>111-4010134-5623570</t>
        </is>
      </c>
      <c r="D33" t="inlineStr">
        <is>
          <t>TH-APRWAX-21</t>
        </is>
      </c>
      <c r="E33" t="n">
        <v>1</v>
      </c>
      <c r="F33" t="n">
        <v>-41.19</v>
      </c>
      <c r="G33" t="n">
        <v>-36.25</v>
      </c>
      <c r="H33">
        <f>IFERROR(Windows!$B$2-DATEVALUE(LEFT(A33,10)),"")</f>
        <v/>
      </c>
      <c r="I33">
        <f>SUMIFS(Returns!$G:$G,Returns!$B:$B,C33)</f>
        <v/>
      </c>
      <c r="J33">
        <f>MAX(0,ABS(E33)-I33)</f>
        <v/>
      </c>
    </row>
    <row r="34">
      <c r="A34" t="inlineStr">
        <is>
          <t>2026-06-03T16:00:00</t>
        </is>
      </c>
      <c r="B34" t="inlineStr">
        <is>
          <t>Refund</t>
        </is>
      </c>
      <c r="C34" t="inlineStr">
        <is>
          <t>111-4006840-8088000</t>
        </is>
      </c>
      <c r="D34" t="inlineStr">
        <is>
          <t>TH-MEACUP-14</t>
        </is>
      </c>
      <c r="E34" t="n">
        <v>1</v>
      </c>
      <c r="F34" t="n">
        <v>-21.33</v>
      </c>
      <c r="G34" t="n">
        <v>-18.77</v>
      </c>
      <c r="H34">
        <f>IFERROR(Windows!$B$2-DATEVALUE(LEFT(A34,10)),"")</f>
        <v/>
      </c>
      <c r="I34">
        <f>SUMIFS(Returns!$G:$G,Returns!$B:$B,C34)</f>
        <v/>
      </c>
      <c r="J34">
        <f>MAX(0,ABS(E34)-I34)</f>
        <v/>
      </c>
    </row>
    <row r="35">
      <c r="A35" t="inlineStr">
        <is>
          <t>2026-06-03T18:00:00</t>
        </is>
      </c>
      <c r="B35" t="inlineStr">
        <is>
          <t>Refund</t>
        </is>
      </c>
      <c r="C35" t="inlineStr">
        <is>
          <t>111-4006170-5237350</t>
        </is>
      </c>
      <c r="D35" t="inlineStr">
        <is>
          <t>TH-STAMIX-12</t>
        </is>
      </c>
      <c r="E35" t="n">
        <v>1</v>
      </c>
      <c r="F35" t="n">
        <v>-38.1</v>
      </c>
      <c r="G35" t="n">
        <v>-33.53</v>
      </c>
      <c r="H35">
        <f>IFERROR(Windows!$B$2-DATEVALUE(LEFT(A35,10)),"")</f>
        <v/>
      </c>
      <c r="I35">
        <f>SUMIFS(Returns!$G:$G,Returns!$B:$B,C35)</f>
        <v/>
      </c>
      <c r="J35">
        <f>MAX(0,ABS(E35)-I35)</f>
        <v/>
      </c>
    </row>
    <row r="36">
      <c r="A36" t="inlineStr">
        <is>
          <t>2026-06-03T21:00:00</t>
        </is>
      </c>
      <c r="B36" t="inlineStr">
        <is>
          <t>Refund</t>
        </is>
      </c>
      <c r="C36" t="inlineStr">
        <is>
          <t>111-4001529-1011856</t>
        </is>
      </c>
      <c r="D36" t="inlineStr">
        <is>
          <t>TH-ENADUT-03</t>
        </is>
      </c>
      <c r="E36" t="n">
        <v>1</v>
      </c>
      <c r="F36" t="n">
        <v>-77.59</v>
      </c>
      <c r="G36" t="n">
        <v>-68.28</v>
      </c>
      <c r="H36">
        <f>IFERROR(Windows!$B$2-DATEVALUE(LEFT(A36,10)),"")</f>
        <v/>
      </c>
      <c r="I36">
        <f>SUMIFS(Returns!$G:$G,Returns!$B:$B,C36)</f>
        <v/>
      </c>
      <c r="J36">
        <f>MAX(0,ABS(E36)-I36)</f>
        <v/>
      </c>
    </row>
    <row r="37">
      <c r="A37" t="inlineStr">
        <is>
          <t>2026-06-04T08:00:00</t>
        </is>
      </c>
      <c r="B37" t="inlineStr">
        <is>
          <t>Refund</t>
        </is>
      </c>
      <c r="C37" t="inlineStr">
        <is>
          <t>111-4007881-1390064</t>
        </is>
      </c>
      <c r="D37" t="inlineStr">
        <is>
          <t>TH-PEPMIL-16</t>
        </is>
      </c>
      <c r="E37" t="n">
        <v>1</v>
      </c>
      <c r="F37" t="n">
        <v>-33.98</v>
      </c>
      <c r="G37" t="n">
        <v>-29.9</v>
      </c>
      <c r="H37">
        <f>IFERROR(Windows!$B$2-DATEVALUE(LEFT(A37,10)),"")</f>
        <v/>
      </c>
      <c r="I37">
        <f>SUMIFS(Returns!$G:$G,Returns!$B:$B,C37)</f>
        <v/>
      </c>
      <c r="J37">
        <f>MAX(0,ABS(E37)-I37)</f>
        <v/>
      </c>
    </row>
    <row r="38">
      <c r="A38" t="inlineStr">
        <is>
          <t>2026-06-04T13:00:00</t>
        </is>
      </c>
      <c r="B38" t="inlineStr">
        <is>
          <t>Refund</t>
        </is>
      </c>
      <c r="C38" t="inlineStr">
        <is>
          <t>111-4001448-1999806</t>
        </is>
      </c>
      <c r="D38" t="inlineStr">
        <is>
          <t>TH-ENADUT-03</t>
        </is>
      </c>
      <c r="E38" t="n">
        <v>1</v>
      </c>
      <c r="F38" t="n">
        <v>-77.59</v>
      </c>
      <c r="G38" t="n">
        <v>-68.28</v>
      </c>
      <c r="H38">
        <f>IFERROR(Windows!$B$2-DATEVALUE(LEFT(A38,10)),"")</f>
        <v/>
      </c>
      <c r="I38">
        <f>SUMIFS(Returns!$G:$G,Returns!$B:$B,C38)</f>
        <v/>
      </c>
      <c r="J38">
        <f>MAX(0,ABS(E38)-I38)</f>
        <v/>
      </c>
    </row>
    <row r="39">
      <c r="A39" t="inlineStr">
        <is>
          <t>2026-06-05T07:00:00</t>
        </is>
      </c>
      <c r="B39" t="inlineStr">
        <is>
          <t>Refund</t>
        </is>
      </c>
      <c r="C39" t="inlineStr">
        <is>
          <t>111-4007751-8335136</t>
        </is>
      </c>
      <c r="D39" t="inlineStr">
        <is>
          <t>TH-PEPMIL-16</t>
        </is>
      </c>
      <c r="E39" t="n">
        <v>1</v>
      </c>
      <c r="F39" t="n">
        <v>-33.98</v>
      </c>
      <c r="G39" t="n">
        <v>-29.9</v>
      </c>
      <c r="H39">
        <f>IFERROR(Windows!$B$2-DATEVALUE(LEFT(A39,10)),"")</f>
        <v/>
      </c>
      <c r="I39">
        <f>SUMIFS(Returns!$G:$G,Returns!$B:$B,C39)</f>
        <v/>
      </c>
      <c r="J39">
        <f>MAX(0,ABS(E39)-I39)</f>
        <v/>
      </c>
    </row>
    <row r="40">
      <c r="A40" t="inlineStr">
        <is>
          <t>2026-06-07T01:00:00</t>
        </is>
      </c>
      <c r="B40" t="inlineStr">
        <is>
          <t>Refund</t>
        </is>
      </c>
      <c r="C40" t="inlineStr">
        <is>
          <t>111-4010769-9828062</t>
        </is>
      </c>
      <c r="D40" t="inlineStr">
        <is>
          <t>TH-OVEMIT-22</t>
        </is>
      </c>
      <c r="E40" t="n">
        <v>1</v>
      </c>
      <c r="F40" t="n">
        <v>-19.99</v>
      </c>
      <c r="G40" t="n">
        <v>-17.59</v>
      </c>
      <c r="H40">
        <f>IFERROR(Windows!$B$2-DATEVALUE(LEFT(A40,10)),"")</f>
        <v/>
      </c>
      <c r="I40">
        <f>SUMIFS(Returns!$G:$G,Returns!$B:$B,C40)</f>
        <v/>
      </c>
      <c r="J40">
        <f>MAX(0,ABS(E40)-I40)</f>
        <v/>
      </c>
    </row>
    <row r="41">
      <c r="A41" t="inlineStr">
        <is>
          <t>2026-06-07T14:00:00</t>
        </is>
      </c>
      <c r="B41" t="inlineStr">
        <is>
          <t>Refund</t>
        </is>
      </c>
      <c r="C41" t="inlineStr">
        <is>
          <t>111-4006457-3990575</t>
        </is>
      </c>
      <c r="D41" t="inlineStr">
        <is>
          <t>TH-SILSPA-13</t>
        </is>
      </c>
      <c r="E41" t="n">
        <v>1</v>
      </c>
      <c r="F41" t="n">
        <v>-15.44</v>
      </c>
      <c r="G41" t="n">
        <v>-13.59</v>
      </c>
      <c r="H41">
        <f>IFERROR(Windows!$B$2-DATEVALUE(LEFT(A41,10)),"")</f>
        <v/>
      </c>
      <c r="I41">
        <f>SUMIFS(Returns!$G:$G,Returns!$B:$B,C41)</f>
        <v/>
      </c>
      <c r="J41">
        <f>MAX(0,ABS(E41)-I41)</f>
        <v/>
      </c>
    </row>
    <row r="42">
      <c r="A42" t="inlineStr">
        <is>
          <t>2026-06-08T08:00:00</t>
        </is>
      </c>
      <c r="B42" t="inlineStr">
        <is>
          <t>Refund</t>
        </is>
      </c>
      <c r="C42" t="inlineStr">
        <is>
          <t>111-4007423-8658050</t>
        </is>
      </c>
      <c r="D42" t="inlineStr">
        <is>
          <t>TH-SALCEL-15</t>
        </is>
      </c>
      <c r="E42" t="n">
        <v>1</v>
      </c>
      <c r="F42" t="n">
        <v>-17.5</v>
      </c>
      <c r="G42" t="n">
        <v>-15.4</v>
      </c>
      <c r="H42">
        <f>IFERROR(Windows!$B$2-DATEVALUE(LEFT(A42,10)),"")</f>
        <v/>
      </c>
      <c r="I42">
        <f>SUMIFS(Returns!$G:$G,Returns!$B:$B,C42)</f>
        <v/>
      </c>
      <c r="J42">
        <f>MAX(0,ABS(E42)-I42)</f>
        <v/>
      </c>
    </row>
    <row r="43">
      <c r="A43" t="inlineStr">
        <is>
          <t>2026-06-08T17:00:00</t>
        </is>
      </c>
      <c r="B43" t="inlineStr">
        <is>
          <t>Refund</t>
        </is>
      </c>
      <c r="C43" t="inlineStr">
        <is>
          <t>111-4009643-9115491</t>
        </is>
      </c>
      <c r="D43" t="inlineStr">
        <is>
          <t>TH-TEAINF-20</t>
        </is>
      </c>
      <c r="E43" t="n">
        <v>1</v>
      </c>
      <c r="F43" t="n">
        <v>-18.53</v>
      </c>
      <c r="G43" t="n">
        <v>-16.31</v>
      </c>
      <c r="H43">
        <f>IFERROR(Windows!$B$2-DATEVALUE(LEFT(A43,10)),"")</f>
        <v/>
      </c>
      <c r="I43">
        <f>SUMIFS(Returns!$G:$G,Returns!$B:$B,C43)</f>
        <v/>
      </c>
      <c r="J43">
        <f>MAX(0,ABS(E43)-I43)</f>
        <v/>
      </c>
    </row>
    <row r="44">
      <c r="A44" t="inlineStr">
        <is>
          <t>2026-06-08T23:00:00</t>
        </is>
      </c>
      <c r="B44" t="inlineStr">
        <is>
          <t>Refund</t>
        </is>
      </c>
      <c r="C44" t="inlineStr">
        <is>
          <t>111-4003695-9889298</t>
        </is>
      </c>
      <c r="D44" t="inlineStr">
        <is>
          <t>TH-CHEKNI-08</t>
        </is>
      </c>
      <c r="E44" t="n">
        <v>1</v>
      </c>
      <c r="F44" t="n">
        <v>-58.19</v>
      </c>
      <c r="G44" t="n">
        <v>-51.21</v>
      </c>
      <c r="H44">
        <f>IFERROR(Windows!$B$2-DATEVALUE(LEFT(A44,10)),"")</f>
        <v/>
      </c>
      <c r="I44">
        <f>SUMIFS(Returns!$G:$G,Returns!$B:$B,C44)</f>
        <v/>
      </c>
      <c r="J44">
        <f>MAX(0,ABS(E44)-I44)</f>
        <v/>
      </c>
    </row>
    <row r="45">
      <c r="A45" t="inlineStr">
        <is>
          <t>2026-06-09T13:00:00</t>
        </is>
      </c>
      <c r="B45" t="inlineStr">
        <is>
          <t>Refund</t>
        </is>
      </c>
      <c r="C45" t="inlineStr">
        <is>
          <t>111-4008662-1188262</t>
        </is>
      </c>
      <c r="D45" t="inlineStr">
        <is>
          <t>TH-POUOVE-18</t>
        </is>
      </c>
      <c r="E45" t="n">
        <v>1</v>
      </c>
      <c r="F45" t="n">
        <v>-44.28</v>
      </c>
      <c r="G45" t="n">
        <v>-38.97</v>
      </c>
      <c r="H45">
        <f>IFERROR(Windows!$B$2-DATEVALUE(LEFT(A45,10)),"")</f>
        <v/>
      </c>
      <c r="I45">
        <f>SUMIFS(Returns!$G:$G,Returns!$B:$B,C45)</f>
        <v/>
      </c>
      <c r="J45">
        <f>MAX(0,ABS(E45)-I45)</f>
        <v/>
      </c>
    </row>
    <row r="46">
      <c r="A46" t="inlineStr">
        <is>
          <t>2026-06-09T21:00:00</t>
        </is>
      </c>
      <c r="B46" t="inlineStr">
        <is>
          <t>Refund</t>
        </is>
      </c>
      <c r="C46" t="inlineStr">
        <is>
          <t>111-4007464-4834130</t>
        </is>
      </c>
      <c r="D46" t="inlineStr">
        <is>
          <t>TH-SALCEL-15</t>
        </is>
      </c>
      <c r="E46" t="n">
        <v>1</v>
      </c>
      <c r="F46" t="n">
        <v>-17.5</v>
      </c>
      <c r="G46" t="n">
        <v>-15.4</v>
      </c>
      <c r="H46">
        <f>IFERROR(Windows!$B$2-DATEVALUE(LEFT(A46,10)),"")</f>
        <v/>
      </c>
      <c r="I46">
        <f>SUMIFS(Returns!$G:$G,Returns!$B:$B,C46)</f>
        <v/>
      </c>
      <c r="J46">
        <f>MAX(0,ABS(E46)-I46)</f>
        <v/>
      </c>
    </row>
    <row r="47">
      <c r="A47" t="inlineStr">
        <is>
          <t>2026-06-10T11:00:00</t>
        </is>
      </c>
      <c r="B47" t="inlineStr">
        <is>
          <t>Refund</t>
        </is>
      </c>
      <c r="C47" t="inlineStr">
        <is>
          <t>111-4010601-7598678</t>
        </is>
      </c>
      <c r="D47" t="inlineStr">
        <is>
          <t>TH-OVEMIT-22</t>
        </is>
      </c>
      <c r="E47" t="n">
        <v>1</v>
      </c>
      <c r="F47" t="n">
        <v>-19.99</v>
      </c>
      <c r="G47" t="n">
        <v>-17.59</v>
      </c>
      <c r="H47">
        <f>IFERROR(Windows!$B$2-DATEVALUE(LEFT(A47,10)),"")</f>
        <v/>
      </c>
      <c r="I47">
        <f>SUMIFS(Returns!$G:$G,Returns!$B:$B,C47)</f>
        <v/>
      </c>
      <c r="J47">
        <f>MAX(0,ABS(E47)-I47)</f>
        <v/>
      </c>
    </row>
    <row r="48">
      <c r="A48" t="inlineStr">
        <is>
          <t>2026-06-10T21:00:00</t>
        </is>
      </c>
      <c r="B48" t="inlineStr">
        <is>
          <t>Refund</t>
        </is>
      </c>
      <c r="C48" t="inlineStr">
        <is>
          <t>111-4005475-8663326</t>
        </is>
      </c>
      <c r="D48" t="inlineStr">
        <is>
          <t>TH-KNISHA-11</t>
        </is>
      </c>
      <c r="E48" t="n">
        <v>1</v>
      </c>
      <c r="F48" t="n">
        <v>-24.99</v>
      </c>
      <c r="G48" t="n">
        <v>-21.99</v>
      </c>
      <c r="H48">
        <f>IFERROR(Windows!$B$2-DATEVALUE(LEFT(A48,10)),"")</f>
        <v/>
      </c>
      <c r="I48">
        <f>SUMIFS(Returns!$G:$G,Returns!$B:$B,C48)</f>
        <v/>
      </c>
      <c r="J48">
        <f>MAX(0,ABS(E48)-I48)</f>
        <v/>
      </c>
    </row>
    <row r="49">
      <c r="A49" t="inlineStr">
        <is>
          <t>2026-06-12T14:00:00</t>
        </is>
      </c>
      <c r="B49" t="inlineStr">
        <is>
          <t>Refund</t>
        </is>
      </c>
      <c r="C49" t="inlineStr">
        <is>
          <t>111-4001923-2381660</t>
        </is>
      </c>
      <c r="D49" t="inlineStr">
        <is>
          <t>TH-CARSTE-04</t>
        </is>
      </c>
      <c r="E49" t="n">
        <v>1</v>
      </c>
      <c r="F49" t="n">
        <v>-51.49</v>
      </c>
      <c r="G49" t="n">
        <v>-45.31</v>
      </c>
      <c r="H49">
        <f>IFERROR(Windows!$B$2-DATEVALUE(LEFT(A49,10)),"")</f>
        <v/>
      </c>
      <c r="I49">
        <f>SUMIFS(Returns!$G:$G,Returns!$B:$B,C49)</f>
        <v/>
      </c>
      <c r="J49">
        <f>MAX(0,ABS(E49)-I49)</f>
        <v/>
      </c>
    </row>
    <row r="50">
      <c r="A50" t="inlineStr">
        <is>
          <t>2026-06-12T14:00:00</t>
        </is>
      </c>
      <c r="B50" t="inlineStr">
        <is>
          <t>Refund</t>
        </is>
      </c>
      <c r="C50" t="inlineStr">
        <is>
          <t>111-4004574-8148369</t>
        </is>
      </c>
      <c r="D50" t="inlineStr">
        <is>
          <t>TH-BREKNI-10</t>
        </is>
      </c>
      <c r="E50" t="n">
        <v>1</v>
      </c>
      <c r="F50" t="n">
        <v>-29.09</v>
      </c>
      <c r="G50" t="n">
        <v>-25.6</v>
      </c>
      <c r="H50">
        <f>IFERROR(Windows!$B$2-DATEVALUE(LEFT(A50,10)),"")</f>
        <v/>
      </c>
      <c r="I50">
        <f>SUMIFS(Returns!$G:$G,Returns!$B:$B,C50)</f>
        <v/>
      </c>
      <c r="J50">
        <f>MAX(0,ABS(E50)-I50)</f>
        <v/>
      </c>
    </row>
    <row r="51">
      <c r="A51" t="inlineStr">
        <is>
          <t>2026-06-13T15:00:00</t>
        </is>
      </c>
      <c r="B51" t="inlineStr">
        <is>
          <t>Refund</t>
        </is>
      </c>
      <c r="C51" t="inlineStr">
        <is>
          <t>111-4005273-5446135</t>
        </is>
      </c>
      <c r="D51" t="inlineStr">
        <is>
          <t>TH-KNISHA-11</t>
        </is>
      </c>
      <c r="E51" t="n">
        <v>1</v>
      </c>
      <c r="F51" t="n">
        <v>-24.99</v>
      </c>
      <c r="G51" t="n">
        <v>-21.99</v>
      </c>
      <c r="H51">
        <f>IFERROR(Windows!$B$2-DATEVALUE(LEFT(A51,10)),"")</f>
        <v/>
      </c>
      <c r="I51">
        <f>SUMIFS(Returns!$G:$G,Returns!$B:$B,C51)</f>
        <v/>
      </c>
      <c r="J51">
        <f>MAX(0,ABS(E51)-I51)</f>
        <v/>
      </c>
    </row>
    <row r="52">
      <c r="A52" t="inlineStr">
        <is>
          <t>2026-06-14T09:00:00</t>
        </is>
      </c>
      <c r="B52" t="inlineStr">
        <is>
          <t>Refund</t>
        </is>
      </c>
      <c r="C52" t="inlineStr">
        <is>
          <t>111-4008592-3878699</t>
        </is>
      </c>
      <c r="D52" t="inlineStr">
        <is>
          <t>TH-POUOVE-18</t>
        </is>
      </c>
      <c r="E52" t="n">
        <v>1</v>
      </c>
      <c r="F52" t="n">
        <v>-44.28</v>
      </c>
      <c r="G52" t="n">
        <v>-38.97</v>
      </c>
      <c r="H52">
        <f>IFERROR(Windows!$B$2-DATEVALUE(LEFT(A52,10)),"")</f>
        <v/>
      </c>
      <c r="I52">
        <f>SUMIFS(Returns!$G:$G,Returns!$B:$B,C52)</f>
        <v/>
      </c>
      <c r="J52">
        <f>MAX(0,ABS(E52)-I52)</f>
        <v/>
      </c>
    </row>
    <row r="53">
      <c r="A53" t="inlineStr">
        <is>
          <t>2026-06-15T05:00:00</t>
        </is>
      </c>
      <c r="B53" t="inlineStr">
        <is>
          <t>Refund</t>
        </is>
      </c>
      <c r="C53" t="inlineStr">
        <is>
          <t>111-4001943-4629004</t>
        </is>
      </c>
      <c r="D53" t="inlineStr">
        <is>
          <t>TH-CARSTE-04</t>
        </is>
      </c>
      <c r="E53" t="n">
        <v>1</v>
      </c>
      <c r="F53" t="n">
        <v>-51.49</v>
      </c>
      <c r="G53" t="n">
        <v>-45.31</v>
      </c>
      <c r="H53">
        <f>IFERROR(Windows!$B$2-DATEVALUE(LEFT(A53,10)),"")</f>
        <v/>
      </c>
      <c r="I53">
        <f>SUMIFS(Returns!$G:$G,Returns!$B:$B,C53)</f>
        <v/>
      </c>
      <c r="J53">
        <f>MAX(0,ABS(E53)-I53)</f>
        <v/>
      </c>
    </row>
    <row r="54">
      <c r="A54" t="inlineStr">
        <is>
          <t>2026-06-16T15:00:00</t>
        </is>
      </c>
      <c r="B54" t="inlineStr">
        <is>
          <t>Refund</t>
        </is>
      </c>
      <c r="C54" t="inlineStr">
        <is>
          <t>111-4006443-4064328</t>
        </is>
      </c>
      <c r="D54" t="inlineStr">
        <is>
          <t>TH-SILSPA-13</t>
        </is>
      </c>
      <c r="E54" t="n">
        <v>1</v>
      </c>
      <c r="F54" t="n">
        <v>-15.44</v>
      </c>
      <c r="G54" t="n">
        <v>-13.59</v>
      </c>
      <c r="H54">
        <f>IFERROR(Windows!$B$2-DATEVALUE(LEFT(A54,10)),"")</f>
        <v/>
      </c>
      <c r="I54">
        <f>SUMIFS(Returns!$G:$G,Returns!$B:$B,C54)</f>
        <v/>
      </c>
      <c r="J54">
        <f>MAX(0,ABS(E54)-I54)</f>
        <v/>
      </c>
    </row>
    <row r="55">
      <c r="A55" t="inlineStr">
        <is>
          <t>2026-06-17T12:00:00</t>
        </is>
      </c>
      <c r="B55" t="inlineStr">
        <is>
          <t>Refund</t>
        </is>
      </c>
      <c r="C55" t="inlineStr">
        <is>
          <t>111-4002974-3278725</t>
        </is>
      </c>
      <c r="D55" t="inlineStr">
        <is>
          <t>TH-BAMCUT-06</t>
        </is>
      </c>
      <c r="E55" t="n">
        <v>1</v>
      </c>
      <c r="F55" t="n">
        <v>-19.39</v>
      </c>
      <c r="G55" t="n">
        <v>-17.06</v>
      </c>
      <c r="H55">
        <f>IFERROR(Windows!$B$2-DATEVALUE(LEFT(A55,10)),"")</f>
        <v/>
      </c>
      <c r="I55">
        <f>SUMIFS(Returns!$G:$G,Returns!$B:$B,C55)</f>
        <v/>
      </c>
      <c r="J55">
        <f>MAX(0,ABS(E55)-I55)</f>
        <v/>
      </c>
    </row>
    <row r="56">
      <c r="A56" t="inlineStr">
        <is>
          <t>2026-06-17T17:00:00</t>
        </is>
      </c>
      <c r="B56" t="inlineStr">
        <is>
          <t>Refund</t>
        </is>
      </c>
      <c r="C56" t="inlineStr">
        <is>
          <t>111-4011604-6801555</t>
        </is>
      </c>
      <c r="D56" t="inlineStr">
        <is>
          <t>TH-KITTOW-24</t>
        </is>
      </c>
      <c r="E56" t="n">
        <v>1</v>
      </c>
      <c r="F56" t="n">
        <v>-24.99</v>
      </c>
      <c r="G56" t="n">
        <v>-21.99</v>
      </c>
      <c r="H56">
        <f>IFERROR(Windows!$B$2-DATEVALUE(LEFT(A56,10)),"")</f>
        <v/>
      </c>
      <c r="I56">
        <f>SUMIFS(Returns!$G:$G,Returns!$B:$B,C56)</f>
        <v/>
      </c>
      <c r="J56">
        <f>MAX(0,ABS(E56)-I56)</f>
        <v/>
      </c>
    </row>
    <row r="57">
      <c r="A57" t="inlineStr">
        <is>
          <t>2026-06-18T17:00:00</t>
        </is>
      </c>
      <c r="B57" t="inlineStr">
        <is>
          <t>Refund</t>
        </is>
      </c>
      <c r="C57" t="inlineStr">
        <is>
          <t>111-4011181-2586149</t>
        </is>
      </c>
      <c r="D57" t="inlineStr">
        <is>
          <t>TH-TRICOR-23</t>
        </is>
      </c>
      <c r="E57" t="n">
        <v>1</v>
      </c>
      <c r="F57" t="n">
        <v>-12.6</v>
      </c>
      <c r="G57" t="n">
        <v>-11.09</v>
      </c>
      <c r="H57">
        <f>IFERROR(Windows!$B$2-DATEVALUE(LEFT(A57,10)),"")</f>
        <v/>
      </c>
      <c r="I57">
        <f>SUMIFS(Returns!$G:$G,Returns!$B:$B,C57)</f>
        <v/>
      </c>
      <c r="J57">
        <f>MAX(0,ABS(E57)-I57)</f>
        <v/>
      </c>
    </row>
    <row r="58">
      <c r="A58" t="inlineStr">
        <is>
          <t>2026-06-19T22:00:00</t>
        </is>
      </c>
      <c r="B58" t="inlineStr">
        <is>
          <t>Refund</t>
        </is>
      </c>
      <c r="C58" t="inlineStr">
        <is>
          <t>111-4003726-8282721</t>
        </is>
      </c>
      <c r="D58" t="inlineStr">
        <is>
          <t>TH-CHEKNI-08</t>
        </is>
      </c>
      <c r="E58" t="n">
        <v>1</v>
      </c>
      <c r="F58" t="n">
        <v>-58.19</v>
      </c>
      <c r="G58" t="n">
        <v>-51.21</v>
      </c>
      <c r="H58">
        <f>IFERROR(Windows!$B$2-DATEVALUE(LEFT(A58,10)),"")</f>
        <v/>
      </c>
      <c r="I58">
        <f>SUMIFS(Returns!$G:$G,Returns!$B:$B,C58)</f>
        <v/>
      </c>
      <c r="J58">
        <f>MAX(0,ABS(E58)-I58)</f>
        <v/>
      </c>
    </row>
    <row r="59">
      <c r="A59" t="inlineStr">
        <is>
          <t>2026-06-20T08:00:00</t>
        </is>
      </c>
      <c r="B59" t="inlineStr">
        <is>
          <t>Refund</t>
        </is>
      </c>
      <c r="C59" t="inlineStr">
        <is>
          <t>111-4011091-9800846</t>
        </is>
      </c>
      <c r="D59" t="inlineStr">
        <is>
          <t>TH-TRICOR-23</t>
        </is>
      </c>
      <c r="E59" t="n">
        <v>1</v>
      </c>
      <c r="F59" t="n">
        <v>-12.6</v>
      </c>
      <c r="G59" t="n">
        <v>-11.09</v>
      </c>
      <c r="H59">
        <f>IFERROR(Windows!$B$2-DATEVALUE(LEFT(A59,10)),"")</f>
        <v/>
      </c>
      <c r="I59">
        <f>SUMIFS(Returns!$G:$G,Returns!$B:$B,C59)</f>
        <v/>
      </c>
      <c r="J59">
        <f>MAX(0,ABS(E59)-I59)</f>
        <v/>
      </c>
    </row>
    <row r="60">
      <c r="A60" t="inlineStr">
        <is>
          <t>2026-06-22T13:00:00</t>
        </is>
      </c>
      <c r="B60" t="inlineStr">
        <is>
          <t>Refund</t>
        </is>
      </c>
      <c r="C60" t="inlineStr">
        <is>
          <t>111-4007359-1778709</t>
        </is>
      </c>
      <c r="D60" t="inlineStr">
        <is>
          <t>TH-SALCEL-15</t>
        </is>
      </c>
      <c r="E60" t="n">
        <v>1</v>
      </c>
      <c r="F60" t="n">
        <v>-17.5</v>
      </c>
      <c r="G60" t="n">
        <v>-15.4</v>
      </c>
      <c r="H60">
        <f>IFERROR(Windows!$B$2-DATEVALUE(LEFT(A60,10)),"")</f>
        <v/>
      </c>
      <c r="I60">
        <f>SUMIFS(Returns!$G:$G,Returns!$B:$B,C60)</f>
        <v/>
      </c>
      <c r="J60">
        <f>MAX(0,ABS(E60)-I60)</f>
        <v/>
      </c>
    </row>
    <row r="61">
      <c r="A61" t="inlineStr">
        <is>
          <t>2026-06-22T19:00:00</t>
        </is>
      </c>
      <c r="B61" t="inlineStr">
        <is>
          <t>Refund</t>
        </is>
      </c>
      <c r="C61" t="inlineStr">
        <is>
          <t>111-4005369-2718496</t>
        </is>
      </c>
      <c r="D61" t="inlineStr">
        <is>
          <t>TH-KNISHA-11</t>
        </is>
      </c>
      <c r="E61" t="n">
        <v>1</v>
      </c>
      <c r="F61" t="n">
        <v>-24.99</v>
      </c>
      <c r="G61" t="n">
        <v>-21.99</v>
      </c>
      <c r="H61">
        <f>IFERROR(Windows!$B$2-DATEVALUE(LEFT(A61,10)),"")</f>
        <v/>
      </c>
      <c r="I61">
        <f>SUMIFS(Returns!$G:$G,Returns!$B:$B,C61)</f>
        <v/>
      </c>
      <c r="J61">
        <f>MAX(0,ABS(E61)-I61)</f>
        <v/>
      </c>
    </row>
    <row r="62">
      <c r="A62" t="inlineStr">
        <is>
          <t>2026-06-23T05:00:00</t>
        </is>
      </c>
      <c r="B62" t="inlineStr">
        <is>
          <t>Refund</t>
        </is>
      </c>
      <c r="C62" t="inlineStr">
        <is>
          <t>111-4005202-4555698</t>
        </is>
      </c>
      <c r="D62" t="inlineStr">
        <is>
          <t>TH-KNISHA-11</t>
        </is>
      </c>
      <c r="E62" t="n">
        <v>1</v>
      </c>
      <c r="F62" t="n">
        <v>-24.99</v>
      </c>
      <c r="G62" t="n">
        <v>-21.99</v>
      </c>
      <c r="H62">
        <f>IFERROR(Windows!$B$2-DATEVALUE(LEFT(A62,10)),"")</f>
        <v/>
      </c>
      <c r="I62">
        <f>SUMIFS(Returns!$G:$G,Returns!$B:$B,C62)</f>
        <v/>
      </c>
      <c r="J62">
        <f>MAX(0,ABS(E62)-I62)</f>
        <v/>
      </c>
    </row>
    <row r="63">
      <c r="A63" t="inlineStr">
        <is>
          <t>2026-06-23T07:00:00</t>
        </is>
      </c>
      <c r="B63" t="inlineStr">
        <is>
          <t>Refund</t>
        </is>
      </c>
      <c r="C63" t="inlineStr">
        <is>
          <t>111-4010735-9520448</t>
        </is>
      </c>
      <c r="D63" t="inlineStr">
        <is>
          <t>TH-OVEMIT-22</t>
        </is>
      </c>
      <c r="E63" t="n">
        <v>1</v>
      </c>
      <c r="F63" t="n">
        <v>-19.99</v>
      </c>
      <c r="G63" t="n">
        <v>-17.59</v>
      </c>
      <c r="H63">
        <f>IFERROR(Windows!$B$2-DATEVALUE(LEFT(A63,10)),"")</f>
        <v/>
      </c>
      <c r="I63">
        <f>SUMIFS(Returns!$G:$G,Returns!$B:$B,C63)</f>
        <v/>
      </c>
      <c r="J63">
        <f>MAX(0,ABS(E63)-I63)</f>
        <v/>
      </c>
    </row>
    <row r="64">
      <c r="A64" t="inlineStr">
        <is>
          <t>2026-06-23T09:00:00</t>
        </is>
      </c>
      <c r="B64" t="inlineStr">
        <is>
          <t>Refund</t>
        </is>
      </c>
      <c r="C64" t="inlineStr">
        <is>
          <t>111-4007143-6810141</t>
        </is>
      </c>
      <c r="D64" t="inlineStr">
        <is>
          <t>TH-MEACUP-14</t>
        </is>
      </c>
      <c r="E64" t="n">
        <v>1</v>
      </c>
      <c r="F64" t="n">
        <v>-21.33</v>
      </c>
      <c r="G64" t="n">
        <v>-18.77</v>
      </c>
      <c r="H64">
        <f>IFERROR(Windows!$B$2-DATEVALUE(LEFT(A64,10)),"")</f>
        <v/>
      </c>
      <c r="I64">
        <f>SUMIFS(Returns!$G:$G,Returns!$B:$B,C64)</f>
        <v/>
      </c>
      <c r="J64">
        <f>MAX(0,ABS(E64)-I64)</f>
        <v/>
      </c>
    </row>
    <row r="65">
      <c r="A65" t="inlineStr">
        <is>
          <t>2026-06-24T09:00:00</t>
        </is>
      </c>
      <c r="B65" t="inlineStr">
        <is>
          <t>Refund</t>
        </is>
      </c>
      <c r="C65" t="inlineStr">
        <is>
          <t>111-4002767-7547464</t>
        </is>
      </c>
      <c r="D65" t="inlineStr">
        <is>
          <t>TH-BAMCUT-06</t>
        </is>
      </c>
      <c r="E65" t="n">
        <v>1</v>
      </c>
      <c r="F65" t="n">
        <v>-19.39</v>
      </c>
      <c r="G65" t="n">
        <v>-17.06</v>
      </c>
      <c r="H65">
        <f>IFERROR(Windows!$B$2-DATEVALUE(LEFT(A65,10)),"")</f>
        <v/>
      </c>
      <c r="I65">
        <f>SUMIFS(Returns!$G:$G,Returns!$B:$B,C65)</f>
        <v/>
      </c>
      <c r="J65">
        <f>MAX(0,ABS(E65)-I65)</f>
        <v/>
      </c>
    </row>
    <row r="66">
      <c r="A66" t="inlineStr">
        <is>
          <t>2026-06-24T11:00:00</t>
        </is>
      </c>
      <c r="B66" t="inlineStr">
        <is>
          <t>Refund</t>
        </is>
      </c>
      <c r="C66" t="inlineStr">
        <is>
          <t>111-4009307-7052931</t>
        </is>
      </c>
      <c r="D66" t="inlineStr">
        <is>
          <t>TH-COFCAN-19</t>
        </is>
      </c>
      <c r="E66" t="n">
        <v>1</v>
      </c>
      <c r="F66" t="n">
        <v>-22.99</v>
      </c>
      <c r="G66" t="n">
        <v>-20.23</v>
      </c>
      <c r="H66">
        <f>IFERROR(Windows!$B$2-DATEVALUE(LEFT(A66,10)),"")</f>
        <v/>
      </c>
      <c r="I66">
        <f>SUMIFS(Returns!$G:$G,Returns!$B:$B,C66)</f>
        <v/>
      </c>
      <c r="J66">
        <f>MAX(0,ABS(E66)-I66)</f>
        <v/>
      </c>
    </row>
    <row r="67">
      <c r="A67" t="inlineStr">
        <is>
          <t>2026-06-24T13:00:00</t>
        </is>
      </c>
      <c r="B67" t="inlineStr">
        <is>
          <t>Refund</t>
        </is>
      </c>
      <c r="C67" t="inlineStr">
        <is>
          <t>111-4000554-9214500</t>
        </is>
      </c>
      <c r="D67" t="inlineStr">
        <is>
          <t>TH-CASIRO-01</t>
        </is>
      </c>
      <c r="E67" t="n">
        <v>1</v>
      </c>
      <c r="F67" t="n">
        <v>-36.04</v>
      </c>
      <c r="G67" t="n">
        <v>-31.72</v>
      </c>
      <c r="H67">
        <f>IFERROR(Windows!$B$2-DATEVALUE(LEFT(A67,10)),"")</f>
        <v/>
      </c>
      <c r="I67">
        <f>SUMIFS(Returns!$G:$G,Returns!$B:$B,C67)</f>
        <v/>
      </c>
      <c r="J67">
        <f>MAX(0,ABS(E67)-I67)</f>
        <v/>
      </c>
    </row>
    <row r="68">
      <c r="A68" t="inlineStr">
        <is>
          <t>2026-06-26T12:00:00</t>
        </is>
      </c>
      <c r="B68" t="inlineStr">
        <is>
          <t>Refund</t>
        </is>
      </c>
      <c r="C68" t="inlineStr">
        <is>
          <t>111-4011243-8461978</t>
        </is>
      </c>
      <c r="D68" t="inlineStr">
        <is>
          <t>TH-TRICOR-23</t>
        </is>
      </c>
      <c r="E68" t="n">
        <v>1</v>
      </c>
      <c r="F68" t="n">
        <v>-12.6</v>
      </c>
      <c r="G68" t="n">
        <v>-11.09</v>
      </c>
      <c r="H68">
        <f>IFERROR(Windows!$B$2-DATEVALUE(LEFT(A68,10)),"")</f>
        <v/>
      </c>
      <c r="I68">
        <f>SUMIFS(Returns!$G:$G,Returns!$B:$B,C68)</f>
        <v/>
      </c>
      <c r="J68">
        <f>MAX(0,ABS(E68)-I68)</f>
        <v/>
      </c>
    </row>
    <row r="69">
      <c r="A69" t="inlineStr">
        <is>
          <t>2026-06-27T01:00:00</t>
        </is>
      </c>
      <c r="B69" t="inlineStr">
        <is>
          <t>Refund</t>
        </is>
      </c>
      <c r="C69" t="inlineStr">
        <is>
          <t>111-4009338-4759944</t>
        </is>
      </c>
      <c r="D69" t="inlineStr">
        <is>
          <t>TH-COFCAN-19</t>
        </is>
      </c>
      <c r="E69" t="n">
        <v>1</v>
      </c>
      <c r="F69" t="n">
        <v>-22.99</v>
      </c>
      <c r="G69" t="n">
        <v>-20.23</v>
      </c>
      <c r="H69">
        <f>IFERROR(Windows!$B$2-DATEVALUE(LEFT(A69,10)),"")</f>
        <v/>
      </c>
      <c r="I69">
        <f>SUMIFS(Returns!$G:$G,Returns!$B:$B,C69)</f>
        <v/>
      </c>
      <c r="J69">
        <f>MAX(0,ABS(E69)-I69)</f>
        <v/>
      </c>
    </row>
    <row r="70">
      <c r="A70" t="inlineStr">
        <is>
          <t>2026-06-27T06:00:00</t>
        </is>
      </c>
      <c r="B70" t="inlineStr">
        <is>
          <t>Refund</t>
        </is>
      </c>
      <c r="C70" t="inlineStr">
        <is>
          <t>111-4004556-1470117</t>
        </is>
      </c>
      <c r="D70" t="inlineStr">
        <is>
          <t>TH-BREKNI-10</t>
        </is>
      </c>
      <c r="E70" t="n">
        <v>1</v>
      </c>
      <c r="F70" t="n">
        <v>-29.09</v>
      </c>
      <c r="G70" t="n">
        <v>-25.6</v>
      </c>
      <c r="H70">
        <f>IFERROR(Windows!$B$2-DATEVALUE(LEFT(A70,10)),"")</f>
        <v/>
      </c>
      <c r="I70">
        <f>SUMIFS(Returns!$G:$G,Returns!$B:$B,C70)</f>
        <v/>
      </c>
      <c r="J70">
        <f>MAX(0,ABS(E70)-I70)</f>
        <v/>
      </c>
    </row>
    <row r="71">
      <c r="A71" t="inlineStr">
        <is>
          <t>2026-06-27T20:00:00</t>
        </is>
      </c>
      <c r="B71" t="inlineStr">
        <is>
          <t>Refund</t>
        </is>
      </c>
      <c r="C71" t="inlineStr">
        <is>
          <t>111-4004086-9676371</t>
        </is>
      </c>
      <c r="D71" t="inlineStr">
        <is>
          <t>TH-PARKNI-09</t>
        </is>
      </c>
      <c r="E71" t="n">
        <v>1</v>
      </c>
      <c r="F71" t="n">
        <v>-18.42</v>
      </c>
      <c r="G71" t="n">
        <v>-16.21</v>
      </c>
      <c r="H71">
        <f>IFERROR(Windows!$B$2-DATEVALUE(LEFT(A71,10)),"")</f>
        <v/>
      </c>
      <c r="I71">
        <f>SUMIFS(Returns!$G:$G,Returns!$B:$B,C71)</f>
        <v/>
      </c>
      <c r="J71">
        <f>MAX(0,ABS(E71)-I71)</f>
        <v/>
      </c>
    </row>
    <row r="72">
      <c r="A72" t="inlineStr">
        <is>
          <t>2026-06-28T08:00:00</t>
        </is>
      </c>
      <c r="B72" t="inlineStr">
        <is>
          <t>Refund</t>
        </is>
      </c>
      <c r="C72" t="inlineStr">
        <is>
          <t>111-4010271-7097275</t>
        </is>
      </c>
      <c r="D72" t="inlineStr">
        <is>
          <t>TH-APRWAX-21</t>
        </is>
      </c>
      <c r="E72" t="n">
        <v>1</v>
      </c>
      <c r="F72" t="n">
        <v>-41.19</v>
      </c>
      <c r="G72" t="n">
        <v>-36.25</v>
      </c>
      <c r="H72">
        <f>IFERROR(Windows!$B$2-DATEVALUE(LEFT(A72,10)),"")</f>
        <v/>
      </c>
      <c r="I72">
        <f>SUMIFS(Returns!$G:$G,Returns!$B:$B,C72)</f>
        <v/>
      </c>
      <c r="J72">
        <f>MAX(0,ABS(E72)-I72)</f>
        <v/>
      </c>
    </row>
    <row r="73">
      <c r="A73" t="inlineStr">
        <is>
          <t>2026-06-29T13:00:00</t>
        </is>
      </c>
      <c r="B73" t="inlineStr">
        <is>
          <t>Refund</t>
        </is>
      </c>
      <c r="C73" t="inlineStr">
        <is>
          <t>111-4000980-5092017</t>
        </is>
      </c>
      <c r="D73" t="inlineStr">
        <is>
          <t>TH-CASIRO-02</t>
        </is>
      </c>
      <c r="E73" t="n">
        <v>1</v>
      </c>
      <c r="F73" t="n">
        <v>-46.34</v>
      </c>
      <c r="G73" t="n">
        <v>-40.78</v>
      </c>
      <c r="H73">
        <f>IFERROR(Windows!$B$2-DATEVALUE(LEFT(A73,10)),"")</f>
        <v/>
      </c>
      <c r="I73">
        <f>SUMIFS(Returns!$G:$G,Returns!$B:$B,C73)</f>
        <v/>
      </c>
      <c r="J73">
        <f>MAX(0,ABS(E73)-I73)</f>
        <v/>
      </c>
    </row>
    <row r="74">
      <c r="A74" t="inlineStr">
        <is>
          <t>2026-06-29T14:00:00</t>
        </is>
      </c>
      <c r="B74" t="inlineStr">
        <is>
          <t>Refund</t>
        </is>
      </c>
      <c r="C74" t="inlineStr">
        <is>
          <t>111-4000339-4867996</t>
        </is>
      </c>
      <c r="D74" t="inlineStr">
        <is>
          <t>TH-CASIRO-01</t>
        </is>
      </c>
      <c r="E74" t="n">
        <v>1</v>
      </c>
      <c r="F74" t="n">
        <v>-36.04</v>
      </c>
      <c r="G74" t="n">
        <v>-31.72</v>
      </c>
      <c r="H74">
        <f>IFERROR(Windows!$B$2-DATEVALUE(LEFT(A74,10)),"")</f>
        <v/>
      </c>
      <c r="I74">
        <f>SUMIFS(Returns!$G:$G,Returns!$B:$B,C74)</f>
        <v/>
      </c>
      <c r="J74">
        <f>MAX(0,ABS(E74)-I74)</f>
        <v/>
      </c>
    </row>
    <row r="75">
      <c r="A75" t="inlineStr">
        <is>
          <t>2026-06-29T19:00:00</t>
        </is>
      </c>
      <c r="B75" t="inlineStr">
        <is>
          <t>Refund</t>
        </is>
      </c>
      <c r="C75" t="inlineStr">
        <is>
          <t>111-4009139-5700270</t>
        </is>
      </c>
      <c r="D75" t="inlineStr">
        <is>
          <t>TH-COFCAN-19</t>
        </is>
      </c>
      <c r="E75" t="n">
        <v>1</v>
      </c>
      <c r="F75" t="n">
        <v>-22.99</v>
      </c>
      <c r="G75" t="n">
        <v>-20.23</v>
      </c>
      <c r="H75">
        <f>IFERROR(Windows!$B$2-DATEVALUE(LEFT(A75,10)),"")</f>
        <v/>
      </c>
      <c r="I75">
        <f>SUMIFS(Returns!$G:$G,Returns!$B:$B,C75)</f>
        <v/>
      </c>
      <c r="J75">
        <f>MAX(0,ABS(E75)-I75)</f>
        <v/>
      </c>
    </row>
    <row r="76">
      <c r="A76" t="inlineStr">
        <is>
          <t>2026-06-30T05:00:00</t>
        </is>
      </c>
      <c r="B76" t="inlineStr">
        <is>
          <t>Refund</t>
        </is>
      </c>
      <c r="C76" t="inlineStr">
        <is>
          <t>111-4010114-7638485</t>
        </is>
      </c>
      <c r="D76" t="inlineStr">
        <is>
          <t>TH-APRWAX-21</t>
        </is>
      </c>
      <c r="E76" t="n">
        <v>1</v>
      </c>
      <c r="F76" t="n">
        <v>-41.19</v>
      </c>
      <c r="G76" t="n">
        <v>-36.25</v>
      </c>
      <c r="H76">
        <f>IFERROR(Windows!$B$2-DATEVALUE(LEFT(A76,10)),"")</f>
        <v/>
      </c>
      <c r="I76">
        <f>SUMIFS(Returns!$G:$G,Returns!$B:$B,C76)</f>
        <v/>
      </c>
      <c r="J76">
        <f>MAX(0,ABS(E76)-I76)</f>
        <v/>
      </c>
    </row>
    <row r="77">
      <c r="A77" t="inlineStr">
        <is>
          <t>2026-06-30T20:00:00</t>
        </is>
      </c>
      <c r="B77" t="inlineStr">
        <is>
          <t>Refund</t>
        </is>
      </c>
      <c r="C77" t="inlineStr">
        <is>
          <t>111-4009221-3909542</t>
        </is>
      </c>
      <c r="D77" t="inlineStr">
        <is>
          <t>TH-COFCAN-19</t>
        </is>
      </c>
      <c r="E77" t="n">
        <v>1</v>
      </c>
      <c r="F77" t="n">
        <v>-22.99</v>
      </c>
      <c r="G77" t="n">
        <v>-20.23</v>
      </c>
      <c r="H77">
        <f>IFERROR(Windows!$B$2-DATEVALUE(LEFT(A77,10)),"")</f>
        <v/>
      </c>
      <c r="I77">
        <f>SUMIFS(Returns!$G:$G,Returns!$B:$B,C77)</f>
        <v/>
      </c>
      <c r="J77">
        <f>MAX(0,ABS(E77)-I77)</f>
        <v/>
      </c>
    </row>
    <row r="78">
      <c r="A78" t="inlineStr">
        <is>
          <t>2026-07-01T14:00:00</t>
        </is>
      </c>
      <c r="B78" t="inlineStr">
        <is>
          <t>Refund</t>
        </is>
      </c>
      <c r="C78" t="inlineStr">
        <is>
          <t>111-4009824-6290224</t>
        </is>
      </c>
      <c r="D78" t="inlineStr">
        <is>
          <t>TH-TEAINF-20</t>
        </is>
      </c>
      <c r="E78" t="n">
        <v>1</v>
      </c>
      <c r="F78" t="n">
        <v>-18.53</v>
      </c>
      <c r="G78" t="n">
        <v>-16.31</v>
      </c>
      <c r="H78">
        <f>IFERROR(Windows!$B$2-DATEVALUE(LEFT(A78,10)),"")</f>
        <v/>
      </c>
      <c r="I78">
        <f>SUMIFS(Returns!$G:$G,Returns!$B:$B,C78)</f>
        <v/>
      </c>
      <c r="J78">
        <f>MAX(0,ABS(E78)-I78)</f>
        <v/>
      </c>
    </row>
    <row r="79">
      <c r="A79" t="inlineStr">
        <is>
          <t>2026-07-02T15:00:00</t>
        </is>
      </c>
      <c r="B79" t="inlineStr">
        <is>
          <t>Refund</t>
        </is>
      </c>
      <c r="C79" t="inlineStr">
        <is>
          <t>111-4000172-1485759</t>
        </is>
      </c>
      <c r="D79" t="inlineStr">
        <is>
          <t>TH-CASIRO-01</t>
        </is>
      </c>
      <c r="E79" t="n">
        <v>1</v>
      </c>
      <c r="F79" t="n">
        <v>-36.04</v>
      </c>
      <c r="G79" t="n">
        <v>-31.72</v>
      </c>
      <c r="H79">
        <f>IFERROR(Windows!$B$2-DATEVALUE(LEFT(A79,10)),"")</f>
        <v/>
      </c>
      <c r="I79">
        <f>SUMIFS(Returns!$G:$G,Returns!$B:$B,C79)</f>
        <v/>
      </c>
      <c r="J79">
        <f>MAX(0,ABS(E79)-I79)</f>
        <v/>
      </c>
    </row>
    <row r="80">
      <c r="A80" t="inlineStr">
        <is>
          <t>2026-07-03T02:00:00</t>
        </is>
      </c>
      <c r="B80" t="inlineStr">
        <is>
          <t>Refund</t>
        </is>
      </c>
      <c r="C80" t="inlineStr">
        <is>
          <t>111-4008775-1999468</t>
        </is>
      </c>
      <c r="D80" t="inlineStr">
        <is>
          <t>TH-POUOVE-18</t>
        </is>
      </c>
      <c r="E80" t="n">
        <v>1</v>
      </c>
      <c r="F80" t="n">
        <v>-44.28</v>
      </c>
      <c r="G80" t="n">
        <v>-38.97</v>
      </c>
      <c r="H80">
        <f>IFERROR(Windows!$B$2-DATEVALUE(LEFT(A80,10)),"")</f>
        <v/>
      </c>
      <c r="I80">
        <f>SUMIFS(Returns!$G:$G,Returns!$B:$B,C80)</f>
        <v/>
      </c>
      <c r="J80">
        <f>MAX(0,ABS(E80)-I80)</f>
        <v/>
      </c>
    </row>
    <row r="81">
      <c r="A81" t="inlineStr">
        <is>
          <t>2026-07-03T12:00:00</t>
        </is>
      </c>
      <c r="B81" t="inlineStr">
        <is>
          <t>Refund</t>
        </is>
      </c>
      <c r="C81" t="inlineStr">
        <is>
          <t>111-4003456-9226073</t>
        </is>
      </c>
      <c r="D81" t="inlineStr">
        <is>
          <t>TH-WALSER-07</t>
        </is>
      </c>
      <c r="E81" t="n">
        <v>1</v>
      </c>
      <c r="F81" t="n">
        <v>-37.82</v>
      </c>
      <c r="G81" t="n">
        <v>-33.28</v>
      </c>
      <c r="H81">
        <f>IFERROR(Windows!$B$2-DATEVALUE(LEFT(A81,10)),"")</f>
        <v/>
      </c>
      <c r="I81">
        <f>SUMIFS(Returns!$G:$G,Returns!$B:$B,C81)</f>
        <v/>
      </c>
      <c r="J81">
        <f>MAX(0,ABS(E81)-I81)</f>
        <v/>
      </c>
    </row>
    <row r="82">
      <c r="A82" t="inlineStr">
        <is>
          <t>2026-07-05T12:00:00</t>
        </is>
      </c>
      <c r="B82" t="inlineStr">
        <is>
          <t>Refund</t>
        </is>
      </c>
      <c r="C82" t="inlineStr">
        <is>
          <t>111-4004276-8446106</t>
        </is>
      </c>
      <c r="D82" t="inlineStr">
        <is>
          <t>TH-PARKNI-09</t>
        </is>
      </c>
      <c r="E82" t="n">
        <v>1</v>
      </c>
      <c r="F82" t="n">
        <v>-18.42</v>
      </c>
      <c r="G82" t="n">
        <v>-16.21</v>
      </c>
      <c r="H82">
        <f>IFERROR(Windows!$B$2-DATEVALUE(LEFT(A82,10)),"")</f>
        <v/>
      </c>
      <c r="I82">
        <f>SUMIFS(Returns!$G:$G,Returns!$B:$B,C82)</f>
        <v/>
      </c>
      <c r="J82">
        <f>MAX(0,ABS(E82)-I82)</f>
        <v/>
      </c>
    </row>
    <row r="83">
      <c r="A83" t="inlineStr">
        <is>
          <t>2026-07-05T22:00:00</t>
        </is>
      </c>
      <c r="B83" t="inlineStr">
        <is>
          <t>Refund</t>
        </is>
      </c>
      <c r="C83" t="inlineStr">
        <is>
          <t>111-4005865-1782567</t>
        </is>
      </c>
      <c r="D83" t="inlineStr">
        <is>
          <t>TH-STAMIX-12</t>
        </is>
      </c>
      <c r="E83" t="n">
        <v>1</v>
      </c>
      <c r="F83" t="n">
        <v>-38.1</v>
      </c>
      <c r="G83" t="n">
        <v>-33.53</v>
      </c>
      <c r="H83">
        <f>IFERROR(Windows!$B$2-DATEVALUE(LEFT(A83,10)),"")</f>
        <v/>
      </c>
      <c r="I83">
        <f>SUMIFS(Returns!$G:$G,Returns!$B:$B,C83)</f>
        <v/>
      </c>
      <c r="J83">
        <f>MAX(0,ABS(E83)-I83)</f>
        <v/>
      </c>
    </row>
    <row r="84">
      <c r="A84" t="inlineStr">
        <is>
          <t>2026-07-05T22:00:00</t>
        </is>
      </c>
      <c r="B84" t="inlineStr">
        <is>
          <t>Refund</t>
        </is>
      </c>
      <c r="C84" t="inlineStr">
        <is>
          <t>111-4009121-3689668</t>
        </is>
      </c>
      <c r="D84" t="inlineStr">
        <is>
          <t>TH-COFCAN-19</t>
        </is>
      </c>
      <c r="E84" t="n">
        <v>1</v>
      </c>
      <c r="F84" t="n">
        <v>-22.99</v>
      </c>
      <c r="G84" t="n">
        <v>-20.23</v>
      </c>
      <c r="H84">
        <f>IFERROR(Windows!$B$2-DATEVALUE(LEFT(A84,10)),"")</f>
        <v/>
      </c>
      <c r="I84">
        <f>SUMIFS(Returns!$G:$G,Returns!$B:$B,C84)</f>
        <v/>
      </c>
      <c r="J84">
        <f>MAX(0,ABS(E84)-I84)</f>
        <v/>
      </c>
    </row>
    <row r="85">
      <c r="A85" t="inlineStr">
        <is>
          <t>2026-07-07T11:00:00</t>
        </is>
      </c>
      <c r="B85" t="inlineStr">
        <is>
          <t>Refund</t>
        </is>
      </c>
      <c r="C85" t="inlineStr">
        <is>
          <t>111-4002401-6618607</t>
        </is>
      </c>
      <c r="D85" t="inlineStr">
        <is>
          <t>TH-BAMCUT-05</t>
        </is>
      </c>
      <c r="E85" t="n">
        <v>1</v>
      </c>
      <c r="F85" t="n">
        <v>-27.15</v>
      </c>
      <c r="G85" t="n">
        <v>-23.89</v>
      </c>
      <c r="H85">
        <f>IFERROR(Windows!$B$2-DATEVALUE(LEFT(A85,10)),"")</f>
        <v/>
      </c>
      <c r="I85">
        <f>SUMIFS(Returns!$G:$G,Returns!$B:$B,C85)</f>
        <v/>
      </c>
      <c r="J85">
        <f>MAX(0,ABS(E85)-I85)</f>
        <v/>
      </c>
    </row>
    <row r="86">
      <c r="A86" t="inlineStr">
        <is>
          <t>2026-07-08T15:00:00</t>
        </is>
      </c>
      <c r="B86" t="inlineStr">
        <is>
          <t>Refund</t>
        </is>
      </c>
      <c r="C86" t="inlineStr">
        <is>
          <t>111-4003666-6634679</t>
        </is>
      </c>
      <c r="D86" t="inlineStr">
        <is>
          <t>TH-CHEKNI-08</t>
        </is>
      </c>
      <c r="E86" t="n">
        <v>1</v>
      </c>
      <c r="F86" t="n">
        <v>-58.19</v>
      </c>
      <c r="G86" t="n">
        <v>-51.21</v>
      </c>
      <c r="H86">
        <f>IFERROR(Windows!$B$2-DATEVALUE(LEFT(A86,10)),"")</f>
        <v/>
      </c>
      <c r="I86">
        <f>SUMIFS(Returns!$G:$G,Returns!$B:$B,C86)</f>
        <v/>
      </c>
      <c r="J86">
        <f>MAX(0,ABS(E86)-I86)</f>
        <v/>
      </c>
    </row>
    <row r="87">
      <c r="A87" t="inlineStr">
        <is>
          <t>2026-07-09T16:00:00</t>
        </is>
      </c>
      <c r="B87" t="inlineStr">
        <is>
          <t>Refund</t>
        </is>
      </c>
      <c r="C87" t="inlineStr">
        <is>
          <t>111-4010585-7573195</t>
        </is>
      </c>
      <c r="D87" t="inlineStr">
        <is>
          <t>TH-OVEMIT-22</t>
        </is>
      </c>
      <c r="E87" t="n">
        <v>1</v>
      </c>
      <c r="F87" t="n">
        <v>-19.99</v>
      </c>
      <c r="G87" t="n">
        <v>-17.59</v>
      </c>
      <c r="H87">
        <f>IFERROR(Windows!$B$2-DATEVALUE(LEFT(A87,10)),"")</f>
        <v/>
      </c>
      <c r="I87">
        <f>SUMIFS(Returns!$G:$G,Returns!$B:$B,C87)</f>
        <v/>
      </c>
      <c r="J87">
        <f>MAX(0,ABS(E87)-I87)</f>
        <v/>
      </c>
    </row>
    <row r="88">
      <c r="A88" t="inlineStr">
        <is>
          <t>2026-07-10T05:00:00</t>
        </is>
      </c>
      <c r="B88" t="inlineStr">
        <is>
          <t>Refund</t>
        </is>
      </c>
      <c r="C88" t="inlineStr">
        <is>
          <t>111-4010200-8564283</t>
        </is>
      </c>
      <c r="D88" t="inlineStr">
        <is>
          <t>TH-APRWAX-21</t>
        </is>
      </c>
      <c r="E88" t="n">
        <v>1</v>
      </c>
      <c r="F88" t="n">
        <v>-41.19</v>
      </c>
      <c r="G88" t="n">
        <v>-36.25</v>
      </c>
      <c r="H88">
        <f>IFERROR(Windows!$B$2-DATEVALUE(LEFT(A88,10)),"")</f>
        <v/>
      </c>
      <c r="I88">
        <f>SUMIFS(Returns!$G:$G,Returns!$B:$B,C88)</f>
        <v/>
      </c>
      <c r="J88">
        <f>MAX(0,ABS(E88)-I88)</f>
        <v/>
      </c>
    </row>
    <row r="89">
      <c r="A89" t="inlineStr">
        <is>
          <t>2026-07-10T08:00:00</t>
        </is>
      </c>
      <c r="B89" t="inlineStr">
        <is>
          <t>Refund</t>
        </is>
      </c>
      <c r="C89" t="inlineStr">
        <is>
          <t>111-4011049-6061639</t>
        </is>
      </c>
      <c r="D89" t="inlineStr">
        <is>
          <t>TH-TRICOR-23</t>
        </is>
      </c>
      <c r="E89" t="n">
        <v>1</v>
      </c>
      <c r="F89" t="n">
        <v>-12.6</v>
      </c>
      <c r="G89" t="n">
        <v>-11.09</v>
      </c>
      <c r="H89">
        <f>IFERROR(Windows!$B$2-DATEVALUE(LEFT(A89,10)),"")</f>
        <v/>
      </c>
      <c r="I89">
        <f>SUMIFS(Returns!$G:$G,Returns!$B:$B,C89)</f>
        <v/>
      </c>
      <c r="J89">
        <f>MAX(0,ABS(E89)-I89)</f>
        <v/>
      </c>
    </row>
    <row r="90">
      <c r="A90" t="inlineStr">
        <is>
          <t>2026-07-11T10:00:00</t>
        </is>
      </c>
      <c r="B90" t="inlineStr">
        <is>
          <t>Refund</t>
        </is>
      </c>
      <c r="C90" t="inlineStr">
        <is>
          <t>111-4007001-7534531</t>
        </is>
      </c>
      <c r="D90" t="inlineStr">
        <is>
          <t>TH-MEACUP-14</t>
        </is>
      </c>
      <c r="E90" t="n">
        <v>1</v>
      </c>
      <c r="F90" t="n">
        <v>-21.33</v>
      </c>
      <c r="G90" t="n">
        <v>-18.77</v>
      </c>
      <c r="H90">
        <f>IFERROR(Windows!$B$2-DATEVALUE(LEFT(A90,10)),"")</f>
        <v/>
      </c>
      <c r="I90">
        <f>SUMIFS(Returns!$G:$G,Returns!$B:$B,C90)</f>
        <v/>
      </c>
      <c r="J90">
        <f>MAX(0,ABS(E90)-I90)</f>
        <v/>
      </c>
    </row>
    <row r="91">
      <c r="A91" t="inlineStr">
        <is>
          <t>2026-07-11T17:00:00</t>
        </is>
      </c>
      <c r="B91" t="inlineStr">
        <is>
          <t>Refund</t>
        </is>
      </c>
      <c r="C91" t="inlineStr">
        <is>
          <t>111-4005177-2907453</t>
        </is>
      </c>
      <c r="D91" t="inlineStr">
        <is>
          <t>TH-KNISHA-11</t>
        </is>
      </c>
      <c r="E91" t="n">
        <v>1</v>
      </c>
      <c r="F91" t="n">
        <v>-24.99</v>
      </c>
      <c r="G91" t="n">
        <v>-21.99</v>
      </c>
      <c r="H91">
        <f>IFERROR(Windows!$B$2-DATEVALUE(LEFT(A91,10)),"")</f>
        <v/>
      </c>
      <c r="I91">
        <f>SUMIFS(Returns!$G:$G,Returns!$B:$B,C91)</f>
        <v/>
      </c>
      <c r="J91">
        <f>MAX(0,ABS(E91)-I91)</f>
        <v/>
      </c>
    </row>
    <row r="92">
      <c r="A92" t="inlineStr">
        <is>
          <t>2026-07-12T10:00:00</t>
        </is>
      </c>
      <c r="B92" t="inlineStr">
        <is>
          <t>Refund</t>
        </is>
      </c>
      <c r="C92" t="inlineStr">
        <is>
          <t>111-4000891-9985475</t>
        </is>
      </c>
      <c r="D92" t="inlineStr">
        <is>
          <t>TH-CASIRO-02</t>
        </is>
      </c>
      <c r="E92" t="n">
        <v>1</v>
      </c>
      <c r="F92" t="n">
        <v>-46.34</v>
      </c>
      <c r="G92" t="n">
        <v>-40.78</v>
      </c>
      <c r="H92">
        <f>IFERROR(Windows!$B$2-DATEVALUE(LEFT(A92,10)),"")</f>
        <v/>
      </c>
      <c r="I92">
        <f>SUMIFS(Returns!$G:$G,Returns!$B:$B,C92)</f>
        <v/>
      </c>
      <c r="J92">
        <f>MAX(0,ABS(E92)-I92)</f>
        <v/>
      </c>
    </row>
    <row r="93">
      <c r="A93" t="inlineStr">
        <is>
          <t>2026-07-12T16:00:00</t>
        </is>
      </c>
      <c r="B93" t="inlineStr">
        <is>
          <t>Refund</t>
        </is>
      </c>
      <c r="C93" t="inlineStr">
        <is>
          <t>111-4008758-6816963</t>
        </is>
      </c>
      <c r="D93" t="inlineStr">
        <is>
          <t>TH-POUOVE-18</t>
        </is>
      </c>
      <c r="E93" t="n">
        <v>1</v>
      </c>
      <c r="F93" t="n">
        <v>-44.28</v>
      </c>
      <c r="G93" t="n">
        <v>-38.97</v>
      </c>
      <c r="H93">
        <f>IFERROR(Windows!$B$2-DATEVALUE(LEFT(A93,10)),"")</f>
        <v/>
      </c>
      <c r="I93">
        <f>SUMIFS(Returns!$G:$G,Returns!$B:$B,C93)</f>
        <v/>
      </c>
      <c r="J93">
        <f>MAX(0,ABS(E93)-I93)</f>
        <v/>
      </c>
    </row>
    <row r="94">
      <c r="A94" t="inlineStr">
        <is>
          <t>2026-07-13T05:00:00</t>
        </is>
      </c>
      <c r="B94" t="inlineStr">
        <is>
          <t>Refund</t>
        </is>
      </c>
      <c r="C94" t="inlineStr">
        <is>
          <t>111-4004013-4495538</t>
        </is>
      </c>
      <c r="D94" t="inlineStr">
        <is>
          <t>TH-PARKNI-09</t>
        </is>
      </c>
      <c r="E94" t="n">
        <v>1</v>
      </c>
      <c r="F94" t="n">
        <v>-18.42</v>
      </c>
      <c r="G94" t="n">
        <v>-16.21</v>
      </c>
      <c r="H94">
        <f>IFERROR(Windows!$B$2-DATEVALUE(LEFT(A94,10)),"")</f>
        <v/>
      </c>
      <c r="I94">
        <f>SUMIFS(Returns!$G:$G,Returns!$B:$B,C94)</f>
        <v/>
      </c>
      <c r="J94">
        <f>MAX(0,ABS(E94)-I94)</f>
        <v/>
      </c>
    </row>
    <row r="95">
      <c r="A95" t="inlineStr">
        <is>
          <t>2026-07-13T10:00:00</t>
        </is>
      </c>
      <c r="B95" t="inlineStr">
        <is>
          <t>Refund</t>
        </is>
      </c>
      <c r="C95" t="inlineStr">
        <is>
          <t>111-4000080-4517037</t>
        </is>
      </c>
      <c r="D95" t="inlineStr">
        <is>
          <t>TH-CASIRO-01</t>
        </is>
      </c>
      <c r="E95" t="n">
        <v>1</v>
      </c>
      <c r="F95" t="n">
        <v>-36.04</v>
      </c>
      <c r="G95" t="n">
        <v>-31.72</v>
      </c>
      <c r="H95">
        <f>IFERROR(Windows!$B$2-DATEVALUE(LEFT(A95,10)),"")</f>
        <v/>
      </c>
      <c r="I95">
        <f>SUMIFS(Returns!$G:$G,Returns!$B:$B,C95)</f>
        <v/>
      </c>
      <c r="J95">
        <f>MAX(0,ABS(E95)-I95)</f>
        <v/>
      </c>
    </row>
    <row r="96">
      <c r="A96" t="inlineStr">
        <is>
          <t>2026-07-13T10:00:00</t>
        </is>
      </c>
      <c r="B96" t="inlineStr">
        <is>
          <t>Refund</t>
        </is>
      </c>
      <c r="C96" t="inlineStr">
        <is>
          <t>111-4003317-9770649</t>
        </is>
      </c>
      <c r="D96" t="inlineStr">
        <is>
          <t>TH-WALSER-07</t>
        </is>
      </c>
      <c r="E96" t="n">
        <v>1</v>
      </c>
      <c r="F96" t="n">
        <v>-37.82</v>
      </c>
      <c r="G96" t="n">
        <v>-33.28</v>
      </c>
      <c r="H96">
        <f>IFERROR(Windows!$B$2-DATEVALUE(LEFT(A96,10)),"")</f>
        <v/>
      </c>
      <c r="I96">
        <f>SUMIFS(Returns!$G:$G,Returns!$B:$B,C96)</f>
        <v/>
      </c>
      <c r="J96">
        <f>MAX(0,ABS(E96)-I96)</f>
        <v/>
      </c>
    </row>
    <row r="97">
      <c r="A97" t="inlineStr">
        <is>
          <t>2026-07-13T13:00:00</t>
        </is>
      </c>
      <c r="B97" t="inlineStr">
        <is>
          <t>Refund</t>
        </is>
      </c>
      <c r="C97" t="inlineStr">
        <is>
          <t>111-4006576-8550885</t>
        </is>
      </c>
      <c r="D97" t="inlineStr">
        <is>
          <t>TH-SILSPA-13</t>
        </is>
      </c>
      <c r="E97" t="n">
        <v>1</v>
      </c>
      <c r="F97" t="n">
        <v>-15.44</v>
      </c>
      <c r="G97" t="n">
        <v>-13.59</v>
      </c>
      <c r="H97">
        <f>IFERROR(Windows!$B$2-DATEVALUE(LEFT(A97,10)),"")</f>
        <v/>
      </c>
      <c r="I97">
        <f>SUMIFS(Returns!$G:$G,Returns!$B:$B,C97)</f>
        <v/>
      </c>
      <c r="J97">
        <f>MAX(0,ABS(E97)-I97)</f>
        <v/>
      </c>
    </row>
    <row r="98">
      <c r="A98" t="inlineStr">
        <is>
          <t>2026-07-13T14:00:00</t>
        </is>
      </c>
      <c r="B98" t="inlineStr">
        <is>
          <t>Refund</t>
        </is>
      </c>
      <c r="C98" t="inlineStr">
        <is>
          <t>111-4010212-9353804</t>
        </is>
      </c>
      <c r="D98" t="inlineStr">
        <is>
          <t>TH-APRWAX-21</t>
        </is>
      </c>
      <c r="E98" t="n">
        <v>1</v>
      </c>
      <c r="F98" t="n">
        <v>-41.19</v>
      </c>
      <c r="G98" t="n">
        <v>-36.25</v>
      </c>
      <c r="H98">
        <f>IFERROR(Windows!$B$2-DATEVALUE(LEFT(A98,10)),"")</f>
        <v/>
      </c>
      <c r="I98">
        <f>SUMIFS(Returns!$G:$G,Returns!$B:$B,C98)</f>
        <v/>
      </c>
      <c r="J98">
        <f>MAX(0,ABS(E98)-I98)</f>
        <v/>
      </c>
    </row>
    <row r="99">
      <c r="A99" t="inlineStr">
        <is>
          <t>2026-07-14T05:00:00</t>
        </is>
      </c>
      <c r="B99" t="inlineStr">
        <is>
          <t>Refund</t>
        </is>
      </c>
      <c r="C99" t="inlineStr">
        <is>
          <t>111-4006011-3723857</t>
        </is>
      </c>
      <c r="D99" t="inlineStr">
        <is>
          <t>TH-STAMIX-12</t>
        </is>
      </c>
      <c r="E99" t="n">
        <v>1</v>
      </c>
      <c r="F99" t="n">
        <v>-38.1</v>
      </c>
      <c r="G99" t="n">
        <v>-33.53</v>
      </c>
      <c r="H99">
        <f>IFERROR(Windows!$B$2-DATEVALUE(LEFT(A99,10)),"")</f>
        <v/>
      </c>
      <c r="I99">
        <f>SUMIFS(Returns!$G:$G,Returns!$B:$B,C99)</f>
        <v/>
      </c>
      <c r="J99">
        <f>MAX(0,ABS(E99)-I99)</f>
        <v/>
      </c>
    </row>
    <row r="100">
      <c r="A100" t="inlineStr">
        <is>
          <t>2026-07-14T05:00:00</t>
        </is>
      </c>
      <c r="B100" t="inlineStr">
        <is>
          <t>Refund</t>
        </is>
      </c>
      <c r="C100" t="inlineStr">
        <is>
          <t>111-4009667-5339873</t>
        </is>
      </c>
      <c r="D100" t="inlineStr">
        <is>
          <t>TH-TEAINF-20</t>
        </is>
      </c>
      <c r="E100" t="n">
        <v>1</v>
      </c>
      <c r="F100" t="n">
        <v>-18.53</v>
      </c>
      <c r="G100" t="n">
        <v>-16.31</v>
      </c>
      <c r="H100">
        <f>IFERROR(Windows!$B$2-DATEVALUE(LEFT(A100,10)),"")</f>
        <v/>
      </c>
      <c r="I100">
        <f>SUMIFS(Returns!$G:$G,Returns!$B:$B,C100)</f>
        <v/>
      </c>
      <c r="J100">
        <f>MAX(0,ABS(E100)-I100)</f>
        <v/>
      </c>
    </row>
    <row r="101">
      <c r="A101" t="inlineStr">
        <is>
          <t>2026-07-15T13:00:00</t>
        </is>
      </c>
      <c r="B101" t="inlineStr">
        <is>
          <t>Refund</t>
        </is>
      </c>
      <c r="C101" t="inlineStr">
        <is>
          <t>111-4010526-2155295</t>
        </is>
      </c>
      <c r="D101" t="inlineStr">
        <is>
          <t>TH-OVEMIT-22</t>
        </is>
      </c>
      <c r="E101" t="n">
        <v>1</v>
      </c>
      <c r="F101" t="n">
        <v>-19.99</v>
      </c>
      <c r="G101" t="n">
        <v>-17.59</v>
      </c>
      <c r="H101">
        <f>IFERROR(Windows!$B$2-DATEVALUE(LEFT(A101,10)),"")</f>
        <v/>
      </c>
      <c r="I101">
        <f>SUMIFS(Returns!$G:$G,Returns!$B:$B,C101)</f>
        <v/>
      </c>
      <c r="J101">
        <f>MAX(0,ABS(E101)-I101)</f>
        <v/>
      </c>
    </row>
    <row r="102">
      <c r="A102" t="inlineStr">
        <is>
          <t>2026-07-18T11:00:00</t>
        </is>
      </c>
      <c r="B102" t="inlineStr">
        <is>
          <t>Refund</t>
        </is>
      </c>
      <c r="C102" t="inlineStr">
        <is>
          <t>111-4008581-3462261</t>
        </is>
      </c>
      <c r="D102" t="inlineStr">
        <is>
          <t>TH-POUOVE-18</t>
        </is>
      </c>
      <c r="E102" t="n">
        <v>1</v>
      </c>
      <c r="F102" t="n">
        <v>-44.28</v>
      </c>
      <c r="G102" t="n">
        <v>-38.97</v>
      </c>
      <c r="H102">
        <f>IFERROR(Windows!$B$2-DATEVALUE(LEFT(A102,10)),"")</f>
        <v/>
      </c>
      <c r="I102">
        <f>SUMIFS(Returns!$G:$G,Returns!$B:$B,C102)</f>
        <v/>
      </c>
      <c r="J102">
        <f>MAX(0,ABS(E102)-I102)</f>
        <v/>
      </c>
    </row>
    <row r="103">
      <c r="A103" t="inlineStr">
        <is>
          <t>2026-07-19T08:00:00</t>
        </is>
      </c>
      <c r="B103" t="inlineStr">
        <is>
          <t>Refund</t>
        </is>
      </c>
      <c r="C103" t="inlineStr">
        <is>
          <t>111-4010329-4458788</t>
        </is>
      </c>
      <c r="D103" t="inlineStr">
        <is>
          <t>TH-APRWAX-21</t>
        </is>
      </c>
      <c r="E103" t="n">
        <v>1</v>
      </c>
      <c r="F103" t="n">
        <v>-41.19</v>
      </c>
      <c r="G103" t="n">
        <v>-36.25</v>
      </c>
      <c r="H103">
        <f>IFERROR(Windows!$B$2-DATEVALUE(LEFT(A103,10)),"")</f>
        <v/>
      </c>
      <c r="I103">
        <f>SUMIFS(Returns!$G:$G,Returns!$B:$B,C103)</f>
        <v/>
      </c>
      <c r="J103">
        <f>MAX(0,ABS(E103)-I103)</f>
        <v/>
      </c>
    </row>
    <row r="104">
      <c r="A104" t="inlineStr">
        <is>
          <t>2026-07-19T10:00:00</t>
        </is>
      </c>
      <c r="B104" t="inlineStr">
        <is>
          <t>Refund</t>
        </is>
      </c>
      <c r="C104" t="inlineStr">
        <is>
          <t>111-4005099-6202009</t>
        </is>
      </c>
      <c r="D104" t="inlineStr">
        <is>
          <t>TH-KNISHA-11</t>
        </is>
      </c>
      <c r="E104" t="n">
        <v>1</v>
      </c>
      <c r="F104" t="n">
        <v>-24.99</v>
      </c>
      <c r="G104" t="n">
        <v>-21.99</v>
      </c>
      <c r="H104">
        <f>IFERROR(Windows!$B$2-DATEVALUE(LEFT(A104,10)),"")</f>
        <v/>
      </c>
      <c r="I104">
        <f>SUMIFS(Returns!$G:$G,Returns!$B:$B,C104)</f>
        <v/>
      </c>
      <c r="J104">
        <f>MAX(0,ABS(E104)-I104)</f>
        <v/>
      </c>
    </row>
    <row r="105">
      <c r="A105" t="inlineStr">
        <is>
          <t>2026-07-20T06:00:00</t>
        </is>
      </c>
      <c r="B105" t="inlineStr">
        <is>
          <t>Refund</t>
        </is>
      </c>
      <c r="C105" t="inlineStr">
        <is>
          <t>111-4006925-6253319</t>
        </is>
      </c>
      <c r="D105" t="inlineStr">
        <is>
          <t>TH-MEACUP-14</t>
        </is>
      </c>
      <c r="E105" t="n">
        <v>1</v>
      </c>
      <c r="F105" t="n">
        <v>-21.33</v>
      </c>
      <c r="G105" t="n">
        <v>-18.77</v>
      </c>
      <c r="H105">
        <f>IFERROR(Windows!$B$2-DATEVALUE(LEFT(A105,10)),"")</f>
        <v/>
      </c>
      <c r="I105">
        <f>SUMIFS(Returns!$G:$G,Returns!$B:$B,C105)</f>
        <v/>
      </c>
      <c r="J105">
        <f>MAX(0,ABS(E105)-I105)</f>
        <v/>
      </c>
    </row>
    <row r="106">
      <c r="A106" t="inlineStr">
        <is>
          <t>2026-07-20T16:00:00</t>
        </is>
      </c>
      <c r="B106" t="inlineStr">
        <is>
          <t>Refund</t>
        </is>
      </c>
      <c r="C106" t="inlineStr">
        <is>
          <t>111-4008203-3426565</t>
        </is>
      </c>
      <c r="D106" t="inlineStr">
        <is>
          <t>TH-FREPRE-17</t>
        </is>
      </c>
      <c r="E106" t="n">
        <v>1</v>
      </c>
      <c r="F106" t="n">
        <v>-30.89</v>
      </c>
      <c r="G106" t="n">
        <v>-27.18</v>
      </c>
      <c r="H106">
        <f>IFERROR(Windows!$B$2-DATEVALUE(LEFT(A106,10)),"")</f>
        <v/>
      </c>
      <c r="I106">
        <f>SUMIFS(Returns!$G:$G,Returns!$B:$B,C106)</f>
        <v/>
      </c>
      <c r="J106">
        <f>MAX(0,ABS(E106)-I106)</f>
        <v/>
      </c>
    </row>
    <row r="107">
      <c r="A107" t="inlineStr">
        <is>
          <t>2026-07-22T19:00:00</t>
        </is>
      </c>
      <c r="B107" t="inlineStr">
        <is>
          <t>Refund</t>
        </is>
      </c>
      <c r="C107" t="inlineStr">
        <is>
          <t>111-4000777-9624660</t>
        </is>
      </c>
      <c r="D107" t="inlineStr">
        <is>
          <t>TH-CASIRO-02</t>
        </is>
      </c>
      <c r="E107" t="n">
        <v>1</v>
      </c>
      <c r="F107" t="n">
        <v>-46.34</v>
      </c>
      <c r="G107" t="n">
        <v>-40.78</v>
      </c>
      <c r="H107">
        <f>IFERROR(Windows!$B$2-DATEVALUE(LEFT(A107,10)),"")</f>
        <v/>
      </c>
      <c r="I107">
        <f>SUMIFS(Returns!$G:$G,Returns!$B:$B,C107)</f>
        <v/>
      </c>
      <c r="J107">
        <f>MAX(0,ABS(E107)-I107)</f>
        <v/>
      </c>
    </row>
    <row r="108">
      <c r="A108" t="inlineStr">
        <is>
          <t>2026-07-23T08:00:00</t>
        </is>
      </c>
      <c r="B108" t="inlineStr">
        <is>
          <t>Refund</t>
        </is>
      </c>
      <c r="C108" t="inlineStr">
        <is>
          <t>111-4004783-2151629</t>
        </is>
      </c>
      <c r="D108" t="inlineStr">
        <is>
          <t>TH-BREKNI-10</t>
        </is>
      </c>
      <c r="E108" t="n">
        <v>1</v>
      </c>
      <c r="F108" t="n">
        <v>-29.09</v>
      </c>
      <c r="G108" t="n">
        <v>-25.6</v>
      </c>
      <c r="H108">
        <f>IFERROR(Windows!$B$2-DATEVALUE(LEFT(A108,10)),"")</f>
        <v/>
      </c>
      <c r="I108">
        <f>SUMIFS(Returns!$G:$G,Returns!$B:$B,C108)</f>
        <v/>
      </c>
      <c r="J108">
        <f>MAX(0,ABS(E108)-I108)</f>
        <v/>
      </c>
    </row>
    <row r="109">
      <c r="A109" t="inlineStr">
        <is>
          <t>2026-07-23T19:00:00</t>
        </is>
      </c>
      <c r="B109" t="inlineStr">
        <is>
          <t>Refund</t>
        </is>
      </c>
      <c r="C109" t="inlineStr">
        <is>
          <t>111-4000903-6020280</t>
        </is>
      </c>
      <c r="D109" t="inlineStr">
        <is>
          <t>TH-CASIRO-02</t>
        </is>
      </c>
      <c r="E109" t="n">
        <v>1</v>
      </c>
      <c r="F109" t="n">
        <v>-46.34</v>
      </c>
      <c r="G109" t="n">
        <v>-40.78</v>
      </c>
      <c r="H109">
        <f>IFERROR(Windows!$B$2-DATEVALUE(LEFT(A109,10)),"")</f>
        <v/>
      </c>
      <c r="I109">
        <f>SUMIFS(Returns!$G:$G,Returns!$B:$B,C109)</f>
        <v/>
      </c>
      <c r="J109">
        <f>MAX(0,ABS(E109)-I109)</f>
        <v/>
      </c>
    </row>
    <row r="110">
      <c r="A110" t="inlineStr">
        <is>
          <t>2026-07-24T19:00:00</t>
        </is>
      </c>
      <c r="B110" t="inlineStr">
        <is>
          <t>Refund</t>
        </is>
      </c>
      <c r="C110" t="inlineStr">
        <is>
          <t>111-4011515-4269611</t>
        </is>
      </c>
      <c r="D110" t="inlineStr">
        <is>
          <t>TH-KITTOW-24</t>
        </is>
      </c>
      <c r="E110" t="n">
        <v>1</v>
      </c>
      <c r="F110" t="n">
        <v>-24.99</v>
      </c>
      <c r="G110" t="n">
        <v>-21.99</v>
      </c>
      <c r="H110">
        <f>IFERROR(Windows!$B$2-DATEVALUE(LEFT(A110,10)),"")</f>
        <v/>
      </c>
      <c r="I110">
        <f>SUMIFS(Returns!$G:$G,Returns!$B:$B,C110)</f>
        <v/>
      </c>
      <c r="J110">
        <f>MAX(0,ABS(E110)-I110)</f>
        <v/>
      </c>
    </row>
    <row r="111">
      <c r="A111" t="inlineStr">
        <is>
          <t>2026-07-24T21:00:00</t>
        </is>
      </c>
      <c r="B111" t="inlineStr">
        <is>
          <t>Refund</t>
        </is>
      </c>
      <c r="C111" t="inlineStr">
        <is>
          <t>111-4006803-1795361</t>
        </is>
      </c>
      <c r="D111" t="inlineStr">
        <is>
          <t>TH-MEACUP-14</t>
        </is>
      </c>
      <c r="E111" t="n">
        <v>1</v>
      </c>
      <c r="F111" t="n">
        <v>-21.33</v>
      </c>
      <c r="G111" t="n">
        <v>-18.77</v>
      </c>
      <c r="H111">
        <f>IFERROR(Windows!$B$2-DATEVALUE(LEFT(A111,10)),"")</f>
        <v/>
      </c>
      <c r="I111">
        <f>SUMIFS(Returns!$G:$G,Returns!$B:$B,C111)</f>
        <v/>
      </c>
      <c r="J111">
        <f>MAX(0,ABS(E111)-I111)</f>
        <v/>
      </c>
    </row>
    <row r="112">
      <c r="A112" t="inlineStr">
        <is>
          <t>2026-07-30T16:00:00</t>
        </is>
      </c>
      <c r="B112" t="inlineStr">
        <is>
          <t>Refund</t>
        </is>
      </c>
      <c r="C112" t="inlineStr">
        <is>
          <t>111-4011569-3207450</t>
        </is>
      </c>
      <c r="D112" t="inlineStr">
        <is>
          <t>TH-KITTOW-24</t>
        </is>
      </c>
      <c r="E112" t="n">
        <v>1</v>
      </c>
      <c r="F112" t="n">
        <v>-24.99</v>
      </c>
      <c r="G112" t="n">
        <v>-21.99</v>
      </c>
      <c r="H112">
        <f>IFERROR(Windows!$B$2-DATEVALUE(LEFT(A112,10)),"")</f>
        <v/>
      </c>
      <c r="I112">
        <f>SUMIFS(Returns!$G:$G,Returns!$B:$B,C112)</f>
        <v/>
      </c>
      <c r="J112">
        <f>MAX(0,ABS(E112)-I112)</f>
        <v/>
      </c>
    </row>
    <row r="113">
      <c r="A113" t="inlineStr">
        <is>
          <t>2026-07-31T14:00:00</t>
        </is>
      </c>
      <c r="B113" t="inlineStr">
        <is>
          <t>Refund</t>
        </is>
      </c>
      <c r="C113" t="inlineStr">
        <is>
          <t>111-4005830-8920177</t>
        </is>
      </c>
      <c r="D113" t="inlineStr">
        <is>
          <t>TH-STAMIX-12</t>
        </is>
      </c>
      <c r="E113" t="n">
        <v>1</v>
      </c>
      <c r="F113" t="n">
        <v>-38.1</v>
      </c>
      <c r="G113" t="n">
        <v>-33.53</v>
      </c>
      <c r="H113">
        <f>IFERROR(Windows!$B$2-DATEVALUE(LEFT(A113,10)),"")</f>
        <v/>
      </c>
      <c r="I113">
        <f>SUMIFS(Returns!$G:$G,Returns!$B:$B,C113)</f>
        <v/>
      </c>
      <c r="J113">
        <f>MAX(0,ABS(E113)-I113)</f>
        <v/>
      </c>
    </row>
    <row r="114">
      <c r="A114" t="inlineStr">
        <is>
          <t>2026-07-31T20:00:00</t>
        </is>
      </c>
      <c r="B114" t="inlineStr">
        <is>
          <t>Refund</t>
        </is>
      </c>
      <c r="C114" t="inlineStr">
        <is>
          <t>111-4000797-3657211</t>
        </is>
      </c>
      <c r="D114" t="inlineStr">
        <is>
          <t>TH-CASIRO-02</t>
        </is>
      </c>
      <c r="E114" t="n">
        <v>1</v>
      </c>
      <c r="F114" t="n">
        <v>-46.34</v>
      </c>
      <c r="G114" t="n">
        <v>-40.78</v>
      </c>
      <c r="H114">
        <f>IFERROR(Windows!$B$2-DATEVALUE(LEFT(A114,10)),"")</f>
        <v/>
      </c>
      <c r="I114">
        <f>SUMIFS(Returns!$G:$G,Returns!$B:$B,C114)</f>
        <v/>
      </c>
      <c r="J114">
        <f>MAX(0,ABS(E114)-I114)</f>
        <v/>
      </c>
    </row>
    <row r="115">
      <c r="A115" t="inlineStr">
        <is>
          <t>2026-08-01T05:00:00</t>
        </is>
      </c>
      <c r="B115" t="inlineStr">
        <is>
          <t>Refund</t>
        </is>
      </c>
      <c r="C115" t="inlineStr">
        <is>
          <t>111-4007069-8495470</t>
        </is>
      </c>
      <c r="D115" t="inlineStr">
        <is>
          <t>TH-MEACUP-14</t>
        </is>
      </c>
      <c r="E115" t="n">
        <v>1</v>
      </c>
      <c r="F115" t="n">
        <v>-21.33</v>
      </c>
      <c r="G115" t="n">
        <v>-18.77</v>
      </c>
      <c r="H115">
        <f>IFERROR(Windows!$B$2-DATEVALUE(LEFT(A115,10)),"")</f>
        <v/>
      </c>
      <c r="I115">
        <f>SUMIFS(Returns!$G:$G,Returns!$B:$B,C115)</f>
        <v/>
      </c>
      <c r="J115">
        <f>MAX(0,ABS(E115)-I115)</f>
        <v/>
      </c>
    </row>
    <row r="116">
      <c r="A116" t="inlineStr">
        <is>
          <t>2026-08-01T13:00:00</t>
        </is>
      </c>
      <c r="B116" t="inlineStr">
        <is>
          <t>Refund</t>
        </is>
      </c>
      <c r="C116" t="inlineStr">
        <is>
          <t>111-4002717-3824843</t>
        </is>
      </c>
      <c r="D116" t="inlineStr">
        <is>
          <t>TH-BAMCUT-06</t>
        </is>
      </c>
      <c r="E116" t="n">
        <v>1</v>
      </c>
      <c r="F116" t="n">
        <v>-19.39</v>
      </c>
      <c r="G116" t="n">
        <v>-17.06</v>
      </c>
      <c r="H116">
        <f>IFERROR(Windows!$B$2-DATEVALUE(LEFT(A116,10)),"")</f>
        <v/>
      </c>
      <c r="I116">
        <f>SUMIFS(Returns!$G:$G,Returns!$B:$B,C116)</f>
        <v/>
      </c>
      <c r="J116">
        <f>MAX(0,ABS(E116)-I116)</f>
        <v/>
      </c>
    </row>
    <row r="117">
      <c r="A117" t="inlineStr">
        <is>
          <t>2026-08-03T05:00:00</t>
        </is>
      </c>
      <c r="B117" t="inlineStr">
        <is>
          <t>Refund</t>
        </is>
      </c>
      <c r="C117" t="inlineStr">
        <is>
          <t>111-4004664-7584751</t>
        </is>
      </c>
      <c r="D117" t="inlineStr">
        <is>
          <t>TH-BREKNI-10</t>
        </is>
      </c>
      <c r="E117" t="n">
        <v>1</v>
      </c>
      <c r="F117" t="n">
        <v>-29.09</v>
      </c>
      <c r="G117" t="n">
        <v>-25.6</v>
      </c>
      <c r="H117">
        <f>IFERROR(Windows!$B$2-DATEVALUE(LEFT(A117,10)),"")</f>
        <v/>
      </c>
      <c r="I117">
        <f>SUMIFS(Returns!$G:$G,Returns!$B:$B,C117)</f>
        <v/>
      </c>
      <c r="J117">
        <f>MAX(0,ABS(E117)-I117)</f>
        <v/>
      </c>
    </row>
    <row r="118">
      <c r="A118" t="inlineStr">
        <is>
          <t>2026-08-03T09:00:00</t>
        </is>
      </c>
      <c r="B118" t="inlineStr">
        <is>
          <t>Refund</t>
        </is>
      </c>
      <c r="C118" t="inlineStr">
        <is>
          <t>111-4009206-5380884</t>
        </is>
      </c>
      <c r="D118" t="inlineStr">
        <is>
          <t>TH-COFCAN-19</t>
        </is>
      </c>
      <c r="E118" t="n">
        <v>1</v>
      </c>
      <c r="F118" t="n">
        <v>-22.99</v>
      </c>
      <c r="G118" t="n">
        <v>-20.23</v>
      </c>
      <c r="H118">
        <f>IFERROR(Windows!$B$2-DATEVALUE(LEFT(A118,10)),"")</f>
        <v/>
      </c>
      <c r="I118">
        <f>SUMIFS(Returns!$G:$G,Returns!$B:$B,C118)</f>
        <v/>
      </c>
      <c r="J118">
        <f>MAX(0,ABS(E118)-I118)</f>
        <v/>
      </c>
    </row>
    <row r="119">
      <c r="A119" t="inlineStr">
        <is>
          <t>2026-08-04T05:00:00</t>
        </is>
      </c>
      <c r="B119" t="inlineStr">
        <is>
          <t>Refund</t>
        </is>
      </c>
      <c r="C119" t="inlineStr">
        <is>
          <t>111-4004713-5315177</t>
        </is>
      </c>
      <c r="D119" t="inlineStr">
        <is>
          <t>TH-BREKNI-10</t>
        </is>
      </c>
      <c r="E119" t="n">
        <v>1</v>
      </c>
      <c r="F119" t="n">
        <v>-29.09</v>
      </c>
      <c r="G119" t="n">
        <v>-25.6</v>
      </c>
      <c r="H119">
        <f>IFERROR(Windows!$B$2-DATEVALUE(LEFT(A119,10)),"")</f>
        <v/>
      </c>
      <c r="I119">
        <f>SUMIFS(Returns!$G:$G,Returns!$B:$B,C119)</f>
        <v/>
      </c>
      <c r="J119">
        <f>MAX(0,ABS(E119)-I119)</f>
        <v/>
      </c>
    </row>
    <row r="120">
      <c r="A120" t="inlineStr">
        <is>
          <t>2026-08-05T08:00:00</t>
        </is>
      </c>
      <c r="B120" t="inlineStr">
        <is>
          <t>Refund</t>
        </is>
      </c>
      <c r="C120" t="inlineStr">
        <is>
          <t>111-4003271-1393134</t>
        </is>
      </c>
      <c r="D120" t="inlineStr">
        <is>
          <t>TH-WALSER-07</t>
        </is>
      </c>
      <c r="E120" t="n">
        <v>1</v>
      </c>
      <c r="F120" t="n">
        <v>-37.82</v>
      </c>
      <c r="G120" t="n">
        <v>-33.28</v>
      </c>
      <c r="H120">
        <f>IFERROR(Windows!$B$2-DATEVALUE(LEFT(A120,10)),"")</f>
        <v/>
      </c>
      <c r="I120">
        <f>SUMIFS(Returns!$G:$G,Returns!$B:$B,C120)</f>
        <v/>
      </c>
      <c r="J120">
        <f>MAX(0,ABS(E120)-I120)</f>
        <v/>
      </c>
    </row>
    <row r="121">
      <c r="A121" t="inlineStr">
        <is>
          <t>2026-08-06T13:00:00</t>
        </is>
      </c>
      <c r="B121" t="inlineStr">
        <is>
          <t>Refund</t>
        </is>
      </c>
      <c r="C121" t="inlineStr">
        <is>
          <t>111-4001819-3676665</t>
        </is>
      </c>
      <c r="D121" t="inlineStr">
        <is>
          <t>TH-CARSTE-04</t>
        </is>
      </c>
      <c r="E121" t="n">
        <v>1</v>
      </c>
      <c r="F121" t="n">
        <v>-51.49</v>
      </c>
      <c r="G121" t="n">
        <v>-45.31</v>
      </c>
      <c r="H121">
        <f>IFERROR(Windows!$B$2-DATEVALUE(LEFT(A121,10)),"")</f>
        <v/>
      </c>
      <c r="I121">
        <f>SUMIFS(Returns!$G:$G,Returns!$B:$B,C121)</f>
        <v/>
      </c>
      <c r="J121">
        <f>MAX(0,ABS(E121)-I121)</f>
        <v/>
      </c>
    </row>
    <row r="122">
      <c r="A122" t="inlineStr">
        <is>
          <t>2026-08-09T18:00:00</t>
        </is>
      </c>
      <c r="B122" t="inlineStr">
        <is>
          <t>Refund</t>
        </is>
      </c>
      <c r="C122" t="inlineStr">
        <is>
          <t>111-4002236-4632010</t>
        </is>
      </c>
      <c r="D122" t="inlineStr">
        <is>
          <t>TH-BAMCUT-05</t>
        </is>
      </c>
      <c r="E122" t="n">
        <v>1</v>
      </c>
      <c r="F122" t="n">
        <v>-27.15</v>
      </c>
      <c r="G122" t="n">
        <v>-23.89</v>
      </c>
      <c r="H122">
        <f>IFERROR(Windows!$B$2-DATEVALUE(LEFT(A122,10)),"")</f>
        <v/>
      </c>
      <c r="I122">
        <f>SUMIFS(Returns!$G:$G,Returns!$B:$B,C122)</f>
        <v/>
      </c>
      <c r="J122">
        <f>MAX(0,ABS(E122)-I122)</f>
        <v/>
      </c>
    </row>
    <row r="123">
      <c r="A123" t="inlineStr">
        <is>
          <t>2026-08-10T15:00:00</t>
        </is>
      </c>
      <c r="B123" t="inlineStr">
        <is>
          <t>Refund</t>
        </is>
      </c>
      <c r="C123" t="inlineStr">
        <is>
          <t>111-4011820-2824383</t>
        </is>
      </c>
      <c r="D123" t="inlineStr">
        <is>
          <t>TH-KITTOW-24</t>
        </is>
      </c>
      <c r="E123" t="n">
        <v>1</v>
      </c>
      <c r="F123" t="n">
        <v>-24.99</v>
      </c>
      <c r="G123" t="n">
        <v>-21.99</v>
      </c>
      <c r="H123">
        <f>IFERROR(Windows!$B$2-DATEVALUE(LEFT(A123,10)),"")</f>
        <v/>
      </c>
      <c r="I123">
        <f>SUMIFS(Returns!$G:$G,Returns!$B:$B,C123)</f>
        <v/>
      </c>
      <c r="J123">
        <f>MAX(0,ABS(E123)-I123)</f>
        <v/>
      </c>
    </row>
    <row r="124">
      <c r="A124" t="inlineStr">
        <is>
          <t>2026-08-10T16:00:00</t>
        </is>
      </c>
      <c r="B124" t="inlineStr">
        <is>
          <t>Refund</t>
        </is>
      </c>
      <c r="C124" t="inlineStr">
        <is>
          <t>111-4000869-8265324</t>
        </is>
      </c>
      <c r="D124" t="inlineStr">
        <is>
          <t>TH-CASIRO-02</t>
        </is>
      </c>
      <c r="E124" t="n">
        <v>1</v>
      </c>
      <c r="F124" t="n">
        <v>-46.34</v>
      </c>
      <c r="G124" t="n">
        <v>-40.78</v>
      </c>
      <c r="H124">
        <f>IFERROR(Windows!$B$2-DATEVALUE(LEFT(A124,10)),"")</f>
        <v/>
      </c>
      <c r="I124">
        <f>SUMIFS(Returns!$G:$G,Returns!$B:$B,C124)</f>
        <v/>
      </c>
      <c r="J124">
        <f>MAX(0,ABS(E124)-I124)</f>
        <v/>
      </c>
    </row>
    <row r="125">
      <c r="A125" t="inlineStr">
        <is>
          <t>2026-08-10T18:00:00</t>
        </is>
      </c>
      <c r="B125" t="inlineStr">
        <is>
          <t>Refund</t>
        </is>
      </c>
      <c r="C125" t="inlineStr">
        <is>
          <t>111-4006132-6836469</t>
        </is>
      </c>
      <c r="D125" t="inlineStr">
        <is>
          <t>TH-STAMIX-12</t>
        </is>
      </c>
      <c r="E125" t="n">
        <v>1</v>
      </c>
      <c r="F125" t="n">
        <v>-38.1</v>
      </c>
      <c r="G125" t="n">
        <v>-33.53</v>
      </c>
      <c r="H125">
        <f>IFERROR(Windows!$B$2-DATEVALUE(LEFT(A125,10)),"")</f>
        <v/>
      </c>
      <c r="I125">
        <f>SUMIFS(Returns!$G:$G,Returns!$B:$B,C125)</f>
        <v/>
      </c>
      <c r="J125">
        <f>MAX(0,ABS(E125)-I125)</f>
        <v/>
      </c>
    </row>
    <row r="126">
      <c r="A126" t="inlineStr">
        <is>
          <t>2026-08-10T21:00:00</t>
        </is>
      </c>
      <c r="B126" t="inlineStr">
        <is>
          <t>Refund</t>
        </is>
      </c>
      <c r="C126" t="inlineStr">
        <is>
          <t>111-4004854-9346814</t>
        </is>
      </c>
      <c r="D126" t="inlineStr">
        <is>
          <t>TH-BREKNI-10</t>
        </is>
      </c>
      <c r="E126" t="n">
        <v>1</v>
      </c>
      <c r="F126" t="n">
        <v>-29.09</v>
      </c>
      <c r="G126" t="n">
        <v>-25.6</v>
      </c>
      <c r="H126">
        <f>IFERROR(Windows!$B$2-DATEVALUE(LEFT(A126,10)),"")</f>
        <v/>
      </c>
      <c r="I126">
        <f>SUMIFS(Returns!$G:$G,Returns!$B:$B,C126)</f>
        <v/>
      </c>
      <c r="J126">
        <f>MAX(0,ABS(E126)-I126)</f>
        <v/>
      </c>
    </row>
    <row r="127">
      <c r="A127" t="inlineStr">
        <is>
          <t>2026-08-10T22:00:00</t>
        </is>
      </c>
      <c r="B127" t="inlineStr">
        <is>
          <t>Refund</t>
        </is>
      </c>
      <c r="C127" t="inlineStr">
        <is>
          <t>111-4002860-3007410</t>
        </is>
      </c>
      <c r="D127" t="inlineStr">
        <is>
          <t>TH-BAMCUT-06</t>
        </is>
      </c>
      <c r="E127" t="n">
        <v>1</v>
      </c>
      <c r="F127" t="n">
        <v>-19.39</v>
      </c>
      <c r="G127" t="n">
        <v>-17.06</v>
      </c>
      <c r="H127">
        <f>IFERROR(Windows!$B$2-DATEVALUE(LEFT(A127,10)),"")</f>
        <v/>
      </c>
      <c r="I127">
        <f>SUMIFS(Returns!$G:$G,Returns!$B:$B,C127)</f>
        <v/>
      </c>
      <c r="J127">
        <f>MAX(0,ABS(E127)-I127)</f>
        <v/>
      </c>
    </row>
    <row r="128">
      <c r="A128" t="inlineStr">
        <is>
          <t>2026-08-11T05:00:00</t>
        </is>
      </c>
      <c r="B128" t="inlineStr">
        <is>
          <t>Refund</t>
        </is>
      </c>
      <c r="C128" t="inlineStr">
        <is>
          <t>111-4009553-2891531</t>
        </is>
      </c>
      <c r="D128" t="inlineStr">
        <is>
          <t>TH-TEAINF-20</t>
        </is>
      </c>
      <c r="E128" t="n">
        <v>1</v>
      </c>
      <c r="F128" t="n">
        <v>-18.53</v>
      </c>
      <c r="G128" t="n">
        <v>-16.31</v>
      </c>
      <c r="H128">
        <f>IFERROR(Windows!$B$2-DATEVALUE(LEFT(A128,10)),"")</f>
        <v/>
      </c>
      <c r="I128">
        <f>SUMIFS(Returns!$G:$G,Returns!$B:$B,C128)</f>
        <v/>
      </c>
      <c r="J128">
        <f>MAX(0,ABS(E128)-I128)</f>
        <v/>
      </c>
    </row>
    <row r="129">
      <c r="A129" t="inlineStr">
        <is>
          <t>2026-08-11T06:00:00</t>
        </is>
      </c>
      <c r="B129" t="inlineStr">
        <is>
          <t>Refund</t>
        </is>
      </c>
      <c r="C129" t="inlineStr">
        <is>
          <t>111-4006520-8788796</t>
        </is>
      </c>
      <c r="D129" t="inlineStr">
        <is>
          <t>TH-SILSPA-13</t>
        </is>
      </c>
      <c r="E129" t="n">
        <v>1</v>
      </c>
      <c r="F129" t="n">
        <v>-15.44</v>
      </c>
      <c r="G129" t="n">
        <v>-13.59</v>
      </c>
      <c r="H129">
        <f>IFERROR(Windows!$B$2-DATEVALUE(LEFT(A129,10)),"")</f>
        <v/>
      </c>
      <c r="I129">
        <f>SUMIFS(Returns!$G:$G,Returns!$B:$B,C129)</f>
        <v/>
      </c>
      <c r="J129">
        <f>MAX(0,ABS(E129)-I129)</f>
        <v/>
      </c>
    </row>
    <row r="130">
      <c r="A130" t="inlineStr">
        <is>
          <t>2026-08-12T08:00:00</t>
        </is>
      </c>
      <c r="B130" t="inlineStr">
        <is>
          <t>Refund</t>
        </is>
      </c>
      <c r="C130" t="inlineStr">
        <is>
          <t>111-4011783-5437791</t>
        </is>
      </c>
      <c r="D130" t="inlineStr">
        <is>
          <t>TH-KITTOW-24</t>
        </is>
      </c>
      <c r="E130" t="n">
        <v>1</v>
      </c>
      <c r="F130" t="n">
        <v>-24.99</v>
      </c>
      <c r="G130" t="n">
        <v>-21.99</v>
      </c>
      <c r="H130">
        <f>IFERROR(Windows!$B$2-DATEVALUE(LEFT(A130,10)),"")</f>
        <v/>
      </c>
      <c r="I130">
        <f>SUMIFS(Returns!$G:$G,Returns!$B:$B,C130)</f>
        <v/>
      </c>
      <c r="J130">
        <f>MAX(0,ABS(E130)-I130)</f>
        <v/>
      </c>
    </row>
    <row r="131">
      <c r="A131" t="inlineStr">
        <is>
          <t>2026-08-13T17:00:00</t>
        </is>
      </c>
      <c r="B131" t="inlineStr">
        <is>
          <t>Refund</t>
        </is>
      </c>
      <c r="C131" t="inlineStr">
        <is>
          <t>111-4007087-1150864</t>
        </is>
      </c>
      <c r="D131" t="inlineStr">
        <is>
          <t>TH-MEACUP-14</t>
        </is>
      </c>
      <c r="E131" t="n">
        <v>1</v>
      </c>
      <c r="F131" t="n">
        <v>-21.33</v>
      </c>
      <c r="G131" t="n">
        <v>-18.77</v>
      </c>
      <c r="H131">
        <f>IFERROR(Windows!$B$2-DATEVALUE(LEFT(A131,10)),"")</f>
        <v/>
      </c>
      <c r="I131">
        <f>SUMIFS(Returns!$G:$G,Returns!$B:$B,C131)</f>
        <v/>
      </c>
      <c r="J131">
        <f>MAX(0,ABS(E131)-I131)</f>
        <v/>
      </c>
    </row>
    <row r="132">
      <c r="A132" t="inlineStr">
        <is>
          <t>2026-08-15T11:00:00</t>
        </is>
      </c>
      <c r="B132" t="inlineStr">
        <is>
          <t>Refund</t>
        </is>
      </c>
      <c r="C132" t="inlineStr">
        <is>
          <t>111-4005459-9197180</t>
        </is>
      </c>
      <c r="D132" t="inlineStr">
        <is>
          <t>TH-KNISHA-11</t>
        </is>
      </c>
      <c r="E132" t="n">
        <v>1</v>
      </c>
      <c r="F132" t="n">
        <v>-24.99</v>
      </c>
      <c r="G132" t="n">
        <v>-21.99</v>
      </c>
      <c r="H132">
        <f>IFERROR(Windows!$B$2-DATEVALUE(LEFT(A132,10)),"")</f>
        <v/>
      </c>
      <c r="I132">
        <f>SUMIFS(Returns!$G:$G,Returns!$B:$B,C132)</f>
        <v/>
      </c>
      <c r="J132">
        <f>MAX(0,ABS(E132)-I132)</f>
        <v/>
      </c>
    </row>
    <row r="133">
      <c r="A133" t="inlineStr">
        <is>
          <t>2026-08-15T11:00:00</t>
        </is>
      </c>
      <c r="B133" t="inlineStr">
        <is>
          <t>Refund</t>
        </is>
      </c>
      <c r="C133" t="inlineStr">
        <is>
          <t>111-4011766-8267486</t>
        </is>
      </c>
      <c r="D133" t="inlineStr">
        <is>
          <t>TH-KITTOW-24</t>
        </is>
      </c>
      <c r="E133" t="n">
        <v>1</v>
      </c>
      <c r="F133" t="n">
        <v>-24.99</v>
      </c>
      <c r="G133" t="n">
        <v>-21.99</v>
      </c>
      <c r="H133">
        <f>IFERROR(Windows!$B$2-DATEVALUE(LEFT(A133,10)),"")</f>
        <v/>
      </c>
      <c r="I133">
        <f>SUMIFS(Returns!$G:$G,Returns!$B:$B,C133)</f>
        <v/>
      </c>
      <c r="J133">
        <f>MAX(0,ABS(E133)-I133)</f>
        <v/>
      </c>
    </row>
    <row r="134">
      <c r="A134" t="inlineStr">
        <is>
          <t>2026-08-16T12:00:00</t>
        </is>
      </c>
      <c r="B134" t="inlineStr">
        <is>
          <t>Refund</t>
        </is>
      </c>
      <c r="C134" t="inlineStr">
        <is>
          <t>111-4009590-3085344</t>
        </is>
      </c>
      <c r="D134" t="inlineStr">
        <is>
          <t>TH-TEAINF-20</t>
        </is>
      </c>
      <c r="E134" t="n">
        <v>1</v>
      </c>
      <c r="F134" t="n">
        <v>-18.53</v>
      </c>
      <c r="G134" t="n">
        <v>-16.31</v>
      </c>
      <c r="H134">
        <f>IFERROR(Windows!$B$2-DATEVALUE(LEFT(A134,10)),"")</f>
        <v/>
      </c>
      <c r="I134">
        <f>SUMIFS(Returns!$G:$G,Returns!$B:$B,C134)</f>
        <v/>
      </c>
      <c r="J134">
        <f>MAX(0,ABS(E134)-I134)</f>
        <v/>
      </c>
    </row>
    <row r="135">
      <c r="A135" t="inlineStr">
        <is>
          <t>2026-08-16T17:00:00</t>
        </is>
      </c>
      <c r="B135" t="inlineStr">
        <is>
          <t>Refund</t>
        </is>
      </c>
      <c r="C135" t="inlineStr">
        <is>
          <t>111-4003387-9289483</t>
        </is>
      </c>
      <c r="D135" t="inlineStr">
        <is>
          <t>TH-WALSER-07</t>
        </is>
      </c>
      <c r="E135" t="n">
        <v>1</v>
      </c>
      <c r="F135" t="n">
        <v>-37.82</v>
      </c>
      <c r="G135" t="n">
        <v>-33.28</v>
      </c>
      <c r="H135">
        <f>IFERROR(Windows!$B$2-DATEVALUE(LEFT(A135,10)),"")</f>
        <v/>
      </c>
      <c r="I135">
        <f>SUMIFS(Returns!$G:$G,Returns!$B:$B,C135)</f>
        <v/>
      </c>
      <c r="J135">
        <f>MAX(0,ABS(E135)-I135)</f>
        <v/>
      </c>
    </row>
    <row r="136">
      <c r="A136" t="inlineStr">
        <is>
          <t>2026-08-18T11:00:00</t>
        </is>
      </c>
      <c r="B136" t="inlineStr">
        <is>
          <t>Refund</t>
        </is>
      </c>
      <c r="C136" t="inlineStr">
        <is>
          <t>111-4010633-4509044</t>
        </is>
      </c>
      <c r="D136" t="inlineStr">
        <is>
          <t>TH-OVEMIT-22</t>
        </is>
      </c>
      <c r="E136" t="n">
        <v>1</v>
      </c>
      <c r="F136" t="n">
        <v>-19.99</v>
      </c>
      <c r="G136" t="n">
        <v>-17.59</v>
      </c>
      <c r="H136">
        <f>IFERROR(Windows!$B$2-DATEVALUE(LEFT(A136,10)),"")</f>
        <v/>
      </c>
      <c r="I136">
        <f>SUMIFS(Returns!$G:$G,Returns!$B:$B,C136)</f>
        <v/>
      </c>
      <c r="J136">
        <f>MAX(0,ABS(E136)-I136)</f>
        <v/>
      </c>
    </row>
    <row r="137">
      <c r="A137" t="inlineStr">
        <is>
          <t>2026-08-18T18:00:00</t>
        </is>
      </c>
      <c r="B137" t="inlineStr">
        <is>
          <t>Refund</t>
        </is>
      </c>
      <c r="C137" t="inlineStr">
        <is>
          <t>111-4001893-6364951</t>
        </is>
      </c>
      <c r="D137" t="inlineStr">
        <is>
          <t>TH-CARSTE-04</t>
        </is>
      </c>
      <c r="E137" t="n">
        <v>1</v>
      </c>
      <c r="F137" t="n">
        <v>-51.49</v>
      </c>
      <c r="G137" t="n">
        <v>-45.31</v>
      </c>
      <c r="H137">
        <f>IFERROR(Windows!$B$2-DATEVALUE(LEFT(A137,10)),"")</f>
        <v/>
      </c>
      <c r="I137">
        <f>SUMIFS(Returns!$G:$G,Returns!$B:$B,C137)</f>
        <v/>
      </c>
      <c r="J137">
        <f>MAX(0,ABS(E137)-I137)</f>
        <v/>
      </c>
    </row>
    <row r="138">
      <c r="A138" t="inlineStr">
        <is>
          <t>2026-08-19T16:00:00</t>
        </is>
      </c>
      <c r="B138" t="inlineStr">
        <is>
          <t>Refund</t>
        </is>
      </c>
      <c r="C138" t="inlineStr">
        <is>
          <t>111-4010682-5252335</t>
        </is>
      </c>
      <c r="D138" t="inlineStr">
        <is>
          <t>TH-OVEMIT-22</t>
        </is>
      </c>
      <c r="E138" t="n">
        <v>1</v>
      </c>
      <c r="F138" t="n">
        <v>-19.99</v>
      </c>
      <c r="G138" t="n">
        <v>-17.59</v>
      </c>
      <c r="H138">
        <f>IFERROR(Windows!$B$2-DATEVALUE(LEFT(A138,10)),"")</f>
        <v/>
      </c>
      <c r="I138">
        <f>SUMIFS(Returns!$G:$G,Returns!$B:$B,C138)</f>
        <v/>
      </c>
      <c r="J138">
        <f>MAX(0,ABS(E138)-I138)</f>
        <v/>
      </c>
    </row>
    <row r="139">
      <c r="A139" t="inlineStr">
        <is>
          <t>2026-08-20T05:00:00</t>
        </is>
      </c>
      <c r="B139" t="inlineStr">
        <is>
          <t>Refund</t>
        </is>
      </c>
      <c r="C139" t="inlineStr">
        <is>
          <t>111-4002347-6390017</t>
        </is>
      </c>
      <c r="D139" t="inlineStr">
        <is>
          <t>TH-BAMCUT-05</t>
        </is>
      </c>
      <c r="E139" t="n">
        <v>1</v>
      </c>
      <c r="F139" t="n">
        <v>-27.15</v>
      </c>
      <c r="G139" t="n">
        <v>-23.89</v>
      </c>
      <c r="H139">
        <f>IFERROR(Windows!$B$2-DATEVALUE(LEFT(A139,10)),"")</f>
        <v/>
      </c>
      <c r="I139">
        <f>SUMIFS(Returns!$G:$G,Returns!$B:$B,C139)</f>
        <v/>
      </c>
      <c r="J139">
        <f>MAX(0,ABS(E139)-I139)</f>
        <v/>
      </c>
    </row>
    <row r="140">
      <c r="A140" t="inlineStr">
        <is>
          <t>2026-08-21T09:00:00</t>
        </is>
      </c>
      <c r="B140" t="inlineStr">
        <is>
          <t>Refund</t>
        </is>
      </c>
      <c r="C140" t="inlineStr">
        <is>
          <t>111-4008249-3486038</t>
        </is>
      </c>
      <c r="D140" t="inlineStr">
        <is>
          <t>TH-FREPRE-17</t>
        </is>
      </c>
      <c r="E140" t="n">
        <v>1</v>
      </c>
      <c r="F140" t="n">
        <v>-30.89</v>
      </c>
      <c r="G140" t="n">
        <v>-27.18</v>
      </c>
      <c r="H140">
        <f>IFERROR(Windows!$B$2-DATEVALUE(LEFT(A140,10)),"")</f>
        <v/>
      </c>
      <c r="I140">
        <f>SUMIFS(Returns!$G:$G,Returns!$B:$B,C140)</f>
        <v/>
      </c>
      <c r="J140">
        <f>MAX(0,ABS(E140)-I140)</f>
        <v/>
      </c>
    </row>
    <row r="141">
      <c r="A141" t="inlineStr">
        <is>
          <t>2026-08-21T23:00:00</t>
        </is>
      </c>
      <c r="B141" t="inlineStr">
        <is>
          <t>Refund</t>
        </is>
      </c>
      <c r="C141" t="inlineStr">
        <is>
          <t>111-4005943-8314716</t>
        </is>
      </c>
      <c r="D141" t="inlineStr">
        <is>
          <t>TH-STAMIX-12</t>
        </is>
      </c>
      <c r="E141" t="n">
        <v>1</v>
      </c>
      <c r="F141" t="n">
        <v>-38.1</v>
      </c>
      <c r="G141" t="n">
        <v>-33.53</v>
      </c>
      <c r="H141">
        <f>IFERROR(Windows!$B$2-DATEVALUE(LEFT(A141,10)),"")</f>
        <v/>
      </c>
      <c r="I141">
        <f>SUMIFS(Returns!$G:$G,Returns!$B:$B,C141)</f>
        <v/>
      </c>
      <c r="J141">
        <f>MAX(0,ABS(E141)-I141)</f>
        <v/>
      </c>
    </row>
    <row r="142">
      <c r="A142" t="inlineStr">
        <is>
          <t>2026-08-22T05:00:00</t>
        </is>
      </c>
      <c r="B142" t="inlineStr">
        <is>
          <t>Refund</t>
        </is>
      </c>
      <c r="C142" t="inlineStr">
        <is>
          <t>111-4001862-1379626</t>
        </is>
      </c>
      <c r="D142" t="inlineStr">
        <is>
          <t>TH-CARSTE-04</t>
        </is>
      </c>
      <c r="E142" t="n">
        <v>1</v>
      </c>
      <c r="F142" t="n">
        <v>-51.49</v>
      </c>
      <c r="G142" t="n">
        <v>-45.31</v>
      </c>
      <c r="H142">
        <f>IFERROR(Windows!$B$2-DATEVALUE(LEFT(A142,10)),"")</f>
        <v/>
      </c>
      <c r="I142">
        <f>SUMIFS(Returns!$G:$G,Returns!$B:$B,C142)</f>
        <v/>
      </c>
      <c r="J142">
        <f>MAX(0,ABS(E142)-I142)</f>
        <v/>
      </c>
    </row>
    <row r="143">
      <c r="A143" t="inlineStr">
        <is>
          <t>2026-08-22T06:00:00</t>
        </is>
      </c>
      <c r="B143" t="inlineStr">
        <is>
          <t>Refund</t>
        </is>
      </c>
      <c r="C143" t="inlineStr">
        <is>
          <t>111-4001621-3168318</t>
        </is>
      </c>
      <c r="D143" t="inlineStr">
        <is>
          <t>TH-ENADUT-03</t>
        </is>
      </c>
      <c r="E143" t="n">
        <v>1</v>
      </c>
      <c r="F143" t="n">
        <v>-77.59</v>
      </c>
      <c r="G143" t="n">
        <v>-68.28</v>
      </c>
      <c r="H143">
        <f>IFERROR(Windows!$B$2-DATEVALUE(LEFT(A143,10)),"")</f>
        <v/>
      </c>
      <c r="I143">
        <f>SUMIFS(Returns!$G:$G,Returns!$B:$B,C143)</f>
        <v/>
      </c>
      <c r="J143">
        <f>MAX(0,ABS(E143)-I143)</f>
        <v/>
      </c>
    </row>
    <row r="144">
      <c r="A144" t="inlineStr">
        <is>
          <t>2026-08-22T06:00:00</t>
        </is>
      </c>
      <c r="B144" t="inlineStr">
        <is>
          <t>Refund</t>
        </is>
      </c>
      <c r="C144" t="inlineStr">
        <is>
          <t>111-4004031-7757969</t>
        </is>
      </c>
      <c r="D144" t="inlineStr">
        <is>
          <t>TH-PARKNI-09</t>
        </is>
      </c>
      <c r="E144" t="n">
        <v>1</v>
      </c>
      <c r="F144" t="n">
        <v>-18.42</v>
      </c>
      <c r="G144" t="n">
        <v>-16.21</v>
      </c>
      <c r="H144">
        <f>IFERROR(Windows!$B$2-DATEVALUE(LEFT(A144,10)),"")</f>
        <v/>
      </c>
      <c r="I144">
        <f>SUMIFS(Returns!$G:$G,Returns!$B:$B,C144)</f>
        <v/>
      </c>
      <c r="J144">
        <f>MAX(0,ABS(E144)-I144)</f>
        <v/>
      </c>
    </row>
    <row r="145">
      <c r="A145" t="inlineStr">
        <is>
          <t>2026-08-22T07:00:00</t>
        </is>
      </c>
      <c r="B145" t="inlineStr">
        <is>
          <t>Refund</t>
        </is>
      </c>
      <c r="C145" t="inlineStr">
        <is>
          <t>111-4007798-6021701</t>
        </is>
      </c>
      <c r="D145" t="inlineStr">
        <is>
          <t>TH-PEPMIL-16</t>
        </is>
      </c>
      <c r="E145" t="n">
        <v>1</v>
      </c>
      <c r="F145" t="n">
        <v>-33.98</v>
      </c>
      <c r="G145" t="n">
        <v>-29.9</v>
      </c>
      <c r="H145">
        <f>IFERROR(Windows!$B$2-DATEVALUE(LEFT(A145,10)),"")</f>
        <v/>
      </c>
      <c r="I145">
        <f>SUMIFS(Returns!$G:$G,Returns!$B:$B,C145)</f>
        <v/>
      </c>
      <c r="J145">
        <f>MAX(0,ABS(E145)-I145)</f>
        <v/>
      </c>
    </row>
    <row r="146">
      <c r="A146" t="inlineStr">
        <is>
          <t>2026-08-22T17:00:00</t>
        </is>
      </c>
      <c r="B146" t="inlineStr">
        <is>
          <t>Refund</t>
        </is>
      </c>
      <c r="C146" t="inlineStr">
        <is>
          <t>111-4004207-9396863</t>
        </is>
      </c>
      <c r="D146" t="inlineStr">
        <is>
          <t>TH-PARKNI-09</t>
        </is>
      </c>
      <c r="E146" t="n">
        <v>1</v>
      </c>
      <c r="F146" t="n">
        <v>-18.42</v>
      </c>
      <c r="G146" t="n">
        <v>-16.21</v>
      </c>
      <c r="H146">
        <f>IFERROR(Windows!$B$2-DATEVALUE(LEFT(A146,10)),"")</f>
        <v/>
      </c>
      <c r="I146">
        <f>SUMIFS(Returns!$G:$G,Returns!$B:$B,C146)</f>
        <v/>
      </c>
      <c r="J146">
        <f>MAX(0,ABS(E146)-I146)</f>
        <v/>
      </c>
    </row>
    <row r="147">
      <c r="A147" t="inlineStr">
        <is>
          <t>2026-08-22T20:00:00</t>
        </is>
      </c>
      <c r="B147" t="inlineStr">
        <is>
          <t>Refund</t>
        </is>
      </c>
      <c r="C147" t="inlineStr">
        <is>
          <t>111-4001566-5331622</t>
        </is>
      </c>
      <c r="D147" t="inlineStr">
        <is>
          <t>TH-ENADUT-03</t>
        </is>
      </c>
      <c r="E147" t="n">
        <v>1</v>
      </c>
      <c r="F147" t="n">
        <v>-77.59</v>
      </c>
      <c r="G147" t="n">
        <v>-68.28</v>
      </c>
      <c r="H147">
        <f>IFERROR(Windows!$B$2-DATEVALUE(LEFT(A147,10)),"")</f>
        <v/>
      </c>
      <c r="I147">
        <f>SUMIFS(Returns!$G:$G,Returns!$B:$B,C147)</f>
        <v/>
      </c>
      <c r="J147">
        <f>MAX(0,ABS(E147)-I147)</f>
        <v/>
      </c>
    </row>
    <row r="148">
      <c r="A148" t="inlineStr">
        <is>
          <t>2026-08-26T18:00:00</t>
        </is>
      </c>
      <c r="B148" t="inlineStr">
        <is>
          <t>Refund</t>
        </is>
      </c>
      <c r="C148" t="inlineStr">
        <is>
          <t>111-4006029-5749140</t>
        </is>
      </c>
      <c r="D148" t="inlineStr">
        <is>
          <t>TH-STAMIX-12</t>
        </is>
      </c>
      <c r="E148" t="n">
        <v>1</v>
      </c>
      <c r="F148" t="n">
        <v>-38.1</v>
      </c>
      <c r="G148" t="n">
        <v>-33.53</v>
      </c>
      <c r="H148">
        <f>IFERROR(Windows!$B$2-DATEVALUE(LEFT(A148,10)),"")</f>
        <v/>
      </c>
      <c r="I148">
        <f>SUMIFS(Returns!$G:$G,Returns!$B:$B,C148)</f>
        <v/>
      </c>
      <c r="J148">
        <f>MAX(0,ABS(E148)-I148)</f>
        <v/>
      </c>
    </row>
    <row r="149">
      <c r="A149" t="inlineStr">
        <is>
          <t>2026-08-27T15:00:00</t>
        </is>
      </c>
      <c r="B149" t="inlineStr">
        <is>
          <t>Refund</t>
        </is>
      </c>
      <c r="C149" t="inlineStr">
        <is>
          <t>111-4009157-6843329</t>
        </is>
      </c>
      <c r="D149" t="inlineStr">
        <is>
          <t>TH-COFCAN-19</t>
        </is>
      </c>
      <c r="E149" t="n">
        <v>1</v>
      </c>
      <c r="F149" t="n">
        <v>-22.99</v>
      </c>
      <c r="G149" t="n">
        <v>-20.23</v>
      </c>
      <c r="H149">
        <f>IFERROR(Windows!$B$2-DATEVALUE(LEFT(A149,10)),"")</f>
        <v/>
      </c>
      <c r="I149">
        <f>SUMIFS(Returns!$G:$G,Returns!$B:$B,C149)</f>
        <v/>
      </c>
      <c r="J149">
        <f>MAX(0,ABS(E149)-I149)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8" customWidth="1" min="4" max="4"/>
    <col width="22" customWidth="1" min="5" max="5"/>
    <col width="11" customWidth="1" min="6" max="6"/>
    <col width="11" customWidth="1" min="7" max="7"/>
    <col width="12" customWidth="1" min="8" max="8"/>
    <col width="12" customWidth="1" min="9" max="9"/>
    <col width="9" customWidth="1" min="10" max="10"/>
    <col width="16" customWidth="1" min="11" max="11"/>
    <col width="10" customWidth="1" min="12" max="12"/>
    <col width="14" customWidth="1" min="13" max="13"/>
    <col width="60" customWidth="1" min="14" max="14"/>
  </cols>
  <sheetData>
    <row r="1">
      <c r="A1" s="2" t="inlineStr">
        <is>
          <t>Claim type</t>
        </is>
      </c>
      <c r="B1" s="2" t="inlineStr">
        <is>
          <t>SKU</t>
        </is>
      </c>
      <c r="C1" s="2" t="inlineStr">
        <is>
          <t>Event date</t>
        </is>
      </c>
      <c r="D1" s="2" t="inlineStr">
        <is>
          <t>Units</t>
        </is>
      </c>
      <c r="E1" s="2" t="inlineStr">
        <is>
          <t>Order id (refunds)</t>
        </is>
      </c>
      <c r="F1" s="2" t="inlineStr">
        <is>
          <t>Unit value</t>
        </is>
      </c>
      <c r="G1" s="2" t="inlineStr">
        <is>
          <t>Value</t>
        </is>
      </c>
      <c r="H1" s="2" t="inlineStr">
        <is>
          <t>Eligible from</t>
        </is>
      </c>
      <c r="I1" s="2" t="inlineStr">
        <is>
          <t>Deadline</t>
        </is>
      </c>
      <c r="J1" s="2" t="inlineStr">
        <is>
          <t>Days left</t>
        </is>
      </c>
      <c r="K1" s="2" t="inlineStr">
        <is>
          <t>Status</t>
        </is>
      </c>
      <c r="L1" s="2" t="inlineStr">
        <is>
          <t>P(approve)</t>
        </is>
      </c>
      <c r="M1" s="2" t="inlineStr">
        <is>
          <t>Expected value</t>
        </is>
      </c>
      <c r="N1" s="2" t="inlineStr">
        <is>
          <t>Value basis</t>
        </is>
      </c>
    </row>
    <row r="2">
      <c r="A2" t="inlineStr">
        <is>
          <t>warehouse_lost</t>
        </is>
      </c>
      <c r="B2" t="inlineStr">
        <is>
          <t>TH-APRWAX-21</t>
        </is>
      </c>
      <c r="C2" s="4" t="n">
        <v>46213</v>
      </c>
      <c r="D2" t="n">
        <v>21</v>
      </c>
      <c r="F2">
        <f>IFERROR(VLOOKUP(B2,COGS!$A$2:$G$25,7,FALSE),"")</f>
        <v/>
      </c>
      <c r="G2">
        <f>IF(F2="","",D2*F2)</f>
        <v/>
      </c>
      <c r="H2" s="4">
        <f>C2+VLOOKUP(A2,Windows!$A$24:$C$30,2,FALSE)</f>
        <v/>
      </c>
      <c r="I2" s="4">
        <f>C2+VLOOKUP(A2,Windows!$A$24:$C$30,3,FALSE)</f>
        <v/>
      </c>
      <c r="J2">
        <f>I2-Windows!$B$2</f>
        <v/>
      </c>
      <c r="K2">
        <f>IF(Windows!$B$2&gt;I2,"expired",IF(Windows!$B$2&lt;H2,"not_yet_eligible",IF(J2&lt;=Windows!$B$9,"expiring","open")))</f>
        <v/>
      </c>
      <c r="L2">
        <f>VLOOKUP(A2,Windows!$A$15:$B$21,2,FALSE)</f>
        <v/>
      </c>
      <c r="M2">
        <f>IF(G2="","",G2*L2)</f>
        <v/>
      </c>
      <c r="N2" t="inlineStr">
        <is>
          <t>landed cost on file</t>
        </is>
      </c>
    </row>
    <row r="3">
      <c r="A3" t="inlineStr">
        <is>
          <t>warehouse_lost</t>
        </is>
      </c>
      <c r="B3" t="inlineStr">
        <is>
          <t>TH-STAMIX-12</t>
        </is>
      </c>
      <c r="C3" s="4" t="n">
        <v>46213</v>
      </c>
      <c r="D3" t="n">
        <v>18</v>
      </c>
      <c r="F3">
        <f>IFERROR(VLOOKUP(B3,COGS!$A$2:$G$25,7,FALSE),"")</f>
        <v/>
      </c>
      <c r="G3">
        <f>IF(F3="","",D3*F3)</f>
        <v/>
      </c>
      <c r="H3" s="4">
        <f>C3+VLOOKUP(A3,Windows!$A$24:$C$30,2,FALSE)</f>
        <v/>
      </c>
      <c r="I3" s="4">
        <f>C3+VLOOKUP(A3,Windows!$A$24:$C$30,3,FALSE)</f>
        <v/>
      </c>
      <c r="J3">
        <f>I3-Windows!$B$2</f>
        <v/>
      </c>
      <c r="K3">
        <f>IF(Windows!$B$2&gt;I3,"expired",IF(Windows!$B$2&lt;H3,"not_yet_eligible",IF(J3&lt;=Windows!$B$9,"expiring","open")))</f>
        <v/>
      </c>
      <c r="L3">
        <f>VLOOKUP(A3,Windows!$A$15:$B$21,2,FALSE)</f>
        <v/>
      </c>
      <c r="M3">
        <f>IF(G3="","",G3*L3)</f>
        <v/>
      </c>
      <c r="N3" t="inlineStr">
        <is>
          <t>landed cost on file</t>
        </is>
      </c>
    </row>
    <row r="4">
      <c r="A4" t="inlineStr">
        <is>
          <t>carrier_damaged</t>
        </is>
      </c>
      <c r="B4" t="inlineStr">
        <is>
          <t>TH-ENADUT-03</t>
        </is>
      </c>
      <c r="C4" s="4" t="n">
        <v>46213</v>
      </c>
      <c r="D4" t="n">
        <v>8</v>
      </c>
      <c r="F4">
        <f>IFERROR(VLOOKUP(B4,COGS!$A$2:$G$25,7,FALSE),"")</f>
        <v/>
      </c>
      <c r="G4">
        <f>IF(F4="","",D4*F4)</f>
        <v/>
      </c>
      <c r="H4" s="4">
        <f>C4+VLOOKUP(A4,Windows!$A$24:$C$30,2,FALSE)</f>
        <v/>
      </c>
      <c r="I4" s="4">
        <f>C4+VLOOKUP(A4,Windows!$A$24:$C$30,3,FALSE)</f>
        <v/>
      </c>
      <c r="J4">
        <f>I4-Windows!$B$2</f>
        <v/>
      </c>
      <c r="K4">
        <f>IF(Windows!$B$2&gt;I4,"expired",IF(Windows!$B$2&lt;H4,"not_yet_eligible",IF(J4&lt;=Windows!$B$9,"expiring","open")))</f>
        <v/>
      </c>
      <c r="L4">
        <f>VLOOKUP(A4,Windows!$A$15:$B$21,2,FALSE)</f>
        <v/>
      </c>
      <c r="M4">
        <f>IF(G4="","",G4*L4)</f>
        <v/>
      </c>
      <c r="N4" t="inlineStr">
        <is>
          <t>landed cost on file</t>
        </is>
      </c>
    </row>
    <row r="5">
      <c r="A5" t="inlineStr">
        <is>
          <t>transit_lost</t>
        </is>
      </c>
      <c r="B5" t="inlineStr">
        <is>
          <t>TH-CASIRO-02</t>
        </is>
      </c>
      <c r="C5" s="4" t="n">
        <v>46215</v>
      </c>
      <c r="D5" t="n">
        <v>11</v>
      </c>
      <c r="F5">
        <f>IFERROR(VLOOKUP(B5,COGS!$A$2:$G$25,7,FALSE),"")</f>
        <v/>
      </c>
      <c r="G5">
        <f>IF(F5="","",D5*F5)</f>
        <v/>
      </c>
      <c r="H5" s="4">
        <f>C5+VLOOKUP(A5,Windows!$A$24:$C$30,2,FALSE)</f>
        <v/>
      </c>
      <c r="I5" s="4">
        <f>C5+VLOOKUP(A5,Windows!$A$24:$C$30,3,FALSE)</f>
        <v/>
      </c>
      <c r="J5">
        <f>I5-Windows!$B$2</f>
        <v/>
      </c>
      <c r="K5">
        <f>IF(Windows!$B$2&gt;I5,"expired",IF(Windows!$B$2&lt;H5,"not_yet_eligible",IF(J5&lt;=Windows!$B$9,"expiring","open")))</f>
        <v/>
      </c>
      <c r="L5">
        <f>VLOOKUP(A5,Windows!$A$15:$B$21,2,FALSE)</f>
        <v/>
      </c>
      <c r="M5">
        <f>IF(G5="","",G5*L5)</f>
        <v/>
      </c>
      <c r="N5" t="inlineStr">
        <is>
          <t>landed cost on file</t>
        </is>
      </c>
    </row>
    <row r="6">
      <c r="A6" t="inlineStr">
        <is>
          <t>warehouse_lost</t>
        </is>
      </c>
      <c r="B6" t="inlineStr">
        <is>
          <t>TH-FREPRE-17</t>
        </is>
      </c>
      <c r="C6" s="4" t="n">
        <v>46214</v>
      </c>
      <c r="D6" t="n">
        <v>16</v>
      </c>
      <c r="F6">
        <f>IFERROR(VLOOKUP(B6,COGS!$A$2:$G$25,7,FALSE),"")</f>
        <v/>
      </c>
      <c r="G6">
        <f>IF(F6="","",D6*F6)</f>
        <v/>
      </c>
      <c r="H6" s="4">
        <f>C6+VLOOKUP(A6,Windows!$A$24:$C$30,2,FALSE)</f>
        <v/>
      </c>
      <c r="I6" s="4">
        <f>C6+VLOOKUP(A6,Windows!$A$24:$C$30,3,FALSE)</f>
        <v/>
      </c>
      <c r="J6">
        <f>I6-Windows!$B$2</f>
        <v/>
      </c>
      <c r="K6">
        <f>IF(Windows!$B$2&gt;I6,"expired",IF(Windows!$B$2&lt;H6,"not_yet_eligible",IF(J6&lt;=Windows!$B$9,"expiring","open")))</f>
        <v/>
      </c>
      <c r="L6">
        <f>VLOOKUP(A6,Windows!$A$15:$B$21,2,FALSE)</f>
        <v/>
      </c>
      <c r="M6">
        <f>IF(G6="","",G6*L6)</f>
        <v/>
      </c>
      <c r="N6" t="inlineStr">
        <is>
          <t>landed cost on file</t>
        </is>
      </c>
    </row>
    <row r="7">
      <c r="A7" t="inlineStr">
        <is>
          <t>warehouse_lost</t>
        </is>
      </c>
      <c r="B7" t="inlineStr">
        <is>
          <t>TH-KITTOW-24</t>
        </is>
      </c>
      <c r="C7" s="4" t="n">
        <v>46218</v>
      </c>
      <c r="D7" t="n">
        <v>20</v>
      </c>
      <c r="F7">
        <f>IFERROR(VLOOKUP(B7,COGS!$A$2:$G$25,7,FALSE),"")</f>
        <v/>
      </c>
      <c r="G7">
        <f>IF(F7="","",D7*F7)</f>
        <v/>
      </c>
      <c r="H7" s="4">
        <f>C7+VLOOKUP(A7,Windows!$A$24:$C$30,2,FALSE)</f>
        <v/>
      </c>
      <c r="I7" s="4">
        <f>C7+VLOOKUP(A7,Windows!$A$24:$C$30,3,FALSE)</f>
        <v/>
      </c>
      <c r="J7">
        <f>I7-Windows!$B$2</f>
        <v/>
      </c>
      <c r="K7">
        <f>IF(Windows!$B$2&gt;I7,"expired",IF(Windows!$B$2&lt;H7,"not_yet_eligible",IF(J7&lt;=Windows!$B$9,"expiring","open")))</f>
        <v/>
      </c>
      <c r="L7">
        <f>VLOOKUP(A7,Windows!$A$15:$B$21,2,FALSE)</f>
        <v/>
      </c>
      <c r="M7">
        <f>IF(G7="","",G7*L7)</f>
        <v/>
      </c>
      <c r="N7" t="inlineStr">
        <is>
          <t>landed cost on file</t>
        </is>
      </c>
    </row>
    <row r="8">
      <c r="A8" t="inlineStr">
        <is>
          <t>warehouse_lost</t>
        </is>
      </c>
      <c r="B8" t="inlineStr">
        <is>
          <t>TH-PARKNI-09</t>
        </is>
      </c>
      <c r="C8" s="4" t="n">
        <v>46216</v>
      </c>
      <c r="D8" t="n">
        <v>25</v>
      </c>
      <c r="F8">
        <f>IFERROR(VLOOKUP(B8,COGS!$A$2:$G$25,7,FALSE),"")</f>
        <v/>
      </c>
      <c r="G8">
        <f>IF(F8="","",D8*F8)</f>
        <v/>
      </c>
      <c r="H8" s="4">
        <f>C8+VLOOKUP(A8,Windows!$A$24:$C$30,2,FALSE)</f>
        <v/>
      </c>
      <c r="I8" s="4">
        <f>C8+VLOOKUP(A8,Windows!$A$24:$C$30,3,FALSE)</f>
        <v/>
      </c>
      <c r="J8">
        <f>I8-Windows!$B$2</f>
        <v/>
      </c>
      <c r="K8">
        <f>IF(Windows!$B$2&gt;I8,"expired",IF(Windows!$B$2&lt;H8,"not_yet_eligible",IF(J8&lt;=Windows!$B$9,"expiring","open")))</f>
        <v/>
      </c>
      <c r="L8">
        <f>VLOOKUP(A8,Windows!$A$15:$B$21,2,FALSE)</f>
        <v/>
      </c>
      <c r="M8">
        <f>IF(G8="","",G8*L8)</f>
        <v/>
      </c>
      <c r="N8" t="inlineStr">
        <is>
          <t>landed cost on file</t>
        </is>
      </c>
    </row>
    <row r="9">
      <c r="A9" t="inlineStr">
        <is>
          <t>warehouse_lost</t>
        </is>
      </c>
      <c r="B9" t="inlineStr">
        <is>
          <t>TH-CHEKNI-08</t>
        </is>
      </c>
      <c r="C9" s="4" t="n">
        <v>46217</v>
      </c>
      <c r="D9" t="n">
        <v>7</v>
      </c>
      <c r="F9">
        <f>IFERROR(VLOOKUP(B9,COGS!$A$2:$G$25,7,FALSE),"")</f>
        <v/>
      </c>
      <c r="G9">
        <f>IF(F9="","",D9*F9)</f>
        <v/>
      </c>
      <c r="H9" s="4">
        <f>C9+VLOOKUP(A9,Windows!$A$24:$C$30,2,FALSE)</f>
        <v/>
      </c>
      <c r="I9" s="4">
        <f>C9+VLOOKUP(A9,Windows!$A$24:$C$30,3,FALSE)</f>
        <v/>
      </c>
      <c r="J9">
        <f>I9-Windows!$B$2</f>
        <v/>
      </c>
      <c r="K9">
        <f>IF(Windows!$B$2&gt;I9,"expired",IF(Windows!$B$2&lt;H9,"not_yet_eligible",IF(J9&lt;=Windows!$B$9,"expiring","open")))</f>
        <v/>
      </c>
      <c r="L9">
        <f>VLOOKUP(A9,Windows!$A$15:$B$21,2,FALSE)</f>
        <v/>
      </c>
      <c r="M9">
        <f>IF(G9="","",G9*L9)</f>
        <v/>
      </c>
      <c r="N9" t="inlineStr">
        <is>
          <t>landed cost on file</t>
        </is>
      </c>
    </row>
    <row r="10">
      <c r="A10" t="inlineStr">
        <is>
          <t>warehouse_lost</t>
        </is>
      </c>
      <c r="B10" t="inlineStr">
        <is>
          <t>TH-COFCAN-19</t>
        </is>
      </c>
      <c r="C10" s="4" t="n">
        <v>46214</v>
      </c>
      <c r="D10" t="n">
        <v>17</v>
      </c>
      <c r="F10">
        <f>IFERROR(VLOOKUP(B10,COGS!$A$2:$G$25,7,FALSE),"")</f>
        <v/>
      </c>
      <c r="G10">
        <f>IF(F10="","",D10*F10)</f>
        <v/>
      </c>
      <c r="H10" s="4">
        <f>C10+VLOOKUP(A10,Windows!$A$24:$C$30,2,FALSE)</f>
        <v/>
      </c>
      <c r="I10" s="4">
        <f>C10+VLOOKUP(A10,Windows!$A$24:$C$30,3,FALSE)</f>
        <v/>
      </c>
      <c r="J10">
        <f>I10-Windows!$B$2</f>
        <v/>
      </c>
      <c r="K10">
        <f>IF(Windows!$B$2&gt;I10,"expired",IF(Windows!$B$2&lt;H10,"not_yet_eligible",IF(J10&lt;=Windows!$B$9,"expiring","open")))</f>
        <v/>
      </c>
      <c r="L10">
        <f>VLOOKUP(A10,Windows!$A$15:$B$21,2,FALSE)</f>
        <v/>
      </c>
      <c r="M10">
        <f>IF(G10="","",G10*L10)</f>
        <v/>
      </c>
      <c r="N10" t="inlineStr">
        <is>
          <t>landed cost on file</t>
        </is>
      </c>
    </row>
    <row r="11">
      <c r="A11" t="inlineStr">
        <is>
          <t>carrier_damaged</t>
        </is>
      </c>
      <c r="B11" t="inlineStr">
        <is>
          <t>TH-PEPMIL-16</t>
        </is>
      </c>
      <c r="C11" s="4" t="n">
        <v>46209</v>
      </c>
      <c r="D11" t="n">
        <v>13</v>
      </c>
      <c r="F11">
        <f>IFERROR(VLOOKUP(B11,COGS!$A$2:$G$25,7,FALSE),"")</f>
        <v/>
      </c>
      <c r="G11">
        <f>IF(F11="","",D11*F11)</f>
        <v/>
      </c>
      <c r="H11" s="4">
        <f>C11+VLOOKUP(A11,Windows!$A$24:$C$30,2,FALSE)</f>
        <v/>
      </c>
      <c r="I11" s="4">
        <f>C11+VLOOKUP(A11,Windows!$A$24:$C$30,3,FALSE)</f>
        <v/>
      </c>
      <c r="J11">
        <f>I11-Windows!$B$2</f>
        <v/>
      </c>
      <c r="K11">
        <f>IF(Windows!$B$2&gt;I11,"expired",IF(Windows!$B$2&lt;H11,"not_yet_eligible",IF(J11&lt;=Windows!$B$9,"expiring","open")))</f>
        <v/>
      </c>
      <c r="L11">
        <f>VLOOKUP(A11,Windows!$A$15:$B$21,2,FALSE)</f>
        <v/>
      </c>
      <c r="M11">
        <f>IF(G11="","",G11*L11)</f>
        <v/>
      </c>
      <c r="N11" t="inlineStr">
        <is>
          <t>landed cost on file</t>
        </is>
      </c>
    </row>
    <row r="12">
      <c r="A12" t="inlineStr">
        <is>
          <t>carrier_damaged</t>
        </is>
      </c>
      <c r="B12" t="inlineStr">
        <is>
          <t>TH-WALSER-07</t>
        </is>
      </c>
      <c r="C12" s="4" t="n">
        <v>46208</v>
      </c>
      <c r="D12" t="n">
        <v>9</v>
      </c>
      <c r="F12">
        <f>IFERROR(VLOOKUP(B12,COGS!$A$2:$G$25,7,FALSE),"")</f>
        <v/>
      </c>
      <c r="G12">
        <f>IF(F12="","",D12*F12)</f>
        <v/>
      </c>
      <c r="H12" s="4">
        <f>C12+VLOOKUP(A12,Windows!$A$24:$C$30,2,FALSE)</f>
        <v/>
      </c>
      <c r="I12" s="4">
        <f>C12+VLOOKUP(A12,Windows!$A$24:$C$30,3,FALSE)</f>
        <v/>
      </c>
      <c r="J12">
        <f>I12-Windows!$B$2</f>
        <v/>
      </c>
      <c r="K12">
        <f>IF(Windows!$B$2&gt;I12,"expired",IF(Windows!$B$2&lt;H12,"not_yet_eligible",IF(J12&lt;=Windows!$B$9,"expiring","open")))</f>
        <v/>
      </c>
      <c r="L12">
        <f>VLOOKUP(A12,Windows!$A$15:$B$21,2,FALSE)</f>
        <v/>
      </c>
      <c r="M12">
        <f>IF(G12="","",G12*L12)</f>
        <v/>
      </c>
      <c r="N12" t="inlineStr">
        <is>
          <t>landed cost on file</t>
        </is>
      </c>
    </row>
    <row r="13">
      <c r="A13" t="inlineStr">
        <is>
          <t>transit_lost</t>
        </is>
      </c>
      <c r="B13" t="inlineStr">
        <is>
          <t>TH-CARSTE-04</t>
        </is>
      </c>
      <c r="C13" s="4" t="n">
        <v>46211</v>
      </c>
      <c r="D13" t="n">
        <v>7</v>
      </c>
      <c r="F13">
        <f>IFERROR(VLOOKUP(B13,COGS!$A$2:$G$25,7,FALSE),"")</f>
        <v/>
      </c>
      <c r="G13">
        <f>IF(F13="","",D13*F13)</f>
        <v/>
      </c>
      <c r="H13" s="4">
        <f>C13+VLOOKUP(A13,Windows!$A$24:$C$30,2,FALSE)</f>
        <v/>
      </c>
      <c r="I13" s="4">
        <f>C13+VLOOKUP(A13,Windows!$A$24:$C$30,3,FALSE)</f>
        <v/>
      </c>
      <c r="J13">
        <f>I13-Windows!$B$2</f>
        <v/>
      </c>
      <c r="K13">
        <f>IF(Windows!$B$2&gt;I13,"expired",IF(Windows!$B$2&lt;H13,"not_yet_eligible",IF(J13&lt;=Windows!$B$9,"expiring","open")))</f>
        <v/>
      </c>
      <c r="L13">
        <f>VLOOKUP(A13,Windows!$A$15:$B$21,2,FALSE)</f>
        <v/>
      </c>
      <c r="M13">
        <f>IF(G13="","",G13*L13)</f>
        <v/>
      </c>
      <c r="N13" t="inlineStr">
        <is>
          <t>landed cost on file</t>
        </is>
      </c>
    </row>
    <row r="14">
      <c r="A14" t="inlineStr">
        <is>
          <t>warehouse_lost</t>
        </is>
      </c>
      <c r="B14" t="inlineStr">
        <is>
          <t>TH-OVEMIT-22</t>
        </is>
      </c>
      <c r="C14" s="4" t="n">
        <v>46212</v>
      </c>
      <c r="D14" t="n">
        <v>19</v>
      </c>
      <c r="F14">
        <f>IFERROR(VLOOKUP(B14,COGS!$A$2:$G$25,7,FALSE),"")</f>
        <v/>
      </c>
      <c r="G14">
        <f>IF(F14="","",D14*F14)</f>
        <v/>
      </c>
      <c r="H14" s="4">
        <f>C14+VLOOKUP(A14,Windows!$A$24:$C$30,2,FALSE)</f>
        <v/>
      </c>
      <c r="I14" s="4">
        <f>C14+VLOOKUP(A14,Windows!$A$24:$C$30,3,FALSE)</f>
        <v/>
      </c>
      <c r="J14">
        <f>I14-Windows!$B$2</f>
        <v/>
      </c>
      <c r="K14">
        <f>IF(Windows!$B$2&gt;I14,"expired",IF(Windows!$B$2&lt;H14,"not_yet_eligible",IF(J14&lt;=Windows!$B$9,"expiring","open")))</f>
        <v/>
      </c>
      <c r="L14">
        <f>VLOOKUP(A14,Windows!$A$15:$B$21,2,FALSE)</f>
        <v/>
      </c>
      <c r="M14">
        <f>IF(G14="","",G14*L14)</f>
        <v/>
      </c>
      <c r="N14" t="inlineStr">
        <is>
          <t>landed cost on file</t>
        </is>
      </c>
    </row>
    <row r="15">
      <c r="A15" t="inlineStr">
        <is>
          <t>carrier_damaged</t>
        </is>
      </c>
      <c r="B15" t="inlineStr">
        <is>
          <t>TH-CHEKNI-08</t>
        </is>
      </c>
      <c r="C15" s="4" t="n">
        <v>46208</v>
      </c>
      <c r="D15" t="n">
        <v>6</v>
      </c>
      <c r="F15">
        <f>IFERROR(VLOOKUP(B15,COGS!$A$2:$G$25,7,FALSE),"")</f>
        <v/>
      </c>
      <c r="G15">
        <f>IF(F15="","",D15*F15)</f>
        <v/>
      </c>
      <c r="H15" s="4">
        <f>C15+VLOOKUP(A15,Windows!$A$24:$C$30,2,FALSE)</f>
        <v/>
      </c>
      <c r="I15" s="4">
        <f>C15+VLOOKUP(A15,Windows!$A$24:$C$30,3,FALSE)</f>
        <v/>
      </c>
      <c r="J15">
        <f>I15-Windows!$B$2</f>
        <v/>
      </c>
      <c r="K15">
        <f>IF(Windows!$B$2&gt;I15,"expired",IF(Windows!$B$2&lt;H15,"not_yet_eligible",IF(J15&lt;=Windows!$B$9,"expiring","open")))</f>
        <v/>
      </c>
      <c r="L15">
        <f>VLOOKUP(A15,Windows!$A$15:$B$21,2,FALSE)</f>
        <v/>
      </c>
      <c r="M15">
        <f>IF(G15="","",G15*L15)</f>
        <v/>
      </c>
      <c r="N15" t="inlineStr">
        <is>
          <t>landed cost on file</t>
        </is>
      </c>
    </row>
    <row r="16">
      <c r="A16" t="inlineStr">
        <is>
          <t>warehouse_lost</t>
        </is>
      </c>
      <c r="B16" t="inlineStr">
        <is>
          <t>TH-TEAINF-20</t>
        </is>
      </c>
      <c r="C16" s="4" t="n">
        <v>46217</v>
      </c>
      <c r="D16" t="n">
        <v>14</v>
      </c>
      <c r="F16">
        <f>IFERROR(VLOOKUP(B16,COGS!$A$2:$G$25,7,FALSE),"")</f>
        <v/>
      </c>
      <c r="G16">
        <f>IF(F16="","",D16*F16)</f>
        <v/>
      </c>
      <c r="H16" s="4">
        <f>C16+VLOOKUP(A16,Windows!$A$24:$C$30,2,FALSE)</f>
        <v/>
      </c>
      <c r="I16" s="4">
        <f>C16+VLOOKUP(A16,Windows!$A$24:$C$30,3,FALSE)</f>
        <v/>
      </c>
      <c r="J16">
        <f>I16-Windows!$B$2</f>
        <v/>
      </c>
      <c r="K16">
        <f>IF(Windows!$B$2&gt;I16,"expired",IF(Windows!$B$2&lt;H16,"not_yet_eligible",IF(J16&lt;=Windows!$B$9,"expiring","open")))</f>
        <v/>
      </c>
      <c r="L16">
        <f>VLOOKUP(A16,Windows!$A$15:$B$21,2,FALSE)</f>
        <v/>
      </c>
      <c r="M16">
        <f>IF(G16="","",G16*L16)</f>
        <v/>
      </c>
      <c r="N16" t="inlineStr">
        <is>
          <t>landed cost on file</t>
        </is>
      </c>
    </row>
    <row r="17">
      <c r="A17" t="inlineStr">
        <is>
          <t>warehouse_lost</t>
        </is>
      </c>
      <c r="B17" t="inlineStr">
        <is>
          <t>TH-MEACUP-14</t>
        </is>
      </c>
      <c r="C17" s="4" t="n">
        <v>46218</v>
      </c>
      <c r="D17" t="n">
        <v>10</v>
      </c>
      <c r="F17">
        <f>IFERROR(VLOOKUP(B17,COGS!$A$2:$G$25,7,FALSE),"")</f>
        <v/>
      </c>
      <c r="G17">
        <f>IF(F17="","",D17*F17)</f>
        <v/>
      </c>
      <c r="H17" s="4">
        <f>C17+VLOOKUP(A17,Windows!$A$24:$C$30,2,FALSE)</f>
        <v/>
      </c>
      <c r="I17" s="4">
        <f>C17+VLOOKUP(A17,Windows!$A$24:$C$30,3,FALSE)</f>
        <v/>
      </c>
      <c r="J17">
        <f>I17-Windows!$B$2</f>
        <v/>
      </c>
      <c r="K17">
        <f>IF(Windows!$B$2&gt;I17,"expired",IF(Windows!$B$2&lt;H17,"not_yet_eligible",IF(J17&lt;=Windows!$B$9,"expiring","open")))</f>
        <v/>
      </c>
      <c r="L17">
        <f>VLOOKUP(A17,Windows!$A$15:$B$21,2,FALSE)</f>
        <v/>
      </c>
      <c r="M17">
        <f>IF(G17="","",G17*L17)</f>
        <v/>
      </c>
      <c r="N17" t="inlineStr">
        <is>
          <t>landed cost on file</t>
        </is>
      </c>
    </row>
    <row r="18">
      <c r="A18" t="inlineStr">
        <is>
          <t>carrier_damaged</t>
        </is>
      </c>
      <c r="B18" t="inlineStr">
        <is>
          <t>TH-MEACUP-14</t>
        </is>
      </c>
      <c r="C18" s="4" t="n">
        <v>46209</v>
      </c>
      <c r="D18" t="n">
        <v>12</v>
      </c>
      <c r="F18">
        <f>IFERROR(VLOOKUP(B18,COGS!$A$2:$G$25,7,FALSE),"")</f>
        <v/>
      </c>
      <c r="G18">
        <f>IF(F18="","",D18*F18)</f>
        <v/>
      </c>
      <c r="H18" s="4">
        <f>C18+VLOOKUP(A18,Windows!$A$24:$C$30,2,FALSE)</f>
        <v/>
      </c>
      <c r="I18" s="4">
        <f>C18+VLOOKUP(A18,Windows!$A$24:$C$30,3,FALSE)</f>
        <v/>
      </c>
      <c r="J18">
        <f>I18-Windows!$B$2</f>
        <v/>
      </c>
      <c r="K18">
        <f>IF(Windows!$B$2&gt;I18,"expired",IF(Windows!$B$2&lt;H18,"not_yet_eligible",IF(J18&lt;=Windows!$B$9,"expiring","open")))</f>
        <v/>
      </c>
      <c r="L18">
        <f>VLOOKUP(A18,Windows!$A$15:$B$21,2,FALSE)</f>
        <v/>
      </c>
      <c r="M18">
        <f>IF(G18="","",G18*L18)</f>
        <v/>
      </c>
      <c r="N18" t="inlineStr">
        <is>
          <t>landed cost on file</t>
        </is>
      </c>
    </row>
    <row r="19">
      <c r="A19" t="inlineStr">
        <is>
          <t>transit_lost</t>
        </is>
      </c>
      <c r="B19" t="inlineStr">
        <is>
          <t>TH-KITTOW-24</t>
        </is>
      </c>
      <c r="C19" s="4" t="n">
        <v>46214</v>
      </c>
      <c r="D19" t="n">
        <v>9</v>
      </c>
      <c r="F19">
        <f>IFERROR(VLOOKUP(B19,COGS!$A$2:$G$25,7,FALSE),"")</f>
        <v/>
      </c>
      <c r="G19">
        <f>IF(F19="","",D19*F19)</f>
        <v/>
      </c>
      <c r="H19" s="4">
        <f>C19+VLOOKUP(A19,Windows!$A$24:$C$30,2,FALSE)</f>
        <v/>
      </c>
      <c r="I19" s="4">
        <f>C19+VLOOKUP(A19,Windows!$A$24:$C$30,3,FALSE)</f>
        <v/>
      </c>
      <c r="J19">
        <f>I19-Windows!$B$2</f>
        <v/>
      </c>
      <c r="K19">
        <f>IF(Windows!$B$2&gt;I19,"expired",IF(Windows!$B$2&lt;H19,"not_yet_eligible",IF(J19&lt;=Windows!$B$9,"expiring","open")))</f>
        <v/>
      </c>
      <c r="L19">
        <f>VLOOKUP(A19,Windows!$A$15:$B$21,2,FALSE)</f>
        <v/>
      </c>
      <c r="M19">
        <f>IF(G19="","",G19*L19)</f>
        <v/>
      </c>
      <c r="N19" t="inlineStr">
        <is>
          <t>landed cost on file</t>
        </is>
      </c>
    </row>
    <row r="20">
      <c r="A20" t="inlineStr">
        <is>
          <t>transit_lost</t>
        </is>
      </c>
      <c r="B20" t="inlineStr">
        <is>
          <t>TH-BREKNI-10</t>
        </is>
      </c>
      <c r="C20" s="4" t="n">
        <v>46210</v>
      </c>
      <c r="D20" t="n">
        <v>7</v>
      </c>
      <c r="F20">
        <f>IFERROR(VLOOKUP(B20,COGS!$A$2:$G$25,7,FALSE),"")</f>
        <v/>
      </c>
      <c r="G20">
        <f>IF(F20="","",D20*F20)</f>
        <v/>
      </c>
      <c r="H20" s="4">
        <f>C20+VLOOKUP(A20,Windows!$A$24:$C$30,2,FALSE)</f>
        <v/>
      </c>
      <c r="I20" s="4">
        <f>C20+VLOOKUP(A20,Windows!$A$24:$C$30,3,FALSE)</f>
        <v/>
      </c>
      <c r="J20">
        <f>I20-Windows!$B$2</f>
        <v/>
      </c>
      <c r="K20">
        <f>IF(Windows!$B$2&gt;I20,"expired",IF(Windows!$B$2&lt;H20,"not_yet_eligible",IF(J20&lt;=Windows!$B$9,"expiring","open")))</f>
        <v/>
      </c>
      <c r="L20">
        <f>VLOOKUP(A20,Windows!$A$15:$B$21,2,FALSE)</f>
        <v/>
      </c>
      <c r="M20">
        <f>IF(G20="","",G20*L20)</f>
        <v/>
      </c>
      <c r="N20" t="inlineStr">
        <is>
          <t>landed cost on file</t>
        </is>
      </c>
    </row>
    <row r="21">
      <c r="A21" t="inlineStr">
        <is>
          <t>carrier_damaged</t>
        </is>
      </c>
      <c r="B21" t="inlineStr">
        <is>
          <t>TH-COFCAN-19</t>
        </is>
      </c>
      <c r="C21" s="4" t="n">
        <v>46213</v>
      </c>
      <c r="D21" t="n">
        <v>9</v>
      </c>
      <c r="F21">
        <f>IFERROR(VLOOKUP(B21,COGS!$A$2:$G$25,7,FALSE),"")</f>
        <v/>
      </c>
      <c r="G21">
        <f>IF(F21="","",D21*F21)</f>
        <v/>
      </c>
      <c r="H21" s="4">
        <f>C21+VLOOKUP(A21,Windows!$A$24:$C$30,2,FALSE)</f>
        <v/>
      </c>
      <c r="I21" s="4">
        <f>C21+VLOOKUP(A21,Windows!$A$24:$C$30,3,FALSE)</f>
        <v/>
      </c>
      <c r="J21">
        <f>I21-Windows!$B$2</f>
        <v/>
      </c>
      <c r="K21">
        <f>IF(Windows!$B$2&gt;I21,"expired",IF(Windows!$B$2&lt;H21,"not_yet_eligible",IF(J21&lt;=Windows!$B$9,"expiring","open")))</f>
        <v/>
      </c>
      <c r="L21">
        <f>VLOOKUP(A21,Windows!$A$15:$B$21,2,FALSE)</f>
        <v/>
      </c>
      <c r="M21">
        <f>IF(G21="","",G21*L21)</f>
        <v/>
      </c>
      <c r="N21" t="inlineStr">
        <is>
          <t>landed cost on file</t>
        </is>
      </c>
    </row>
    <row r="22">
      <c r="A22" t="inlineStr">
        <is>
          <t>transit_lost</t>
        </is>
      </c>
      <c r="B22" t="inlineStr">
        <is>
          <t>TH-POUOVE-18</t>
        </is>
      </c>
      <c r="C22" s="4" t="n">
        <v>46214</v>
      </c>
      <c r="D22" t="n">
        <v>4</v>
      </c>
      <c r="F22">
        <f>IFERROR(VLOOKUP(B22,COGS!$A$2:$G$25,7,FALSE),"")</f>
        <v/>
      </c>
      <c r="G22">
        <f>IF(F22="","",D22*F22)</f>
        <v/>
      </c>
      <c r="H22" s="4">
        <f>C22+VLOOKUP(A22,Windows!$A$24:$C$30,2,FALSE)</f>
        <v/>
      </c>
      <c r="I22" s="4">
        <f>C22+VLOOKUP(A22,Windows!$A$24:$C$30,3,FALSE)</f>
        <v/>
      </c>
      <c r="J22">
        <f>I22-Windows!$B$2</f>
        <v/>
      </c>
      <c r="K22">
        <f>IF(Windows!$B$2&gt;I22,"expired",IF(Windows!$B$2&lt;H22,"not_yet_eligible",IF(J22&lt;=Windows!$B$9,"expiring","open")))</f>
        <v/>
      </c>
      <c r="L22">
        <f>VLOOKUP(A22,Windows!$A$15:$B$21,2,FALSE)</f>
        <v/>
      </c>
      <c r="M22">
        <f>IF(G22="","",G22*L22)</f>
        <v/>
      </c>
      <c r="N22" t="inlineStr">
        <is>
          <t>landed cost on file</t>
        </is>
      </c>
    </row>
    <row r="23">
      <c r="A23" t="inlineStr">
        <is>
          <t>carrier_damaged</t>
        </is>
      </c>
      <c r="B23" t="inlineStr">
        <is>
          <t>TH-BAMCUT-05</t>
        </is>
      </c>
      <c r="C23" s="4" t="n">
        <v>46213</v>
      </c>
      <c r="D23" t="n">
        <v>6</v>
      </c>
      <c r="F23">
        <f>IFERROR(VLOOKUP(B23,COGS!$A$2:$G$25,7,FALSE),"")</f>
        <v/>
      </c>
      <c r="G23">
        <f>IF(F23="","",D23*F23)</f>
        <v/>
      </c>
      <c r="H23" s="4">
        <f>C23+VLOOKUP(A23,Windows!$A$24:$C$30,2,FALSE)</f>
        <v/>
      </c>
      <c r="I23" s="4">
        <f>C23+VLOOKUP(A23,Windows!$A$24:$C$30,3,FALSE)</f>
        <v/>
      </c>
      <c r="J23">
        <f>I23-Windows!$B$2</f>
        <v/>
      </c>
      <c r="K23">
        <f>IF(Windows!$B$2&gt;I23,"expired",IF(Windows!$B$2&lt;H23,"not_yet_eligible",IF(J23&lt;=Windows!$B$9,"expiring","open")))</f>
        <v/>
      </c>
      <c r="L23">
        <f>VLOOKUP(A23,Windows!$A$15:$B$21,2,FALSE)</f>
        <v/>
      </c>
      <c r="M23">
        <f>IF(G23="","",G23*L23)</f>
        <v/>
      </c>
      <c r="N23" t="inlineStr">
        <is>
          <t>landed cost on file</t>
        </is>
      </c>
    </row>
    <row r="24">
      <c r="A24" t="inlineStr">
        <is>
          <t>refund_no_return</t>
        </is>
      </c>
      <c r="B24" t="inlineStr">
        <is>
          <t>TH-CASIRO-02</t>
        </is>
      </c>
      <c r="C24" s="4" t="n">
        <v>46150</v>
      </c>
      <c r="D24" t="n">
        <v>1</v>
      </c>
      <c r="E24" t="inlineStr">
        <is>
          <t>111-4001167-4531939</t>
        </is>
      </c>
      <c r="F24" t="n">
        <v>46.34</v>
      </c>
      <c r="G24">
        <f>IF(F24="","",D24*F24)</f>
        <v/>
      </c>
      <c r="H24" s="4">
        <f>C24+VLOOKUP(A24,Windows!$A$24:$C$30,2,FALSE)</f>
        <v/>
      </c>
      <c r="I24" s="4">
        <f>C24+VLOOKUP(A24,Windows!$A$24:$C$30,3,FALSE)</f>
        <v/>
      </c>
      <c r="J24">
        <f>I24-Windows!$B$2</f>
        <v/>
      </c>
      <c r="K24">
        <f>IF(Windows!$B$2&gt;I24,"expired",IF(Windows!$B$2&lt;H24,"not_yet_eligible",IF(J24&lt;=Windows!$B$9,"expiring","open")))</f>
        <v/>
      </c>
      <c r="L24">
        <f>VLOOKUP(A24,Windows!$A$15:$B$21,2,FALSE)</f>
        <v/>
      </c>
      <c r="M24">
        <f>IF(G24="","",G24*L24)</f>
        <v/>
      </c>
      <c r="N24" t="inlineStr">
        <is>
          <t>refunded amount per unit — Amazon reimburses at its determined value, so this is the ceiling</t>
        </is>
      </c>
    </row>
    <row r="25">
      <c r="A25" t="inlineStr">
        <is>
          <t>refund_no_return</t>
        </is>
      </c>
      <c r="B25" t="inlineStr">
        <is>
          <t>TH-POUOVE-18</t>
        </is>
      </c>
      <c r="C25" s="4" t="n">
        <v>46157</v>
      </c>
      <c r="D25" t="n">
        <v>1</v>
      </c>
      <c r="E25" t="inlineStr">
        <is>
          <t>111-4008814-6418098</t>
        </is>
      </c>
      <c r="F25" t="n">
        <v>44.28</v>
      </c>
      <c r="G25">
        <f>IF(F25="","",D25*F25)</f>
        <v/>
      </c>
      <c r="H25" s="4">
        <f>C25+VLOOKUP(A25,Windows!$A$24:$C$30,2,FALSE)</f>
        <v/>
      </c>
      <c r="I25" s="4">
        <f>C25+VLOOKUP(A25,Windows!$A$24:$C$30,3,FALSE)</f>
        <v/>
      </c>
      <c r="J25">
        <f>I25-Windows!$B$2</f>
        <v/>
      </c>
      <c r="K25">
        <f>IF(Windows!$B$2&gt;I25,"expired",IF(Windows!$B$2&lt;H25,"not_yet_eligible",IF(J25&lt;=Windows!$B$9,"expiring","open")))</f>
        <v/>
      </c>
      <c r="L25">
        <f>VLOOKUP(A25,Windows!$A$15:$B$21,2,FALSE)</f>
        <v/>
      </c>
      <c r="M25">
        <f>IF(G25="","",G25*L25)</f>
        <v/>
      </c>
      <c r="N25" t="inlineStr">
        <is>
          <t>refunded amount per unit — Amazon reimburses at its determined value, so this is the ceiling</t>
        </is>
      </c>
    </row>
    <row r="26">
      <c r="A26" t="inlineStr">
        <is>
          <t>carrier_damaged</t>
        </is>
      </c>
      <c r="B26" t="inlineStr">
        <is>
          <t>TH-PARKNI-09</t>
        </is>
      </c>
      <c r="C26" s="4" t="n">
        <v>46214</v>
      </c>
      <c r="D26" t="n">
        <v>9</v>
      </c>
      <c r="F26">
        <f>IFERROR(VLOOKUP(B26,COGS!$A$2:$G$25,7,FALSE),"")</f>
        <v/>
      </c>
      <c r="G26">
        <f>IF(F26="","",D26*F26)</f>
        <v/>
      </c>
      <c r="H26" s="4">
        <f>C26+VLOOKUP(A26,Windows!$A$24:$C$30,2,FALSE)</f>
        <v/>
      </c>
      <c r="I26" s="4">
        <f>C26+VLOOKUP(A26,Windows!$A$24:$C$30,3,FALSE)</f>
        <v/>
      </c>
      <c r="J26">
        <f>I26-Windows!$B$2</f>
        <v/>
      </c>
      <c r="K26">
        <f>IF(Windows!$B$2&gt;I26,"expired",IF(Windows!$B$2&lt;H26,"not_yet_eligible",IF(J26&lt;=Windows!$B$9,"expiring","open")))</f>
        <v/>
      </c>
      <c r="L26">
        <f>VLOOKUP(A26,Windows!$A$15:$B$21,2,FALSE)</f>
        <v/>
      </c>
      <c r="M26">
        <f>IF(G26="","",G26*L26)</f>
        <v/>
      </c>
      <c r="N26" t="inlineStr">
        <is>
          <t>landed cost on file</t>
        </is>
      </c>
    </row>
    <row r="27">
      <c r="A27" t="inlineStr">
        <is>
          <t>warehouse_lost</t>
        </is>
      </c>
      <c r="B27" t="inlineStr">
        <is>
          <t>TH-TRICOR-23</t>
        </is>
      </c>
      <c r="C27" s="4" t="n">
        <v>46214</v>
      </c>
      <c r="D27" t="n">
        <v>8</v>
      </c>
      <c r="F27">
        <f>IFERROR(VLOOKUP(B27,COGS!$A$2:$G$25,7,FALSE),"")</f>
        <v/>
      </c>
      <c r="G27">
        <f>IF(F27="","",D27*F27)</f>
        <v/>
      </c>
      <c r="H27" s="4">
        <f>C27+VLOOKUP(A27,Windows!$A$24:$C$30,2,FALSE)</f>
        <v/>
      </c>
      <c r="I27" s="4">
        <f>C27+VLOOKUP(A27,Windows!$A$24:$C$30,3,FALSE)</f>
        <v/>
      </c>
      <c r="J27">
        <f>I27-Windows!$B$2</f>
        <v/>
      </c>
      <c r="K27">
        <f>IF(Windows!$B$2&gt;I27,"expired",IF(Windows!$B$2&lt;H27,"not_yet_eligible",IF(J27&lt;=Windows!$B$9,"expiring","open")))</f>
        <v/>
      </c>
      <c r="L27">
        <f>VLOOKUP(A27,Windows!$A$15:$B$21,2,FALSE)</f>
        <v/>
      </c>
      <c r="M27">
        <f>IF(G27="","",G27*L27)</f>
        <v/>
      </c>
      <c r="N27" t="inlineStr">
        <is>
          <t>landed cost on file</t>
        </is>
      </c>
    </row>
    <row r="28">
      <c r="A28" t="inlineStr">
        <is>
          <t>carrier_damaged</t>
        </is>
      </c>
      <c r="B28" t="inlineStr">
        <is>
          <t>TH-TRICOR-23</t>
        </is>
      </c>
      <c r="C28" s="4" t="n">
        <v>46213</v>
      </c>
      <c r="D28" t="n">
        <v>8</v>
      </c>
      <c r="F28">
        <f>IFERROR(VLOOKUP(B28,COGS!$A$2:$G$25,7,FALSE),"")</f>
        <v/>
      </c>
      <c r="G28">
        <f>IF(F28="","",D28*F28)</f>
        <v/>
      </c>
      <c r="H28" s="4">
        <f>C28+VLOOKUP(A28,Windows!$A$24:$C$30,2,FALSE)</f>
        <v/>
      </c>
      <c r="I28" s="4">
        <f>C28+VLOOKUP(A28,Windows!$A$24:$C$30,3,FALSE)</f>
        <v/>
      </c>
      <c r="J28">
        <f>I28-Windows!$B$2</f>
        <v/>
      </c>
      <c r="K28">
        <f>IF(Windows!$B$2&gt;I28,"expired",IF(Windows!$B$2&lt;H28,"not_yet_eligible",IF(J28&lt;=Windows!$B$9,"expiring","open")))</f>
        <v/>
      </c>
      <c r="L28">
        <f>VLOOKUP(A28,Windows!$A$15:$B$21,2,FALSE)</f>
        <v/>
      </c>
      <c r="M28">
        <f>IF(G28="","",G28*L28)</f>
        <v/>
      </c>
      <c r="N28" t="inlineStr">
        <is>
          <t>landed cost on file</t>
        </is>
      </c>
    </row>
    <row r="29">
      <c r="A29" t="inlineStr">
        <is>
          <t>carrier_damaged</t>
        </is>
      </c>
      <c r="B29" t="inlineStr">
        <is>
          <t>TH-KNISHA-11</t>
        </is>
      </c>
      <c r="C29" s="4" t="n">
        <v>46210</v>
      </c>
      <c r="D29" t="n">
        <v>3</v>
      </c>
      <c r="F29">
        <f>IFERROR(VLOOKUP(B29,COGS!$A$2:$G$25,7,FALSE),"")</f>
        <v/>
      </c>
      <c r="G29">
        <f>IF(F29="","",D29*F29)</f>
        <v/>
      </c>
      <c r="H29" s="4">
        <f>C29+VLOOKUP(A29,Windows!$A$24:$C$30,2,FALSE)</f>
        <v/>
      </c>
      <c r="I29" s="4">
        <f>C29+VLOOKUP(A29,Windows!$A$24:$C$30,3,FALSE)</f>
        <v/>
      </c>
      <c r="J29">
        <f>I29-Windows!$B$2</f>
        <v/>
      </c>
      <c r="K29">
        <f>IF(Windows!$B$2&gt;I29,"expired",IF(Windows!$B$2&lt;H29,"not_yet_eligible",IF(J29&lt;=Windows!$B$9,"expiring","open")))</f>
        <v/>
      </c>
      <c r="L29">
        <f>VLOOKUP(A29,Windows!$A$15:$B$21,2,FALSE)</f>
        <v/>
      </c>
      <c r="M29">
        <f>IF(G29="","",G29*L29)</f>
        <v/>
      </c>
      <c r="N29" t="inlineStr">
        <is>
          <t>landed cost on file</t>
        </is>
      </c>
    </row>
    <row r="30">
      <c r="A30" t="inlineStr">
        <is>
          <t>carrier_damaged</t>
        </is>
      </c>
      <c r="B30" t="inlineStr">
        <is>
          <t>TH-OVEMIT-22</t>
        </is>
      </c>
      <c r="C30" s="4" t="n">
        <v>46209</v>
      </c>
      <c r="D30" t="n">
        <v>4</v>
      </c>
      <c r="F30">
        <f>IFERROR(VLOOKUP(B30,COGS!$A$2:$G$25,7,FALSE),"")</f>
        <v/>
      </c>
      <c r="G30">
        <f>IF(F30="","",D30*F30)</f>
        <v/>
      </c>
      <c r="H30" s="4">
        <f>C30+VLOOKUP(A30,Windows!$A$24:$C$30,2,FALSE)</f>
        <v/>
      </c>
      <c r="I30" s="4">
        <f>C30+VLOOKUP(A30,Windows!$A$24:$C$30,3,FALSE)</f>
        <v/>
      </c>
      <c r="J30">
        <f>I30-Windows!$B$2</f>
        <v/>
      </c>
      <c r="K30">
        <f>IF(Windows!$B$2&gt;I30,"expired",IF(Windows!$B$2&lt;H30,"not_yet_eligible",IF(J30&lt;=Windows!$B$9,"expiring","open")))</f>
        <v/>
      </c>
      <c r="L30">
        <f>VLOOKUP(A30,Windows!$A$15:$B$21,2,FALSE)</f>
        <v/>
      </c>
      <c r="M30">
        <f>IF(G30="","",G30*L30)</f>
        <v/>
      </c>
      <c r="N30" t="inlineStr">
        <is>
          <t>landed cost on file</t>
        </is>
      </c>
    </row>
    <row r="31">
      <c r="A31" t="inlineStr">
        <is>
          <t>refund_no_return</t>
        </is>
      </c>
      <c r="B31" t="inlineStr">
        <is>
          <t>TH-PARKNI-09</t>
        </is>
      </c>
      <c r="C31" s="4" t="n">
        <v>46154</v>
      </c>
      <c r="D31" t="n">
        <v>1</v>
      </c>
      <c r="E31" t="inlineStr">
        <is>
          <t>111-4004228-2926992</t>
        </is>
      </c>
      <c r="F31" t="n">
        <v>18.42</v>
      </c>
      <c r="G31">
        <f>IF(F31="","",D31*F31)</f>
        <v/>
      </c>
      <c r="H31" s="4">
        <f>C31+VLOOKUP(A31,Windows!$A$24:$C$30,2,FALSE)</f>
        <v/>
      </c>
      <c r="I31" s="4">
        <f>C31+VLOOKUP(A31,Windows!$A$24:$C$30,3,FALSE)</f>
        <v/>
      </c>
      <c r="J31">
        <f>I31-Windows!$B$2</f>
        <v/>
      </c>
      <c r="K31">
        <f>IF(Windows!$B$2&gt;I31,"expired",IF(Windows!$B$2&lt;H31,"not_yet_eligible",IF(J31&lt;=Windows!$B$9,"expiring","open")))</f>
        <v/>
      </c>
      <c r="L31">
        <f>VLOOKUP(A31,Windows!$A$15:$B$21,2,FALSE)</f>
        <v/>
      </c>
      <c r="M31">
        <f>IF(G31="","",G31*L31)</f>
        <v/>
      </c>
      <c r="N31" t="inlineStr">
        <is>
          <t>refunded amount per unit — Amazon reimburses at its determined value, so this is the ceiling</t>
        </is>
      </c>
    </row>
    <row r="32">
      <c r="A32" t="inlineStr">
        <is>
          <t>refund_no_return</t>
        </is>
      </c>
      <c r="B32" t="inlineStr">
        <is>
          <t>TH-SILSPA-13</t>
        </is>
      </c>
      <c r="C32" s="4" t="n">
        <v>46153</v>
      </c>
      <c r="D32" t="n">
        <v>1</v>
      </c>
      <c r="E32" t="inlineStr">
        <is>
          <t>111-4006638-6018624</t>
        </is>
      </c>
      <c r="F32" t="n">
        <v>15.44</v>
      </c>
      <c r="G32">
        <f>IF(F32="","",D32*F32)</f>
        <v/>
      </c>
      <c r="H32" s="4">
        <f>C32+VLOOKUP(A32,Windows!$A$24:$C$30,2,FALSE)</f>
        <v/>
      </c>
      <c r="I32" s="4">
        <f>C32+VLOOKUP(A32,Windows!$A$24:$C$30,3,FALSE)</f>
        <v/>
      </c>
      <c r="J32">
        <f>I32-Windows!$B$2</f>
        <v/>
      </c>
      <c r="K32">
        <f>IF(Windows!$B$2&gt;I32,"expired",IF(Windows!$B$2&lt;H32,"not_yet_eligible",IF(J32&lt;=Windows!$B$9,"expiring","open")))</f>
        <v/>
      </c>
      <c r="L32">
        <f>VLOOKUP(A32,Windows!$A$15:$B$21,2,FALSE)</f>
        <v/>
      </c>
      <c r="M32">
        <f>IF(G32="","",G32*L32)</f>
        <v/>
      </c>
      <c r="N32" t="inlineStr">
        <is>
          <t>refunded amount per unit — Amazon reimburses at its determined value, so this is the ceiling</t>
        </is>
      </c>
    </row>
    <row r="33">
      <c r="A33" t="inlineStr">
        <is>
          <t>damaged_return</t>
        </is>
      </c>
      <c r="B33" t="inlineStr">
        <is>
          <t>TH-WALSER-07</t>
        </is>
      </c>
      <c r="C33" s="4" t="n">
        <v>46219</v>
      </c>
      <c r="D33" t="n">
        <v>1</v>
      </c>
      <c r="E33" t="inlineStr">
        <is>
          <t>111-4003317-9770649</t>
        </is>
      </c>
      <c r="F33">
        <f>IFERROR(VLOOKUP(B33,COGS!$A$2:$G$25,7,FALSE),"")</f>
        <v/>
      </c>
      <c r="G33">
        <f>IF(F33="","",D33*F33)</f>
        <v/>
      </c>
      <c r="H33" s="4">
        <f>C33+VLOOKUP(A33,Windows!$A$24:$C$30,2,FALSE)</f>
        <v/>
      </c>
      <c r="I33" s="4">
        <f>C33+VLOOKUP(A33,Windows!$A$24:$C$30,3,FALSE)</f>
        <v/>
      </c>
      <c r="J33">
        <f>I33-Windows!$B$2</f>
        <v/>
      </c>
      <c r="K33">
        <f>IF(Windows!$B$2&gt;I33,"expired",IF(Windows!$B$2&lt;H33,"not_yet_eligible",IF(J33&lt;=Windows!$B$9,"expiring","open")))</f>
        <v/>
      </c>
      <c r="L33">
        <f>VLOOKUP(A33,Windows!$A$15:$B$21,2,FALSE)</f>
        <v/>
      </c>
      <c r="M33">
        <f>IF(G33="","",G33*L33)</f>
        <v/>
      </c>
      <c r="N33" t="inlineStr">
        <is>
          <t>landed cost on file</t>
        </is>
      </c>
    </row>
    <row r="34">
      <c r="A34" t="inlineStr">
        <is>
          <t>damaged_return</t>
        </is>
      </c>
      <c r="B34" t="inlineStr">
        <is>
          <t>TH-CASIRO-01</t>
        </is>
      </c>
      <c r="C34" s="4" t="n">
        <v>46209</v>
      </c>
      <c r="D34" t="n">
        <v>1</v>
      </c>
      <c r="E34" t="inlineStr">
        <is>
          <t>111-4000172-1485759</t>
        </is>
      </c>
      <c r="F34">
        <f>IFERROR(VLOOKUP(B34,COGS!$A$2:$G$25,7,FALSE),"")</f>
        <v/>
      </c>
      <c r="G34">
        <f>IF(F34="","",D34*F34)</f>
        <v/>
      </c>
      <c r="H34" s="4">
        <f>C34+VLOOKUP(A34,Windows!$A$24:$C$30,2,FALSE)</f>
        <v/>
      </c>
      <c r="I34" s="4">
        <f>C34+VLOOKUP(A34,Windows!$A$24:$C$30,3,FALSE)</f>
        <v/>
      </c>
      <c r="J34">
        <f>I34-Windows!$B$2</f>
        <v/>
      </c>
      <c r="K34">
        <f>IF(Windows!$B$2&gt;I34,"expired",IF(Windows!$B$2&lt;H34,"not_yet_eligible",IF(J34&lt;=Windows!$B$9,"expiring","open")))</f>
        <v/>
      </c>
      <c r="L34">
        <f>VLOOKUP(A34,Windows!$A$15:$B$21,2,FALSE)</f>
        <v/>
      </c>
      <c r="M34">
        <f>IF(G34="","",G34*L34)</f>
        <v/>
      </c>
      <c r="N34" t="inlineStr">
        <is>
          <t>landed cost on file</t>
        </is>
      </c>
    </row>
    <row r="35">
      <c r="A35" t="inlineStr">
        <is>
          <t>damaged_return</t>
        </is>
      </c>
      <c r="B35" t="inlineStr">
        <is>
          <t>TH-APRWAX-21</t>
        </is>
      </c>
      <c r="C35" s="4" t="n">
        <v>46220</v>
      </c>
      <c r="D35" t="n">
        <v>1</v>
      </c>
      <c r="E35" t="inlineStr">
        <is>
          <t>111-4010212-9353804</t>
        </is>
      </c>
      <c r="F35">
        <f>IFERROR(VLOOKUP(B35,COGS!$A$2:$G$25,7,FALSE),"")</f>
        <v/>
      </c>
      <c r="G35">
        <f>IF(F35="","",D35*F35)</f>
        <v/>
      </c>
      <c r="H35" s="4">
        <f>C35+VLOOKUP(A35,Windows!$A$24:$C$30,2,FALSE)</f>
        <v/>
      </c>
      <c r="I35" s="4">
        <f>C35+VLOOKUP(A35,Windows!$A$24:$C$30,3,FALSE)</f>
        <v/>
      </c>
      <c r="J35">
        <f>I35-Windows!$B$2</f>
        <v/>
      </c>
      <c r="K35">
        <f>IF(Windows!$B$2&gt;I35,"expired",IF(Windows!$B$2&lt;H35,"not_yet_eligible",IF(J35&lt;=Windows!$B$9,"expiring","open")))</f>
        <v/>
      </c>
      <c r="L35">
        <f>VLOOKUP(A35,Windows!$A$15:$B$21,2,FALSE)</f>
        <v/>
      </c>
      <c r="M35">
        <f>IF(G35="","",G35*L35)</f>
        <v/>
      </c>
      <c r="N35" t="inlineStr">
        <is>
          <t>landed cost on file</t>
        </is>
      </c>
    </row>
    <row r="36">
      <c r="A36" t="inlineStr">
        <is>
          <t>damaged_return</t>
        </is>
      </c>
      <c r="B36" t="inlineStr">
        <is>
          <t>TH-COFCAN-19</t>
        </is>
      </c>
      <c r="C36" s="4" t="n">
        <v>46212</v>
      </c>
      <c r="D36" t="n">
        <v>1</v>
      </c>
      <c r="E36" t="inlineStr">
        <is>
          <t>111-4009121-3689668</t>
        </is>
      </c>
      <c r="F36">
        <f>IFERROR(VLOOKUP(B36,COGS!$A$2:$G$25,7,FALSE),"")</f>
        <v/>
      </c>
      <c r="G36">
        <f>IF(F36="","",D36*F36)</f>
        <v/>
      </c>
      <c r="H36" s="4">
        <f>C36+VLOOKUP(A36,Windows!$A$24:$C$30,2,FALSE)</f>
        <v/>
      </c>
      <c r="I36" s="4">
        <f>C36+VLOOKUP(A36,Windows!$A$24:$C$30,3,FALSE)</f>
        <v/>
      </c>
      <c r="J36">
        <f>I36-Windows!$B$2</f>
        <v/>
      </c>
      <c r="K36">
        <f>IF(Windows!$B$2&gt;I36,"expired",IF(Windows!$B$2&lt;H36,"not_yet_eligible",IF(J36&lt;=Windows!$B$9,"expiring","open")))</f>
        <v/>
      </c>
      <c r="L36">
        <f>VLOOKUP(A36,Windows!$A$15:$B$21,2,FALSE)</f>
        <v/>
      </c>
      <c r="M36">
        <f>IF(G36="","",G36*L36)</f>
        <v/>
      </c>
      <c r="N36" t="inlineStr">
        <is>
          <t>landed cost on file</t>
        </is>
      </c>
    </row>
    <row r="37">
      <c r="A37" t="inlineStr">
        <is>
          <t>damaged_return</t>
        </is>
      </c>
      <c r="B37" t="inlineStr">
        <is>
          <t>TH-COFCAN-19</t>
        </is>
      </c>
      <c r="C37" s="4" t="n">
        <v>46209</v>
      </c>
      <c r="D37" t="n">
        <v>1</v>
      </c>
      <c r="E37" t="inlineStr">
        <is>
          <t>111-4009221-3909542</t>
        </is>
      </c>
      <c r="F37">
        <f>IFERROR(VLOOKUP(B37,COGS!$A$2:$G$25,7,FALSE),"")</f>
        <v/>
      </c>
      <c r="G37">
        <f>IF(F37="","",D37*F37)</f>
        <v/>
      </c>
      <c r="H37" s="4">
        <f>C37+VLOOKUP(A37,Windows!$A$24:$C$30,2,FALSE)</f>
        <v/>
      </c>
      <c r="I37" s="4">
        <f>C37+VLOOKUP(A37,Windows!$A$24:$C$30,3,FALSE)</f>
        <v/>
      </c>
      <c r="J37">
        <f>I37-Windows!$B$2</f>
        <v/>
      </c>
      <c r="K37">
        <f>IF(Windows!$B$2&gt;I37,"expired",IF(Windows!$B$2&lt;H37,"not_yet_eligible",IF(J37&lt;=Windows!$B$9,"expiring","open")))</f>
        <v/>
      </c>
      <c r="L37">
        <f>VLOOKUP(A37,Windows!$A$15:$B$21,2,FALSE)</f>
        <v/>
      </c>
      <c r="M37">
        <f>IF(G37="","",G37*L37)</f>
        <v/>
      </c>
      <c r="N37" t="inlineStr">
        <is>
          <t>landed cost on file</t>
        </is>
      </c>
    </row>
    <row r="38">
      <c r="A38" t="inlineStr">
        <is>
          <t>damaged_return</t>
        </is>
      </c>
      <c r="B38" t="inlineStr">
        <is>
          <t>TH-OVEMIT-22</t>
        </is>
      </c>
      <c r="C38" s="4" t="n">
        <v>46216</v>
      </c>
      <c r="D38" t="n">
        <v>1</v>
      </c>
      <c r="E38" t="inlineStr">
        <is>
          <t>111-4010585-7573195</t>
        </is>
      </c>
      <c r="F38">
        <f>IFERROR(VLOOKUP(B38,COGS!$A$2:$G$25,7,FALSE),"")</f>
        <v/>
      </c>
      <c r="G38">
        <f>IF(F38="","",D38*F38)</f>
        <v/>
      </c>
      <c r="H38" s="4">
        <f>C38+VLOOKUP(A38,Windows!$A$24:$C$30,2,FALSE)</f>
        <v/>
      </c>
      <c r="I38" s="4">
        <f>C38+VLOOKUP(A38,Windows!$A$24:$C$30,3,FALSE)</f>
        <v/>
      </c>
      <c r="J38">
        <f>I38-Windows!$B$2</f>
        <v/>
      </c>
      <c r="K38">
        <f>IF(Windows!$B$2&gt;I38,"expired",IF(Windows!$B$2&lt;H38,"not_yet_eligible",IF(J38&lt;=Windows!$B$9,"expiring","open")))</f>
        <v/>
      </c>
      <c r="L38">
        <f>VLOOKUP(A38,Windows!$A$15:$B$21,2,FALSE)</f>
        <v/>
      </c>
      <c r="M38">
        <f>IF(G38="","",G38*L38)</f>
        <v/>
      </c>
      <c r="N38" t="inlineStr">
        <is>
          <t>landed cost on file</t>
        </is>
      </c>
    </row>
    <row r="39">
      <c r="A39" t="inlineStr">
        <is>
          <t>warehouse_lost</t>
        </is>
      </c>
      <c r="B39" t="inlineStr">
        <is>
          <t>TH-CARSTE-04</t>
        </is>
      </c>
      <c r="C39" s="4" t="n">
        <v>46230</v>
      </c>
      <c r="D39" t="n">
        <v>18</v>
      </c>
      <c r="F39">
        <f>IFERROR(VLOOKUP(B39,COGS!$A$2:$G$25,7,FALSE),"")</f>
        <v/>
      </c>
      <c r="G39">
        <f>IF(F39="","",D39*F39)</f>
        <v/>
      </c>
      <c r="H39" s="4">
        <f>C39+VLOOKUP(A39,Windows!$A$24:$C$30,2,FALSE)</f>
        <v/>
      </c>
      <c r="I39" s="4">
        <f>C39+VLOOKUP(A39,Windows!$A$24:$C$30,3,FALSE)</f>
        <v/>
      </c>
      <c r="J39">
        <f>I39-Windows!$B$2</f>
        <v/>
      </c>
      <c r="K39">
        <f>IF(Windows!$B$2&gt;I39,"expired",IF(Windows!$B$2&lt;H39,"not_yet_eligible",IF(J39&lt;=Windows!$B$9,"expiring","open")))</f>
        <v/>
      </c>
      <c r="L39">
        <f>VLOOKUP(A39,Windows!$A$15:$B$21,2,FALSE)</f>
        <v/>
      </c>
      <c r="M39">
        <f>IF(G39="","",G39*L39)</f>
        <v/>
      </c>
      <c r="N39" t="inlineStr">
        <is>
          <t>landed cost on file</t>
        </is>
      </c>
    </row>
    <row r="40">
      <c r="A40" t="inlineStr">
        <is>
          <t>warehouse_lost</t>
        </is>
      </c>
      <c r="B40" t="inlineStr">
        <is>
          <t>TH-POUOVE-18</t>
        </is>
      </c>
      <c r="C40" s="4" t="n">
        <v>46227</v>
      </c>
      <c r="D40" t="n">
        <v>18</v>
      </c>
      <c r="F40">
        <f>IFERROR(VLOOKUP(B40,COGS!$A$2:$G$25,7,FALSE),"")</f>
        <v/>
      </c>
      <c r="G40">
        <f>IF(F40="","",D40*F40)</f>
        <v/>
      </c>
      <c r="H40" s="4">
        <f>C40+VLOOKUP(A40,Windows!$A$24:$C$30,2,FALSE)</f>
        <v/>
      </c>
      <c r="I40" s="4">
        <f>C40+VLOOKUP(A40,Windows!$A$24:$C$30,3,FALSE)</f>
        <v/>
      </c>
      <c r="J40">
        <f>I40-Windows!$B$2</f>
        <v/>
      </c>
      <c r="K40">
        <f>IF(Windows!$B$2&gt;I40,"expired",IF(Windows!$B$2&lt;H40,"not_yet_eligible",IF(J40&lt;=Windows!$B$9,"expiring","open")))</f>
        <v/>
      </c>
      <c r="L40">
        <f>VLOOKUP(A40,Windows!$A$15:$B$21,2,FALSE)</f>
        <v/>
      </c>
      <c r="M40">
        <f>IF(G40="","",G40*L40)</f>
        <v/>
      </c>
      <c r="N40" t="inlineStr">
        <is>
          <t>landed cost on file</t>
        </is>
      </c>
    </row>
    <row r="41">
      <c r="A41" t="inlineStr">
        <is>
          <t>warehouse_lost</t>
        </is>
      </c>
      <c r="B41" t="inlineStr">
        <is>
          <t>TH-ENADUT-03</t>
        </is>
      </c>
      <c r="C41" s="4" t="n">
        <v>46230</v>
      </c>
      <c r="D41" t="n">
        <v>8</v>
      </c>
      <c r="F41">
        <f>IFERROR(VLOOKUP(B41,COGS!$A$2:$G$25,7,FALSE),"")</f>
        <v/>
      </c>
      <c r="G41">
        <f>IF(F41="","",D41*F41)</f>
        <v/>
      </c>
      <c r="H41" s="4">
        <f>C41+VLOOKUP(A41,Windows!$A$24:$C$30,2,FALSE)</f>
        <v/>
      </c>
      <c r="I41" s="4">
        <f>C41+VLOOKUP(A41,Windows!$A$24:$C$30,3,FALSE)</f>
        <v/>
      </c>
      <c r="J41">
        <f>I41-Windows!$B$2</f>
        <v/>
      </c>
      <c r="K41">
        <f>IF(Windows!$B$2&gt;I41,"expired",IF(Windows!$B$2&lt;H41,"not_yet_eligible",IF(J41&lt;=Windows!$B$9,"expiring","open")))</f>
        <v/>
      </c>
      <c r="L41">
        <f>VLOOKUP(A41,Windows!$A$15:$B$21,2,FALSE)</f>
        <v/>
      </c>
      <c r="M41">
        <f>IF(G41="","",G41*L41)</f>
        <v/>
      </c>
      <c r="N41" t="inlineStr">
        <is>
          <t>landed cost on file</t>
        </is>
      </c>
    </row>
    <row r="42">
      <c r="A42" t="inlineStr">
        <is>
          <t>warehouse_lost</t>
        </is>
      </c>
      <c r="B42" t="inlineStr">
        <is>
          <t>TH-PEPMIL-16</t>
        </is>
      </c>
      <c r="C42" s="4" t="n">
        <v>46227</v>
      </c>
      <c r="D42" t="n">
        <v>18</v>
      </c>
      <c r="F42">
        <f>IFERROR(VLOOKUP(B42,COGS!$A$2:$G$25,7,FALSE),"")</f>
        <v/>
      </c>
      <c r="G42">
        <f>IF(F42="","",D42*F42)</f>
        <v/>
      </c>
      <c r="H42" s="4">
        <f>C42+VLOOKUP(A42,Windows!$A$24:$C$30,2,FALSE)</f>
        <v/>
      </c>
      <c r="I42" s="4">
        <f>C42+VLOOKUP(A42,Windows!$A$24:$C$30,3,FALSE)</f>
        <v/>
      </c>
      <c r="J42">
        <f>I42-Windows!$B$2</f>
        <v/>
      </c>
      <c r="K42">
        <f>IF(Windows!$B$2&gt;I42,"expired",IF(Windows!$B$2&lt;H42,"not_yet_eligible",IF(J42&lt;=Windows!$B$9,"expiring","open")))</f>
        <v/>
      </c>
      <c r="L42">
        <f>VLOOKUP(A42,Windows!$A$15:$B$21,2,FALSE)</f>
        <v/>
      </c>
      <c r="M42">
        <f>IF(G42="","",G42*L42)</f>
        <v/>
      </c>
      <c r="N42" t="inlineStr">
        <is>
          <t>landed cost on file</t>
        </is>
      </c>
    </row>
    <row r="43">
      <c r="A43" t="inlineStr">
        <is>
          <t>warehouse_lost</t>
        </is>
      </c>
      <c r="B43" t="inlineStr">
        <is>
          <t>TH-WALSER-07</t>
        </is>
      </c>
      <c r="C43" s="4" t="n">
        <v>46226</v>
      </c>
      <c r="D43" t="n">
        <v>7</v>
      </c>
      <c r="F43">
        <f>IFERROR(VLOOKUP(B43,COGS!$A$2:$G$25,7,FALSE),"")</f>
        <v/>
      </c>
      <c r="G43">
        <f>IF(F43="","",D43*F43)</f>
        <v/>
      </c>
      <c r="H43" s="4">
        <f>C43+VLOOKUP(A43,Windows!$A$24:$C$30,2,FALSE)</f>
        <v/>
      </c>
      <c r="I43" s="4">
        <f>C43+VLOOKUP(A43,Windows!$A$24:$C$30,3,FALSE)</f>
        <v/>
      </c>
      <c r="J43">
        <f>I43-Windows!$B$2</f>
        <v/>
      </c>
      <c r="K43">
        <f>IF(Windows!$B$2&gt;I43,"expired",IF(Windows!$B$2&lt;H43,"not_yet_eligible",IF(J43&lt;=Windows!$B$9,"expiring","open")))</f>
        <v/>
      </c>
      <c r="L43">
        <f>VLOOKUP(A43,Windows!$A$15:$B$21,2,FALSE)</f>
        <v/>
      </c>
      <c r="M43">
        <f>IF(G43="","",G43*L43)</f>
        <v/>
      </c>
      <c r="N43" t="inlineStr">
        <is>
          <t>landed cost on file</t>
        </is>
      </c>
    </row>
    <row r="44">
      <c r="A44" t="inlineStr">
        <is>
          <t>warehouse_lost</t>
        </is>
      </c>
      <c r="B44" t="inlineStr">
        <is>
          <t>TH-BAMCUT-06</t>
        </is>
      </c>
      <c r="C44" s="4" t="n">
        <v>46221</v>
      </c>
      <c r="D44" t="n">
        <v>15</v>
      </c>
      <c r="F44">
        <f>IFERROR(VLOOKUP(B44,COGS!$A$2:$G$25,7,FALSE),"")</f>
        <v/>
      </c>
      <c r="G44">
        <f>IF(F44="","",D44*F44)</f>
        <v/>
      </c>
      <c r="H44" s="4">
        <f>C44+VLOOKUP(A44,Windows!$A$24:$C$30,2,FALSE)</f>
        <v/>
      </c>
      <c r="I44" s="4">
        <f>C44+VLOOKUP(A44,Windows!$A$24:$C$30,3,FALSE)</f>
        <v/>
      </c>
      <c r="J44">
        <f>I44-Windows!$B$2</f>
        <v/>
      </c>
      <c r="K44">
        <f>IF(Windows!$B$2&gt;I44,"expired",IF(Windows!$B$2&lt;H44,"not_yet_eligible",IF(J44&lt;=Windows!$B$9,"expiring","open")))</f>
        <v/>
      </c>
      <c r="L44">
        <f>VLOOKUP(A44,Windows!$A$15:$B$21,2,FALSE)</f>
        <v/>
      </c>
      <c r="M44">
        <f>IF(G44="","",G44*L44)</f>
        <v/>
      </c>
      <c r="N44" t="inlineStr">
        <is>
          <t>landed cost on file</t>
        </is>
      </c>
    </row>
    <row r="45">
      <c r="A45" t="inlineStr">
        <is>
          <t>warehouse_lost</t>
        </is>
      </c>
      <c r="B45" t="inlineStr">
        <is>
          <t>TH-SALCEL-15</t>
        </is>
      </c>
      <c r="C45" s="4" t="n">
        <v>46231</v>
      </c>
      <c r="D45" t="n">
        <v>18</v>
      </c>
      <c r="F45">
        <f>IFERROR(VLOOKUP(B45,COGS!$A$2:$G$25,7,FALSE),"")</f>
        <v/>
      </c>
      <c r="G45">
        <f>IF(F45="","",D45*F45)</f>
        <v/>
      </c>
      <c r="H45" s="4">
        <f>C45+VLOOKUP(A45,Windows!$A$24:$C$30,2,FALSE)</f>
        <v/>
      </c>
      <c r="I45" s="4">
        <f>C45+VLOOKUP(A45,Windows!$A$24:$C$30,3,FALSE)</f>
        <v/>
      </c>
      <c r="J45">
        <f>I45-Windows!$B$2</f>
        <v/>
      </c>
      <c r="K45">
        <f>IF(Windows!$B$2&gt;I45,"expired",IF(Windows!$B$2&lt;H45,"not_yet_eligible",IF(J45&lt;=Windows!$B$9,"expiring","open")))</f>
        <v/>
      </c>
      <c r="L45">
        <f>VLOOKUP(A45,Windows!$A$15:$B$21,2,FALSE)</f>
        <v/>
      </c>
      <c r="M45">
        <f>IF(G45="","",G45*L45)</f>
        <v/>
      </c>
      <c r="N45" t="inlineStr">
        <is>
          <t>landed cost on file</t>
        </is>
      </c>
    </row>
    <row r="46">
      <c r="A46" t="inlineStr">
        <is>
          <t>refund_no_return</t>
        </is>
      </c>
      <c r="B46" t="inlineStr">
        <is>
          <t>TH-CARSTE-04</t>
        </is>
      </c>
      <c r="C46" s="4" t="n">
        <v>46188</v>
      </c>
      <c r="D46" t="n">
        <v>1</v>
      </c>
      <c r="E46" t="inlineStr">
        <is>
          <t>111-4001943-4629004</t>
        </is>
      </c>
      <c r="F46" t="n">
        <v>51.49</v>
      </c>
      <c r="G46">
        <f>IF(F46="","",D46*F46)</f>
        <v/>
      </c>
      <c r="H46" s="4">
        <f>C46+VLOOKUP(A46,Windows!$A$24:$C$30,2,FALSE)</f>
        <v/>
      </c>
      <c r="I46" s="4">
        <f>C46+VLOOKUP(A46,Windows!$A$24:$C$30,3,FALSE)</f>
        <v/>
      </c>
      <c r="J46">
        <f>I46-Windows!$B$2</f>
        <v/>
      </c>
      <c r="K46">
        <f>IF(Windows!$B$2&gt;I46,"expired",IF(Windows!$B$2&lt;H46,"not_yet_eligible",IF(J46&lt;=Windows!$B$9,"expiring","open")))</f>
        <v/>
      </c>
      <c r="L46">
        <f>VLOOKUP(A46,Windows!$A$15:$B$21,2,FALSE)</f>
        <v/>
      </c>
      <c r="M46">
        <f>IF(G46="","",G46*L46)</f>
        <v/>
      </c>
      <c r="N46" t="inlineStr">
        <is>
          <t>refunded amount per unit — Amazon reimburses at its determined value, so this is the ceiling</t>
        </is>
      </c>
    </row>
    <row r="47">
      <c r="A47" t="inlineStr">
        <is>
          <t>refund_no_return</t>
        </is>
      </c>
      <c r="B47" t="inlineStr">
        <is>
          <t>TH-POUOVE-18</t>
        </is>
      </c>
      <c r="C47" s="4" t="n">
        <v>46206</v>
      </c>
      <c r="D47" t="n">
        <v>1</v>
      </c>
      <c r="E47" t="inlineStr">
        <is>
          <t>111-4008775-1999468</t>
        </is>
      </c>
      <c r="F47" t="n">
        <v>44.28</v>
      </c>
      <c r="G47">
        <f>IF(F47="","",D47*F47)</f>
        <v/>
      </c>
      <c r="H47" s="4">
        <f>C47+VLOOKUP(A47,Windows!$A$24:$C$30,2,FALSE)</f>
        <v/>
      </c>
      <c r="I47" s="4">
        <f>C47+VLOOKUP(A47,Windows!$A$24:$C$30,3,FALSE)</f>
        <v/>
      </c>
      <c r="J47">
        <f>I47-Windows!$B$2</f>
        <v/>
      </c>
      <c r="K47">
        <f>IF(Windows!$B$2&gt;I47,"expired",IF(Windows!$B$2&lt;H47,"not_yet_eligible",IF(J47&lt;=Windows!$B$9,"expiring","open")))</f>
        <v/>
      </c>
      <c r="L47">
        <f>VLOOKUP(A47,Windows!$A$15:$B$21,2,FALSE)</f>
        <v/>
      </c>
      <c r="M47">
        <f>IF(G47="","",G47*L47)</f>
        <v/>
      </c>
      <c r="N47" t="inlineStr">
        <is>
          <t>refunded amount per unit — Amazon reimburses at its determined value, so this is the ceiling</t>
        </is>
      </c>
    </row>
    <row r="48">
      <c r="A48" t="inlineStr">
        <is>
          <t>refund_no_return</t>
        </is>
      </c>
      <c r="B48" t="inlineStr">
        <is>
          <t>TH-WALSER-07</t>
        </is>
      </c>
      <c r="C48" s="4" t="n">
        <v>46206</v>
      </c>
      <c r="D48" t="n">
        <v>1</v>
      </c>
      <c r="E48" t="inlineStr">
        <is>
          <t>111-4003456-9226073</t>
        </is>
      </c>
      <c r="F48" t="n">
        <v>37.82</v>
      </c>
      <c r="G48">
        <f>IF(F48="","",D48*F48)</f>
        <v/>
      </c>
      <c r="H48" s="4">
        <f>C48+VLOOKUP(A48,Windows!$A$24:$C$30,2,FALSE)</f>
        <v/>
      </c>
      <c r="I48" s="4">
        <f>C48+VLOOKUP(A48,Windows!$A$24:$C$30,3,FALSE)</f>
        <v/>
      </c>
      <c r="J48">
        <f>I48-Windows!$B$2</f>
        <v/>
      </c>
      <c r="K48">
        <f>IF(Windows!$B$2&gt;I48,"expired",IF(Windows!$B$2&lt;H48,"not_yet_eligible",IF(J48&lt;=Windows!$B$9,"expiring","open")))</f>
        <v/>
      </c>
      <c r="L48">
        <f>VLOOKUP(A48,Windows!$A$15:$B$21,2,FALSE)</f>
        <v/>
      </c>
      <c r="M48">
        <f>IF(G48="","",G48*L48)</f>
        <v/>
      </c>
      <c r="N48" t="inlineStr">
        <is>
          <t>refunded amount per unit — Amazon reimburses at its determined value, so this is the ceiling</t>
        </is>
      </c>
    </row>
    <row r="49">
      <c r="A49" t="inlineStr">
        <is>
          <t>refund_no_return</t>
        </is>
      </c>
      <c r="B49" t="inlineStr">
        <is>
          <t>TH-CASIRO-01</t>
        </is>
      </c>
      <c r="C49" s="4" t="n">
        <v>46197</v>
      </c>
      <c r="D49" t="n">
        <v>1</v>
      </c>
      <c r="E49" t="inlineStr">
        <is>
          <t>111-4000554-9214500</t>
        </is>
      </c>
      <c r="F49" t="n">
        <v>36.04</v>
      </c>
      <c r="G49">
        <f>IF(F49="","",D49*F49)</f>
        <v/>
      </c>
      <c r="H49" s="4">
        <f>C49+VLOOKUP(A49,Windows!$A$24:$C$30,2,FALSE)</f>
        <v/>
      </c>
      <c r="I49" s="4">
        <f>C49+VLOOKUP(A49,Windows!$A$24:$C$30,3,FALSE)</f>
        <v/>
      </c>
      <c r="J49">
        <f>I49-Windows!$B$2</f>
        <v/>
      </c>
      <c r="K49">
        <f>IF(Windows!$B$2&gt;I49,"expired",IF(Windows!$B$2&lt;H49,"not_yet_eligible",IF(J49&lt;=Windows!$B$9,"expiring","open")))</f>
        <v/>
      </c>
      <c r="L49">
        <f>VLOOKUP(A49,Windows!$A$15:$B$21,2,FALSE)</f>
        <v/>
      </c>
      <c r="M49">
        <f>IF(G49="","",G49*L49)</f>
        <v/>
      </c>
      <c r="N49" t="inlineStr">
        <is>
          <t>refunded amount per unit — Amazon reimburses at its determined value, so this is the ceiling</t>
        </is>
      </c>
    </row>
    <row r="50">
      <c r="A50" t="inlineStr">
        <is>
          <t>refund_no_return</t>
        </is>
      </c>
      <c r="B50" t="inlineStr">
        <is>
          <t>TH-PEPMIL-16</t>
        </is>
      </c>
      <c r="C50" s="4" t="n">
        <v>46177</v>
      </c>
      <c r="D50" t="n">
        <v>1</v>
      </c>
      <c r="E50" t="inlineStr">
        <is>
          <t>111-4007881-1390064</t>
        </is>
      </c>
      <c r="F50" t="n">
        <v>33.98</v>
      </c>
      <c r="G50">
        <f>IF(F50="","",D50*F50)</f>
        <v/>
      </c>
      <c r="H50" s="4">
        <f>C50+VLOOKUP(A50,Windows!$A$24:$C$30,2,FALSE)</f>
        <v/>
      </c>
      <c r="I50" s="4">
        <f>C50+VLOOKUP(A50,Windows!$A$24:$C$30,3,FALSE)</f>
        <v/>
      </c>
      <c r="J50">
        <f>I50-Windows!$B$2</f>
        <v/>
      </c>
      <c r="K50">
        <f>IF(Windows!$B$2&gt;I50,"expired",IF(Windows!$B$2&lt;H50,"not_yet_eligible",IF(J50&lt;=Windows!$B$9,"expiring","open")))</f>
        <v/>
      </c>
      <c r="L50">
        <f>VLOOKUP(A50,Windows!$A$15:$B$21,2,FALSE)</f>
        <v/>
      </c>
      <c r="M50">
        <f>IF(G50="","",G50*L50)</f>
        <v/>
      </c>
      <c r="N50" t="inlineStr">
        <is>
          <t>refunded amount per unit — Amazon reimburses at its determined value, so this is the ceiling</t>
        </is>
      </c>
    </row>
    <row r="51">
      <c r="A51" t="inlineStr">
        <is>
          <t>refund_no_return</t>
        </is>
      </c>
      <c r="B51" t="inlineStr">
        <is>
          <t>TH-PEPMIL-16</t>
        </is>
      </c>
      <c r="C51" s="4" t="n">
        <v>46172</v>
      </c>
      <c r="D51" t="n">
        <v>1</v>
      </c>
      <c r="E51" t="inlineStr">
        <is>
          <t>111-4007916-2698823</t>
        </is>
      </c>
      <c r="F51" t="n">
        <v>33.98</v>
      </c>
      <c r="G51">
        <f>IF(F51="","",D51*F51)</f>
        <v/>
      </c>
      <c r="H51" s="4">
        <f>C51+VLOOKUP(A51,Windows!$A$24:$C$30,2,FALSE)</f>
        <v/>
      </c>
      <c r="I51" s="4">
        <f>C51+VLOOKUP(A51,Windows!$A$24:$C$30,3,FALSE)</f>
        <v/>
      </c>
      <c r="J51">
        <f>I51-Windows!$B$2</f>
        <v/>
      </c>
      <c r="K51">
        <f>IF(Windows!$B$2&gt;I51,"expired",IF(Windows!$B$2&lt;H51,"not_yet_eligible",IF(J51&lt;=Windows!$B$9,"expiring","open")))</f>
        <v/>
      </c>
      <c r="L51">
        <f>VLOOKUP(A51,Windows!$A$15:$B$21,2,FALSE)</f>
        <v/>
      </c>
      <c r="M51">
        <f>IF(G51="","",G51*L51)</f>
        <v/>
      </c>
      <c r="N51" t="inlineStr">
        <is>
          <t>refunded amount per unit — Amazon reimburses at its determined value, so this is the ceiling</t>
        </is>
      </c>
    </row>
    <row r="52">
      <c r="A52" t="inlineStr">
        <is>
          <t>warehouse_lost</t>
        </is>
      </c>
      <c r="B52" t="inlineStr">
        <is>
          <t>TH-KNISHA-11</t>
        </is>
      </c>
      <c r="C52" s="4" t="n">
        <v>46223</v>
      </c>
      <c r="D52" t="n">
        <v>4</v>
      </c>
      <c r="F52">
        <f>IFERROR(VLOOKUP(B52,COGS!$A$2:$G$25,7,FALSE),"")</f>
        <v/>
      </c>
      <c r="G52">
        <f>IF(F52="","",D52*F52)</f>
        <v/>
      </c>
      <c r="H52" s="4">
        <f>C52+VLOOKUP(A52,Windows!$A$24:$C$30,2,FALSE)</f>
        <v/>
      </c>
      <c r="I52" s="4">
        <f>C52+VLOOKUP(A52,Windows!$A$24:$C$30,3,FALSE)</f>
        <v/>
      </c>
      <c r="J52">
        <f>I52-Windows!$B$2</f>
        <v/>
      </c>
      <c r="K52">
        <f>IF(Windows!$B$2&gt;I52,"expired",IF(Windows!$B$2&lt;H52,"not_yet_eligible",IF(J52&lt;=Windows!$B$9,"expiring","open")))</f>
        <v/>
      </c>
      <c r="L52">
        <f>VLOOKUP(A52,Windows!$A$15:$B$21,2,FALSE)</f>
        <v/>
      </c>
      <c r="M52">
        <f>IF(G52="","",G52*L52)</f>
        <v/>
      </c>
      <c r="N52" t="inlineStr">
        <is>
          <t>landed cost on file</t>
        </is>
      </c>
    </row>
    <row r="53">
      <c r="A53" t="inlineStr">
        <is>
          <t>refund_no_return</t>
        </is>
      </c>
      <c r="B53" t="inlineStr">
        <is>
          <t>TH-BAMCUT-05</t>
        </is>
      </c>
      <c r="C53" s="4" t="n">
        <v>46174</v>
      </c>
      <c r="D53" t="n">
        <v>1</v>
      </c>
      <c r="E53" t="inlineStr">
        <is>
          <t>111-4002457-7315217</t>
        </is>
      </c>
      <c r="F53" t="n">
        <v>27.15</v>
      </c>
      <c r="G53">
        <f>IF(F53="","",D53*F53)</f>
        <v/>
      </c>
      <c r="H53" s="4">
        <f>C53+VLOOKUP(A53,Windows!$A$24:$C$30,2,FALSE)</f>
        <v/>
      </c>
      <c r="I53" s="4">
        <f>C53+VLOOKUP(A53,Windows!$A$24:$C$30,3,FALSE)</f>
        <v/>
      </c>
      <c r="J53">
        <f>I53-Windows!$B$2</f>
        <v/>
      </c>
      <c r="K53">
        <f>IF(Windows!$B$2&gt;I53,"expired",IF(Windows!$B$2&lt;H53,"not_yet_eligible",IF(J53&lt;=Windows!$B$9,"expiring","open")))</f>
        <v/>
      </c>
      <c r="L53">
        <f>VLOOKUP(A53,Windows!$A$15:$B$21,2,FALSE)</f>
        <v/>
      </c>
      <c r="M53">
        <f>IF(G53="","",G53*L53)</f>
        <v/>
      </c>
      <c r="N53" t="inlineStr">
        <is>
          <t>refunded amount per unit — Amazon reimburses at its determined value, so this is the ceiling</t>
        </is>
      </c>
    </row>
    <row r="54">
      <c r="A54" t="inlineStr">
        <is>
          <t>refund_no_return</t>
        </is>
      </c>
      <c r="B54" t="inlineStr">
        <is>
          <t>TH-KNISHA-11</t>
        </is>
      </c>
      <c r="C54" s="4" t="n">
        <v>46171</v>
      </c>
      <c r="D54" t="n">
        <v>1</v>
      </c>
      <c r="E54" t="inlineStr">
        <is>
          <t>111-4005571-5972185</t>
        </is>
      </c>
      <c r="F54" t="n">
        <v>24.99</v>
      </c>
      <c r="G54">
        <f>IF(F54="","",D54*F54)</f>
        <v/>
      </c>
      <c r="H54" s="4">
        <f>C54+VLOOKUP(A54,Windows!$A$24:$C$30,2,FALSE)</f>
        <v/>
      </c>
      <c r="I54" s="4">
        <f>C54+VLOOKUP(A54,Windows!$A$24:$C$30,3,FALSE)</f>
        <v/>
      </c>
      <c r="J54">
        <f>I54-Windows!$B$2</f>
        <v/>
      </c>
      <c r="K54">
        <f>IF(Windows!$B$2&gt;I54,"expired",IF(Windows!$B$2&lt;H54,"not_yet_eligible",IF(J54&lt;=Windows!$B$9,"expiring","open")))</f>
        <v/>
      </c>
      <c r="L54">
        <f>VLOOKUP(A54,Windows!$A$15:$B$21,2,FALSE)</f>
        <v/>
      </c>
      <c r="M54">
        <f>IF(G54="","",G54*L54)</f>
        <v/>
      </c>
      <c r="N54" t="inlineStr">
        <is>
          <t>refunded amount per unit — Amazon reimburses at its determined value, so this is the ceiling</t>
        </is>
      </c>
    </row>
    <row r="55">
      <c r="A55" t="inlineStr">
        <is>
          <t>reimbursement_reversal</t>
        </is>
      </c>
      <c r="B55" t="inlineStr">
        <is>
          <t>TH-CARSTE-04</t>
        </is>
      </c>
      <c r="C55" s="4" t="n">
        <v>46254</v>
      </c>
      <c r="D55" t="n">
        <v>2</v>
      </c>
      <c r="F55" t="n">
        <v>16.1</v>
      </c>
      <c r="G55">
        <f>IF(F55="","",D55*F55)</f>
        <v/>
      </c>
      <c r="H55" s="4">
        <f>C55+VLOOKUP(A55,Windows!$A$24:$C$30,2,FALSE)</f>
        <v/>
      </c>
      <c r="I55" s="4">
        <f>C55+VLOOKUP(A55,Windows!$A$24:$C$30,3,FALSE)</f>
        <v/>
      </c>
      <c r="J55">
        <f>I55-Windows!$B$2</f>
        <v/>
      </c>
      <c r="K55">
        <f>IF(Windows!$B$2&gt;I55,"expired",IF(Windows!$B$2&lt;H55,"not_yet_eligible",IF(J55&lt;=Windows!$B$9,"expiring","open")))</f>
        <v/>
      </c>
      <c r="L55">
        <f>VLOOKUP(A55,Windows!$A$15:$B$21,2,FALSE)</f>
        <v/>
      </c>
      <c r="M55">
        <f>IF(G55="","",G55*L55)</f>
        <v/>
      </c>
      <c r="N55" t="inlineStr">
        <is>
          <t>the reversed reimbursement amount</t>
        </is>
      </c>
    </row>
    <row r="56">
      <c r="A56" t="inlineStr">
        <is>
          <t>refund_no_return</t>
        </is>
      </c>
      <c r="B56" t="inlineStr">
        <is>
          <t>TH-COFCAN-19</t>
        </is>
      </c>
      <c r="C56" s="4" t="n">
        <v>46197</v>
      </c>
      <c r="D56" t="n">
        <v>1</v>
      </c>
      <c r="E56" t="inlineStr">
        <is>
          <t>111-4009307-7052931</t>
        </is>
      </c>
      <c r="F56" t="n">
        <v>22.99</v>
      </c>
      <c r="G56">
        <f>IF(F56="","",D56*F56)</f>
        <v/>
      </c>
      <c r="H56" s="4">
        <f>C56+VLOOKUP(A56,Windows!$A$24:$C$30,2,FALSE)</f>
        <v/>
      </c>
      <c r="I56" s="4">
        <f>C56+VLOOKUP(A56,Windows!$A$24:$C$30,3,FALSE)</f>
        <v/>
      </c>
      <c r="J56">
        <f>I56-Windows!$B$2</f>
        <v/>
      </c>
      <c r="K56">
        <f>IF(Windows!$B$2&gt;I56,"expired",IF(Windows!$B$2&lt;H56,"not_yet_eligible",IF(J56&lt;=Windows!$B$9,"expiring","open")))</f>
        <v/>
      </c>
      <c r="L56">
        <f>VLOOKUP(A56,Windows!$A$15:$B$21,2,FALSE)</f>
        <v/>
      </c>
      <c r="M56">
        <f>IF(G56="","",G56*L56)</f>
        <v/>
      </c>
      <c r="N56" t="inlineStr">
        <is>
          <t>refunded amount per unit — Amazon reimburses at its determined value, so this is the ceiling</t>
        </is>
      </c>
    </row>
    <row r="57">
      <c r="A57" t="inlineStr">
        <is>
          <t>refund_no_return</t>
        </is>
      </c>
      <c r="B57" t="inlineStr">
        <is>
          <t>TH-COFCAN-19</t>
        </is>
      </c>
      <c r="C57" s="4" t="n">
        <v>46200</v>
      </c>
      <c r="D57" t="n">
        <v>1</v>
      </c>
      <c r="E57" t="inlineStr">
        <is>
          <t>111-4009338-4759944</t>
        </is>
      </c>
      <c r="F57" t="n">
        <v>22.99</v>
      </c>
      <c r="G57">
        <f>IF(F57="","",D57*F57)</f>
        <v/>
      </c>
      <c r="H57" s="4">
        <f>C57+VLOOKUP(A57,Windows!$A$24:$C$30,2,FALSE)</f>
        <v/>
      </c>
      <c r="I57" s="4">
        <f>C57+VLOOKUP(A57,Windows!$A$24:$C$30,3,FALSE)</f>
        <v/>
      </c>
      <c r="J57">
        <f>I57-Windows!$B$2</f>
        <v/>
      </c>
      <c r="K57">
        <f>IF(Windows!$B$2&gt;I57,"expired",IF(Windows!$B$2&lt;H57,"not_yet_eligible",IF(J57&lt;=Windows!$B$9,"expiring","open")))</f>
        <v/>
      </c>
      <c r="L57">
        <f>VLOOKUP(A57,Windows!$A$15:$B$21,2,FALSE)</f>
        <v/>
      </c>
      <c r="M57">
        <f>IF(G57="","",G57*L57)</f>
        <v/>
      </c>
      <c r="N57" t="inlineStr">
        <is>
          <t>refunded amount per unit — Amazon reimburses at its determined value, so this is the ceiling</t>
        </is>
      </c>
    </row>
    <row r="58">
      <c r="A58" t="inlineStr">
        <is>
          <t>refund_no_return</t>
        </is>
      </c>
      <c r="B58" t="inlineStr">
        <is>
          <t>TH-MEACUP-14</t>
        </is>
      </c>
      <c r="C58" s="4" t="n">
        <v>46196</v>
      </c>
      <c r="D58" t="n">
        <v>1</v>
      </c>
      <c r="E58" t="inlineStr">
        <is>
          <t>111-4007143-6810141</t>
        </is>
      </c>
      <c r="F58" t="n">
        <v>21.33</v>
      </c>
      <c r="G58">
        <f>IF(F58="","",D58*F58)</f>
        <v/>
      </c>
      <c r="H58" s="4">
        <f>C58+VLOOKUP(A58,Windows!$A$24:$C$30,2,FALSE)</f>
        <v/>
      </c>
      <c r="I58" s="4">
        <f>C58+VLOOKUP(A58,Windows!$A$24:$C$30,3,FALSE)</f>
        <v/>
      </c>
      <c r="J58">
        <f>I58-Windows!$B$2</f>
        <v/>
      </c>
      <c r="K58">
        <f>IF(Windows!$B$2&gt;I58,"expired",IF(Windows!$B$2&lt;H58,"not_yet_eligible",IF(J58&lt;=Windows!$B$9,"expiring","open")))</f>
        <v/>
      </c>
      <c r="L58">
        <f>VLOOKUP(A58,Windows!$A$15:$B$21,2,FALSE)</f>
        <v/>
      </c>
      <c r="M58">
        <f>IF(G58="","",G58*L58)</f>
        <v/>
      </c>
      <c r="N58" t="inlineStr">
        <is>
          <t>refunded amount per unit — Amazon reimburses at its determined value, so this is the ceiling</t>
        </is>
      </c>
    </row>
    <row r="59">
      <c r="A59" t="inlineStr">
        <is>
          <t>refund_no_return</t>
        </is>
      </c>
      <c r="B59" t="inlineStr">
        <is>
          <t>TH-OVEMIT-22</t>
        </is>
      </c>
      <c r="C59" s="4" t="n">
        <v>46196</v>
      </c>
      <c r="D59" t="n">
        <v>1</v>
      </c>
      <c r="E59" t="inlineStr">
        <is>
          <t>111-4010735-9520448</t>
        </is>
      </c>
      <c r="F59" t="n">
        <v>19.99</v>
      </c>
      <c r="G59">
        <f>IF(F59="","",D59*F59)</f>
        <v/>
      </c>
      <c r="H59" s="4">
        <f>C59+VLOOKUP(A59,Windows!$A$24:$C$30,2,FALSE)</f>
        <v/>
      </c>
      <c r="I59" s="4">
        <f>C59+VLOOKUP(A59,Windows!$A$24:$C$30,3,FALSE)</f>
        <v/>
      </c>
      <c r="J59">
        <f>I59-Windows!$B$2</f>
        <v/>
      </c>
      <c r="K59">
        <f>IF(Windows!$B$2&gt;I59,"expired",IF(Windows!$B$2&lt;H59,"not_yet_eligible",IF(J59&lt;=Windows!$B$9,"expiring","open")))</f>
        <v/>
      </c>
      <c r="L59">
        <f>VLOOKUP(A59,Windows!$A$15:$B$21,2,FALSE)</f>
        <v/>
      </c>
      <c r="M59">
        <f>IF(G59="","",G59*L59)</f>
        <v/>
      </c>
      <c r="N59" t="inlineStr">
        <is>
          <t>refunded amount per unit — Amazon reimburses at its determined value, so this is the ceiling</t>
        </is>
      </c>
    </row>
    <row r="60">
      <c r="A60" t="inlineStr">
        <is>
          <t>refund_no_return</t>
        </is>
      </c>
      <c r="B60" t="inlineStr">
        <is>
          <t>TH-OVEMIT-22</t>
        </is>
      </c>
      <c r="C60" s="4" t="n">
        <v>46180</v>
      </c>
      <c r="D60" t="n">
        <v>1</v>
      </c>
      <c r="E60" t="inlineStr">
        <is>
          <t>111-4010769-9828062</t>
        </is>
      </c>
      <c r="F60" t="n">
        <v>19.99</v>
      </c>
      <c r="G60">
        <f>IF(F60="","",D60*F60)</f>
        <v/>
      </c>
      <c r="H60" s="4">
        <f>C60+VLOOKUP(A60,Windows!$A$24:$C$30,2,FALSE)</f>
        <v/>
      </c>
      <c r="I60" s="4">
        <f>C60+VLOOKUP(A60,Windows!$A$24:$C$30,3,FALSE)</f>
        <v/>
      </c>
      <c r="J60">
        <f>I60-Windows!$B$2</f>
        <v/>
      </c>
      <c r="K60">
        <f>IF(Windows!$B$2&gt;I60,"expired",IF(Windows!$B$2&lt;H60,"not_yet_eligible",IF(J60&lt;=Windows!$B$9,"expiring","open")))</f>
        <v/>
      </c>
      <c r="L60">
        <f>VLOOKUP(A60,Windows!$A$15:$B$21,2,FALSE)</f>
        <v/>
      </c>
      <c r="M60">
        <f>IF(G60="","",G60*L60)</f>
        <v/>
      </c>
      <c r="N60" t="inlineStr">
        <is>
          <t>refunded amount per unit — Amazon reimburses at its determined value, so this is the ceiling</t>
        </is>
      </c>
    </row>
    <row r="61">
      <c r="A61" t="inlineStr">
        <is>
          <t>refund_no_return</t>
        </is>
      </c>
      <c r="B61" t="inlineStr">
        <is>
          <t>TH-BAMCUT-06</t>
        </is>
      </c>
      <c r="C61" s="4" t="n">
        <v>46168</v>
      </c>
      <c r="D61" t="n">
        <v>1</v>
      </c>
      <c r="E61" t="inlineStr">
        <is>
          <t>111-4002936-4262588</t>
        </is>
      </c>
      <c r="F61" t="n">
        <v>19.39</v>
      </c>
      <c r="G61">
        <f>IF(F61="","",D61*F61)</f>
        <v/>
      </c>
      <c r="H61" s="4">
        <f>C61+VLOOKUP(A61,Windows!$A$24:$C$30,2,FALSE)</f>
        <v/>
      </c>
      <c r="I61" s="4">
        <f>C61+VLOOKUP(A61,Windows!$A$24:$C$30,3,FALSE)</f>
        <v/>
      </c>
      <c r="J61">
        <f>I61-Windows!$B$2</f>
        <v/>
      </c>
      <c r="K61">
        <f>IF(Windows!$B$2&gt;I61,"expired",IF(Windows!$B$2&lt;H61,"not_yet_eligible",IF(J61&lt;=Windows!$B$9,"expiring","open")))</f>
        <v/>
      </c>
      <c r="L61">
        <f>VLOOKUP(A61,Windows!$A$15:$B$21,2,FALSE)</f>
        <v/>
      </c>
      <c r="M61">
        <f>IF(G61="","",G61*L61)</f>
        <v/>
      </c>
      <c r="N61" t="inlineStr">
        <is>
          <t>refunded amount per unit — Amazon reimburses at its determined value, so this is the ceiling</t>
        </is>
      </c>
    </row>
    <row r="62">
      <c r="A62" t="inlineStr">
        <is>
          <t>refund_no_return</t>
        </is>
      </c>
      <c r="B62" t="inlineStr">
        <is>
          <t>TH-BAMCUT-06</t>
        </is>
      </c>
      <c r="C62" s="4" t="n">
        <v>46190</v>
      </c>
      <c r="D62" t="n">
        <v>1</v>
      </c>
      <c r="E62" t="inlineStr">
        <is>
          <t>111-4002974-3278725</t>
        </is>
      </c>
      <c r="F62" t="n">
        <v>19.39</v>
      </c>
      <c r="G62">
        <f>IF(F62="","",D62*F62)</f>
        <v/>
      </c>
      <c r="H62" s="4">
        <f>C62+VLOOKUP(A62,Windows!$A$24:$C$30,2,FALSE)</f>
        <v/>
      </c>
      <c r="I62" s="4">
        <f>C62+VLOOKUP(A62,Windows!$A$24:$C$30,3,FALSE)</f>
        <v/>
      </c>
      <c r="J62">
        <f>I62-Windows!$B$2</f>
        <v/>
      </c>
      <c r="K62">
        <f>IF(Windows!$B$2&gt;I62,"expired",IF(Windows!$B$2&lt;H62,"not_yet_eligible",IF(J62&lt;=Windows!$B$9,"expiring","open")))</f>
        <v/>
      </c>
      <c r="L62">
        <f>VLOOKUP(A62,Windows!$A$15:$B$21,2,FALSE)</f>
        <v/>
      </c>
      <c r="M62">
        <f>IF(G62="","",G62*L62)</f>
        <v/>
      </c>
      <c r="N62" t="inlineStr">
        <is>
          <t>refunded amount per unit — Amazon reimburses at its determined value, so this is the ceiling</t>
        </is>
      </c>
    </row>
    <row r="63">
      <c r="A63" t="inlineStr">
        <is>
          <t>refund_no_return</t>
        </is>
      </c>
      <c r="B63" t="inlineStr">
        <is>
          <t>TH-TEAINF-20</t>
        </is>
      </c>
      <c r="C63" s="4" t="n">
        <v>46204</v>
      </c>
      <c r="D63" t="n">
        <v>1</v>
      </c>
      <c r="E63" t="inlineStr">
        <is>
          <t>111-4009824-6290224</t>
        </is>
      </c>
      <c r="F63" t="n">
        <v>18.53</v>
      </c>
      <c r="G63">
        <f>IF(F63="","",D63*F63)</f>
        <v/>
      </c>
      <c r="H63" s="4">
        <f>C63+VLOOKUP(A63,Windows!$A$24:$C$30,2,FALSE)</f>
        <v/>
      </c>
      <c r="I63" s="4">
        <f>C63+VLOOKUP(A63,Windows!$A$24:$C$30,3,FALSE)</f>
        <v/>
      </c>
      <c r="J63">
        <f>I63-Windows!$B$2</f>
        <v/>
      </c>
      <c r="K63">
        <f>IF(Windows!$B$2&gt;I63,"expired",IF(Windows!$B$2&lt;H63,"not_yet_eligible",IF(J63&lt;=Windows!$B$9,"expiring","open")))</f>
        <v/>
      </c>
      <c r="L63">
        <f>VLOOKUP(A63,Windows!$A$15:$B$21,2,FALSE)</f>
        <v/>
      </c>
      <c r="M63">
        <f>IF(G63="","",G63*L63)</f>
        <v/>
      </c>
      <c r="N63" t="inlineStr">
        <is>
          <t>refunded amount per unit — Amazon reimburses at its determined value, so this is the ceiling</t>
        </is>
      </c>
    </row>
    <row r="64">
      <c r="A64" t="inlineStr">
        <is>
          <t>damaged_return</t>
        </is>
      </c>
      <c r="B64" t="inlineStr">
        <is>
          <t>TH-CASIRO-02</t>
        </is>
      </c>
      <c r="C64" s="4" t="n">
        <v>46227</v>
      </c>
      <c r="D64" t="n">
        <v>1</v>
      </c>
      <c r="E64" t="inlineStr">
        <is>
          <t>111-4000777-9624660</t>
        </is>
      </c>
      <c r="F64">
        <f>IFERROR(VLOOKUP(B64,COGS!$A$2:$G$25,7,FALSE),"")</f>
        <v/>
      </c>
      <c r="G64">
        <f>IF(F64="","",D64*F64)</f>
        <v/>
      </c>
      <c r="H64" s="4">
        <f>C64+VLOOKUP(A64,Windows!$A$24:$C$30,2,FALSE)</f>
        <v/>
      </c>
      <c r="I64" s="4">
        <f>C64+VLOOKUP(A64,Windows!$A$24:$C$30,3,FALSE)</f>
        <v/>
      </c>
      <c r="J64">
        <f>I64-Windows!$B$2</f>
        <v/>
      </c>
      <c r="K64">
        <f>IF(Windows!$B$2&gt;I64,"expired",IF(Windows!$B$2&lt;H64,"not_yet_eligible",IF(J64&lt;=Windows!$B$9,"expiring","open")))</f>
        <v/>
      </c>
      <c r="L64">
        <f>VLOOKUP(A64,Windows!$A$15:$B$21,2,FALSE)</f>
        <v/>
      </c>
      <c r="M64">
        <f>IF(G64="","",G64*L64)</f>
        <v/>
      </c>
      <c r="N64" t="inlineStr">
        <is>
          <t>landed cost on file</t>
        </is>
      </c>
    </row>
    <row r="65">
      <c r="A65" t="inlineStr">
        <is>
          <t>damaged_return</t>
        </is>
      </c>
      <c r="B65" t="inlineStr">
        <is>
          <t>TH-CARSTE-04</t>
        </is>
      </c>
      <c r="C65" s="4" t="n">
        <v>46260</v>
      </c>
      <c r="D65" t="n">
        <v>1</v>
      </c>
      <c r="E65" t="inlineStr">
        <is>
          <t>111-4001862-1379626</t>
        </is>
      </c>
      <c r="F65">
        <f>IFERROR(VLOOKUP(B65,COGS!$A$2:$G$25,7,FALSE),"")</f>
        <v/>
      </c>
      <c r="G65">
        <f>IF(F65="","",D65*F65)</f>
        <v/>
      </c>
      <c r="H65" s="4">
        <f>C65+VLOOKUP(A65,Windows!$A$24:$C$30,2,FALSE)</f>
        <v/>
      </c>
      <c r="I65" s="4">
        <f>C65+VLOOKUP(A65,Windows!$A$24:$C$30,3,FALSE)</f>
        <v/>
      </c>
      <c r="J65">
        <f>I65-Windows!$B$2</f>
        <v/>
      </c>
      <c r="K65">
        <f>IF(Windows!$B$2&gt;I65,"expired",IF(Windows!$B$2&lt;H65,"not_yet_eligible",IF(J65&lt;=Windows!$B$9,"expiring","open")))</f>
        <v/>
      </c>
      <c r="L65">
        <f>VLOOKUP(A65,Windows!$A$15:$B$21,2,FALSE)</f>
        <v/>
      </c>
      <c r="M65">
        <f>IF(G65="","",G65*L65)</f>
        <v/>
      </c>
      <c r="N65" t="inlineStr">
        <is>
          <t>landed cost on file</t>
        </is>
      </c>
    </row>
    <row r="66">
      <c r="A66" t="inlineStr">
        <is>
          <t>damaged_return</t>
        </is>
      </c>
      <c r="B66" t="inlineStr">
        <is>
          <t>TH-CARSTE-04</t>
        </is>
      </c>
      <c r="C66" s="4" t="n">
        <v>46255</v>
      </c>
      <c r="D66" t="n">
        <v>1</v>
      </c>
      <c r="E66" t="inlineStr">
        <is>
          <t>111-4001893-6364951</t>
        </is>
      </c>
      <c r="F66">
        <f>IFERROR(VLOOKUP(B66,COGS!$A$2:$G$25,7,FALSE),"")</f>
        <v/>
      </c>
      <c r="G66">
        <f>IF(F66="","",D66*F66)</f>
        <v/>
      </c>
      <c r="H66" s="4">
        <f>C66+VLOOKUP(A66,Windows!$A$24:$C$30,2,FALSE)</f>
        <v/>
      </c>
      <c r="I66" s="4">
        <f>C66+VLOOKUP(A66,Windows!$A$24:$C$30,3,FALSE)</f>
        <v/>
      </c>
      <c r="J66">
        <f>I66-Windows!$B$2</f>
        <v/>
      </c>
      <c r="K66">
        <f>IF(Windows!$B$2&gt;I66,"expired",IF(Windows!$B$2&lt;H66,"not_yet_eligible",IF(J66&lt;=Windows!$B$9,"expiring","open")))</f>
        <v/>
      </c>
      <c r="L66">
        <f>VLOOKUP(A66,Windows!$A$15:$B$21,2,FALSE)</f>
        <v/>
      </c>
      <c r="M66">
        <f>IF(G66="","",G66*L66)</f>
        <v/>
      </c>
      <c r="N66" t="inlineStr">
        <is>
          <t>landed cost on file</t>
        </is>
      </c>
    </row>
    <row r="67">
      <c r="A67" t="inlineStr">
        <is>
          <t>refund_no_return</t>
        </is>
      </c>
      <c r="B67" t="inlineStr">
        <is>
          <t>TH-TRICOR-23</t>
        </is>
      </c>
      <c r="C67" s="4" t="n">
        <v>46199</v>
      </c>
      <c r="D67" t="n">
        <v>1</v>
      </c>
      <c r="E67" t="inlineStr">
        <is>
          <t>111-4011243-8461978</t>
        </is>
      </c>
      <c r="F67" t="n">
        <v>12.6</v>
      </c>
      <c r="G67">
        <f>IF(F67="","",D67*F67)</f>
        <v/>
      </c>
      <c r="H67" s="4">
        <f>C67+VLOOKUP(A67,Windows!$A$24:$C$30,2,FALSE)</f>
        <v/>
      </c>
      <c r="I67" s="4">
        <f>C67+VLOOKUP(A67,Windows!$A$24:$C$30,3,FALSE)</f>
        <v/>
      </c>
      <c r="J67">
        <f>I67-Windows!$B$2</f>
        <v/>
      </c>
      <c r="K67">
        <f>IF(Windows!$B$2&gt;I67,"expired",IF(Windows!$B$2&lt;H67,"not_yet_eligible",IF(J67&lt;=Windows!$B$9,"expiring","open")))</f>
        <v/>
      </c>
      <c r="L67">
        <f>VLOOKUP(A67,Windows!$A$15:$B$21,2,FALSE)</f>
        <v/>
      </c>
      <c r="M67">
        <f>IF(G67="","",G67*L67)</f>
        <v/>
      </c>
      <c r="N67" t="inlineStr">
        <is>
          <t>refunded amount per unit — Amazon reimburses at its determined value, so this is the ceiling</t>
        </is>
      </c>
    </row>
    <row r="68">
      <c r="A68" t="inlineStr">
        <is>
          <t>refund_no_return</t>
        </is>
      </c>
      <c r="B68" t="inlineStr">
        <is>
          <t>TH-TRICOR-23</t>
        </is>
      </c>
      <c r="C68" s="4" t="n">
        <v>46166</v>
      </c>
      <c r="D68" t="n">
        <v>1</v>
      </c>
      <c r="E68" t="inlineStr">
        <is>
          <t>111-4011334-2057147</t>
        </is>
      </c>
      <c r="F68" t="n">
        <v>12.6</v>
      </c>
      <c r="G68">
        <f>IF(F68="","",D68*F68)</f>
        <v/>
      </c>
      <c r="H68" s="4">
        <f>C68+VLOOKUP(A68,Windows!$A$24:$C$30,2,FALSE)</f>
        <v/>
      </c>
      <c r="I68" s="4">
        <f>C68+VLOOKUP(A68,Windows!$A$24:$C$30,3,FALSE)</f>
        <v/>
      </c>
      <c r="J68">
        <f>I68-Windows!$B$2</f>
        <v/>
      </c>
      <c r="K68">
        <f>IF(Windows!$B$2&gt;I68,"expired",IF(Windows!$B$2&lt;H68,"not_yet_eligible",IF(J68&lt;=Windows!$B$9,"expiring","open")))</f>
        <v/>
      </c>
      <c r="L68">
        <f>VLOOKUP(A68,Windows!$A$15:$B$21,2,FALSE)</f>
        <v/>
      </c>
      <c r="M68">
        <f>IF(G68="","",G68*L68)</f>
        <v/>
      </c>
      <c r="N68" t="inlineStr">
        <is>
          <t>refunded amount per unit — Amazon reimburses at its determined value, so this is the ceiling</t>
        </is>
      </c>
    </row>
    <row r="69">
      <c r="A69" t="inlineStr">
        <is>
          <t>damaged_return</t>
        </is>
      </c>
      <c r="B69" t="inlineStr">
        <is>
          <t>TH-KNISHA-11</t>
        </is>
      </c>
      <c r="C69" s="4" t="n">
        <v>46254</v>
      </c>
      <c r="D69" t="n">
        <v>1</v>
      </c>
      <c r="E69" t="inlineStr">
        <is>
          <t>111-4005459-9197180</t>
        </is>
      </c>
      <c r="F69">
        <f>IFERROR(VLOOKUP(B69,COGS!$A$2:$G$25,7,FALSE),"")</f>
        <v/>
      </c>
      <c r="G69">
        <f>IF(F69="","",D69*F69)</f>
        <v/>
      </c>
      <c r="H69" s="4">
        <f>C69+VLOOKUP(A69,Windows!$A$24:$C$30,2,FALSE)</f>
        <v/>
      </c>
      <c r="I69" s="4">
        <f>C69+VLOOKUP(A69,Windows!$A$24:$C$30,3,FALSE)</f>
        <v/>
      </c>
      <c r="J69">
        <f>I69-Windows!$B$2</f>
        <v/>
      </c>
      <c r="K69">
        <f>IF(Windows!$B$2&gt;I69,"expired",IF(Windows!$B$2&lt;H69,"not_yet_eligible",IF(J69&lt;=Windows!$B$9,"expiring","open")))</f>
        <v/>
      </c>
      <c r="L69">
        <f>VLOOKUP(A69,Windows!$A$15:$B$21,2,FALSE)</f>
        <v/>
      </c>
      <c r="M69">
        <f>IF(G69="","",G69*L69)</f>
        <v/>
      </c>
      <c r="N69" t="inlineStr">
        <is>
          <t>landed cost on file</t>
        </is>
      </c>
    </row>
    <row r="70">
      <c r="A70" t="inlineStr">
        <is>
          <t>damaged_return</t>
        </is>
      </c>
      <c r="B70" t="inlineStr">
        <is>
          <t>TH-COFCAN-19</t>
        </is>
      </c>
      <c r="C70" s="4" t="n">
        <v>46263</v>
      </c>
      <c r="D70" t="n">
        <v>1</v>
      </c>
      <c r="E70" t="inlineStr">
        <is>
          <t>111-4009157-6843329</t>
        </is>
      </c>
      <c r="F70">
        <f>IFERROR(VLOOKUP(B70,COGS!$A$2:$G$25,7,FALSE),"")</f>
        <v/>
      </c>
      <c r="G70">
        <f>IF(F70="","",D70*F70)</f>
        <v/>
      </c>
      <c r="H70" s="4">
        <f>C70+VLOOKUP(A70,Windows!$A$24:$C$30,2,FALSE)</f>
        <v/>
      </c>
      <c r="I70" s="4">
        <f>C70+VLOOKUP(A70,Windows!$A$24:$C$30,3,FALSE)</f>
        <v/>
      </c>
      <c r="J70">
        <f>I70-Windows!$B$2</f>
        <v/>
      </c>
      <c r="K70">
        <f>IF(Windows!$B$2&gt;I70,"expired",IF(Windows!$B$2&lt;H70,"not_yet_eligible",IF(J70&lt;=Windows!$B$9,"expiring","open")))</f>
        <v/>
      </c>
      <c r="L70">
        <f>VLOOKUP(A70,Windows!$A$15:$B$21,2,FALSE)</f>
        <v/>
      </c>
      <c r="M70">
        <f>IF(G70="","",G70*L70)</f>
        <v/>
      </c>
      <c r="N70" t="inlineStr">
        <is>
          <t>landed cost on file</t>
        </is>
      </c>
    </row>
    <row r="71">
      <c r="A71" t="inlineStr">
        <is>
          <t>damaged_return</t>
        </is>
      </c>
      <c r="B71" t="inlineStr">
        <is>
          <t>TH-MEACUP-14</t>
        </is>
      </c>
      <c r="C71" s="4" t="n">
        <v>46233</v>
      </c>
      <c r="D71" t="n">
        <v>1</v>
      </c>
      <c r="E71" t="inlineStr">
        <is>
          <t>111-4006803-1795361</t>
        </is>
      </c>
      <c r="F71">
        <f>IFERROR(VLOOKUP(B71,COGS!$A$2:$G$25,7,FALSE),"")</f>
        <v/>
      </c>
      <c r="G71">
        <f>IF(F71="","",D71*F71)</f>
        <v/>
      </c>
      <c r="H71" s="4">
        <f>C71+VLOOKUP(A71,Windows!$A$24:$C$30,2,FALSE)</f>
        <v/>
      </c>
      <c r="I71" s="4">
        <f>C71+VLOOKUP(A71,Windows!$A$24:$C$30,3,FALSE)</f>
        <v/>
      </c>
      <c r="J71">
        <f>I71-Windows!$B$2</f>
        <v/>
      </c>
      <c r="K71">
        <f>IF(Windows!$B$2&gt;I71,"expired",IF(Windows!$B$2&lt;H71,"not_yet_eligible",IF(J71&lt;=Windows!$B$9,"expiring","open")))</f>
        <v/>
      </c>
      <c r="L71">
        <f>VLOOKUP(A71,Windows!$A$15:$B$21,2,FALSE)</f>
        <v/>
      </c>
      <c r="M71">
        <f>IF(G71="","",G71*L71)</f>
        <v/>
      </c>
      <c r="N71" t="inlineStr">
        <is>
          <t>landed cost on file</t>
        </is>
      </c>
    </row>
    <row r="72">
      <c r="A72" t="inlineStr">
        <is>
          <t>damaged_return</t>
        </is>
      </c>
      <c r="B72" t="inlineStr">
        <is>
          <t>TH-MEACUP-14</t>
        </is>
      </c>
      <c r="C72" s="4" t="n">
        <v>46253</v>
      </c>
      <c r="D72" t="n">
        <v>1</v>
      </c>
      <c r="E72" t="inlineStr">
        <is>
          <t>111-4007087-1150864</t>
        </is>
      </c>
      <c r="F72">
        <f>IFERROR(VLOOKUP(B72,COGS!$A$2:$G$25,7,FALSE),"")</f>
        <v/>
      </c>
      <c r="G72">
        <f>IF(F72="","",D72*F72)</f>
        <v/>
      </c>
      <c r="H72" s="4">
        <f>C72+VLOOKUP(A72,Windows!$A$24:$C$30,2,FALSE)</f>
        <v/>
      </c>
      <c r="I72" s="4">
        <f>C72+VLOOKUP(A72,Windows!$A$24:$C$30,3,FALSE)</f>
        <v/>
      </c>
      <c r="J72">
        <f>I72-Windows!$B$2</f>
        <v/>
      </c>
      <c r="K72">
        <f>IF(Windows!$B$2&gt;I72,"expired",IF(Windows!$B$2&lt;H72,"not_yet_eligible",IF(J72&lt;=Windows!$B$9,"expiring","open")))</f>
        <v/>
      </c>
      <c r="L72">
        <f>VLOOKUP(A72,Windows!$A$15:$B$21,2,FALSE)</f>
        <v/>
      </c>
      <c r="M72">
        <f>IF(G72="","",G72*L72)</f>
        <v/>
      </c>
      <c r="N72" t="inlineStr">
        <is>
          <t>landed cost on file</t>
        </is>
      </c>
    </row>
    <row r="73">
      <c r="A73" t="inlineStr">
        <is>
          <t>damaged_return</t>
        </is>
      </c>
      <c r="B73" t="inlineStr">
        <is>
          <t>TH-OVEMIT-22</t>
        </is>
      </c>
      <c r="C73" s="4" t="n">
        <v>46258</v>
      </c>
      <c r="D73" t="n">
        <v>1</v>
      </c>
      <c r="E73" t="inlineStr">
        <is>
          <t>111-4010633-4509044</t>
        </is>
      </c>
      <c r="F73">
        <f>IFERROR(VLOOKUP(B73,COGS!$A$2:$G$25,7,FALSE),"")</f>
        <v/>
      </c>
      <c r="G73">
        <f>IF(F73="","",D73*F73)</f>
        <v/>
      </c>
      <c r="H73" s="4">
        <f>C73+VLOOKUP(A73,Windows!$A$24:$C$30,2,FALSE)</f>
        <v/>
      </c>
      <c r="I73" s="4">
        <f>C73+VLOOKUP(A73,Windows!$A$24:$C$30,3,FALSE)</f>
        <v/>
      </c>
      <c r="J73">
        <f>I73-Windows!$B$2</f>
        <v/>
      </c>
      <c r="K73">
        <f>IF(Windows!$B$2&gt;I73,"expired",IF(Windows!$B$2&lt;H73,"not_yet_eligible",IF(J73&lt;=Windows!$B$9,"expiring","open")))</f>
        <v/>
      </c>
      <c r="L73">
        <f>VLOOKUP(A73,Windows!$A$15:$B$21,2,FALSE)</f>
        <v/>
      </c>
      <c r="M73">
        <f>IF(G73="","",G73*L73)</f>
        <v/>
      </c>
      <c r="N73" t="inlineStr">
        <is>
          <t>landed cost on file</t>
        </is>
      </c>
    </row>
    <row r="74">
      <c r="A74" t="inlineStr">
        <is>
          <t>warehouse_damaged</t>
        </is>
      </c>
      <c r="B74" t="inlineStr">
        <is>
          <t>TH-ENADUT-03</t>
        </is>
      </c>
      <c r="C74" s="4" t="n">
        <v>46254</v>
      </c>
      <c r="D74" t="n">
        <v>10</v>
      </c>
      <c r="F74">
        <f>IFERROR(VLOOKUP(B74,COGS!$A$2:$G$25,7,FALSE),"")</f>
        <v/>
      </c>
      <c r="G74">
        <f>IF(F74="","",D74*F74)</f>
        <v/>
      </c>
      <c r="H74" s="4">
        <f>C74+VLOOKUP(A74,Windows!$A$24:$C$30,2,FALSE)</f>
        <v/>
      </c>
      <c r="I74" s="4">
        <f>C74+VLOOKUP(A74,Windows!$A$24:$C$30,3,FALSE)</f>
        <v/>
      </c>
      <c r="J74">
        <f>I74-Windows!$B$2</f>
        <v/>
      </c>
      <c r="K74">
        <f>IF(Windows!$B$2&gt;I74,"expired",IF(Windows!$B$2&lt;H74,"not_yet_eligible",IF(J74&lt;=Windows!$B$9,"expiring","open")))</f>
        <v/>
      </c>
      <c r="L74">
        <f>VLOOKUP(A74,Windows!$A$15:$B$21,2,FALSE)</f>
        <v/>
      </c>
      <c r="M74">
        <f>IF(G74="","",G74*L74)</f>
        <v/>
      </c>
      <c r="N74" t="inlineStr">
        <is>
          <t>landed cost on file</t>
        </is>
      </c>
    </row>
    <row r="75">
      <c r="A75" t="inlineStr">
        <is>
          <t>warehouse_damaged</t>
        </is>
      </c>
      <c r="B75" t="inlineStr">
        <is>
          <t>TH-CASIRO-02</t>
        </is>
      </c>
      <c r="C75" s="4" t="n">
        <v>46250</v>
      </c>
      <c r="D75" t="n">
        <v>11</v>
      </c>
      <c r="F75">
        <f>IFERROR(VLOOKUP(B75,COGS!$A$2:$G$25,7,FALSE),"")</f>
        <v/>
      </c>
      <c r="G75">
        <f>IF(F75="","",D75*F75)</f>
        <v/>
      </c>
      <c r="H75" s="4">
        <f>C75+VLOOKUP(A75,Windows!$A$24:$C$30,2,FALSE)</f>
        <v/>
      </c>
      <c r="I75" s="4">
        <f>C75+VLOOKUP(A75,Windows!$A$24:$C$30,3,FALSE)</f>
        <v/>
      </c>
      <c r="J75">
        <f>I75-Windows!$B$2</f>
        <v/>
      </c>
      <c r="K75">
        <f>IF(Windows!$B$2&gt;I75,"expired",IF(Windows!$B$2&lt;H75,"not_yet_eligible",IF(J75&lt;=Windows!$B$9,"expiring","open")))</f>
        <v/>
      </c>
      <c r="L75">
        <f>VLOOKUP(A75,Windows!$A$15:$B$21,2,FALSE)</f>
        <v/>
      </c>
      <c r="M75">
        <f>IF(G75="","",G75*L75)</f>
        <v/>
      </c>
      <c r="N75" t="inlineStr">
        <is>
          <t>landed cost on file</t>
        </is>
      </c>
    </row>
    <row r="76">
      <c r="A76" t="inlineStr">
        <is>
          <t>warehouse_damaged</t>
        </is>
      </c>
      <c r="B76" t="inlineStr">
        <is>
          <t>TH-CHEKNI-08</t>
        </is>
      </c>
      <c r="C76" s="4" t="n">
        <v>46245</v>
      </c>
      <c r="D76" t="n">
        <v>7</v>
      </c>
      <c r="F76">
        <f>IFERROR(VLOOKUP(B76,COGS!$A$2:$G$25,7,FALSE),"")</f>
        <v/>
      </c>
      <c r="G76">
        <f>IF(F76="","",D76*F76)</f>
        <v/>
      </c>
      <c r="H76" s="4">
        <f>C76+VLOOKUP(A76,Windows!$A$24:$C$30,2,FALSE)</f>
        <v/>
      </c>
      <c r="I76" s="4">
        <f>C76+VLOOKUP(A76,Windows!$A$24:$C$30,3,FALSE)</f>
        <v/>
      </c>
      <c r="J76">
        <f>I76-Windows!$B$2</f>
        <v/>
      </c>
      <c r="K76">
        <f>IF(Windows!$B$2&gt;I76,"expired",IF(Windows!$B$2&lt;H76,"not_yet_eligible",IF(J76&lt;=Windows!$B$9,"expiring","open")))</f>
        <v/>
      </c>
      <c r="L76">
        <f>VLOOKUP(A76,Windows!$A$15:$B$21,2,FALSE)</f>
        <v/>
      </c>
      <c r="M76">
        <f>IF(G76="","",G76*L76)</f>
        <v/>
      </c>
      <c r="N76" t="inlineStr">
        <is>
          <t>landed cost on file</t>
        </is>
      </c>
    </row>
    <row r="77">
      <c r="A77" t="inlineStr">
        <is>
          <t>warehouse_damaged</t>
        </is>
      </c>
      <c r="B77" t="inlineStr">
        <is>
          <t>TH-PEPMIL-16</t>
        </is>
      </c>
      <c r="C77" s="4" t="n">
        <v>46254</v>
      </c>
      <c r="D77" t="n">
        <v>10</v>
      </c>
      <c r="F77">
        <f>IFERROR(VLOOKUP(B77,COGS!$A$2:$G$25,7,FALSE),"")</f>
        <v/>
      </c>
      <c r="G77">
        <f>IF(F77="","",D77*F77)</f>
        <v/>
      </c>
      <c r="H77" s="4">
        <f>C77+VLOOKUP(A77,Windows!$A$24:$C$30,2,FALSE)</f>
        <v/>
      </c>
      <c r="I77" s="4">
        <f>C77+VLOOKUP(A77,Windows!$A$24:$C$30,3,FALSE)</f>
        <v/>
      </c>
      <c r="J77">
        <f>I77-Windows!$B$2</f>
        <v/>
      </c>
      <c r="K77">
        <f>IF(Windows!$B$2&gt;I77,"expired",IF(Windows!$B$2&lt;H77,"not_yet_eligible",IF(J77&lt;=Windows!$B$9,"expiring","open")))</f>
        <v/>
      </c>
      <c r="L77">
        <f>VLOOKUP(A77,Windows!$A$15:$B$21,2,FALSE)</f>
        <v/>
      </c>
      <c r="M77">
        <f>IF(G77="","",G77*L77)</f>
        <v/>
      </c>
      <c r="N77" t="inlineStr">
        <is>
          <t>landed cost on file</t>
        </is>
      </c>
    </row>
    <row r="78">
      <c r="A78" t="inlineStr">
        <is>
          <t>warehouse_damaged</t>
        </is>
      </c>
      <c r="B78" t="inlineStr">
        <is>
          <t>TH-WALSER-07</t>
        </is>
      </c>
      <c r="C78" s="4" t="n">
        <v>46249</v>
      </c>
      <c r="D78" t="n">
        <v>7</v>
      </c>
      <c r="F78">
        <f>IFERROR(VLOOKUP(B78,COGS!$A$2:$G$25,7,FALSE),"")</f>
        <v/>
      </c>
      <c r="G78">
        <f>IF(F78="","",D78*F78)</f>
        <v/>
      </c>
      <c r="H78" s="4">
        <f>C78+VLOOKUP(A78,Windows!$A$24:$C$30,2,FALSE)</f>
        <v/>
      </c>
      <c r="I78" s="4">
        <f>C78+VLOOKUP(A78,Windows!$A$24:$C$30,3,FALSE)</f>
        <v/>
      </c>
      <c r="J78">
        <f>I78-Windows!$B$2</f>
        <v/>
      </c>
      <c r="K78">
        <f>IF(Windows!$B$2&gt;I78,"expired",IF(Windows!$B$2&lt;H78,"not_yet_eligible",IF(J78&lt;=Windows!$B$9,"expiring","open")))</f>
        <v/>
      </c>
      <c r="L78">
        <f>VLOOKUP(A78,Windows!$A$15:$B$21,2,FALSE)</f>
        <v/>
      </c>
      <c r="M78">
        <f>IF(G78="","",G78*L78)</f>
        <v/>
      </c>
      <c r="N78" t="inlineStr">
        <is>
          <t>landed cost on file</t>
        </is>
      </c>
    </row>
    <row r="79">
      <c r="A79" t="inlineStr">
        <is>
          <t>warehouse_damaged</t>
        </is>
      </c>
      <c r="B79" t="inlineStr">
        <is>
          <t>TH-BAMCUT-05</t>
        </is>
      </c>
      <c r="C79" s="4" t="n">
        <v>46247</v>
      </c>
      <c r="D79" t="n">
        <v>11</v>
      </c>
      <c r="F79">
        <f>IFERROR(VLOOKUP(B79,COGS!$A$2:$G$25,7,FALSE),"")</f>
        <v/>
      </c>
      <c r="G79">
        <f>IF(F79="","",D79*F79)</f>
        <v/>
      </c>
      <c r="H79" s="4">
        <f>C79+VLOOKUP(A79,Windows!$A$24:$C$30,2,FALSE)</f>
        <v/>
      </c>
      <c r="I79" s="4">
        <f>C79+VLOOKUP(A79,Windows!$A$24:$C$30,3,FALSE)</f>
        <v/>
      </c>
      <c r="J79">
        <f>I79-Windows!$B$2</f>
        <v/>
      </c>
      <c r="K79">
        <f>IF(Windows!$B$2&gt;I79,"expired",IF(Windows!$B$2&lt;H79,"not_yet_eligible",IF(J79&lt;=Windows!$B$9,"expiring","open")))</f>
        <v/>
      </c>
      <c r="L79">
        <f>VLOOKUP(A79,Windows!$A$15:$B$21,2,FALSE)</f>
        <v/>
      </c>
      <c r="M79">
        <f>IF(G79="","",G79*L79)</f>
        <v/>
      </c>
      <c r="N79" t="inlineStr">
        <is>
          <t>landed cost on file</t>
        </is>
      </c>
    </row>
    <row r="80">
      <c r="A80" t="inlineStr">
        <is>
          <t>warehouse_damaged</t>
        </is>
      </c>
      <c r="B80" t="inlineStr">
        <is>
          <t>TH-POUOVE-18</t>
        </is>
      </c>
      <c r="C80" s="4" t="n">
        <v>46249</v>
      </c>
      <c r="D80" t="n">
        <v>4</v>
      </c>
      <c r="F80">
        <f>IFERROR(VLOOKUP(B80,COGS!$A$2:$G$25,7,FALSE),"")</f>
        <v/>
      </c>
      <c r="G80">
        <f>IF(F80="","",D80*F80)</f>
        <v/>
      </c>
      <c r="H80" s="4">
        <f>C80+VLOOKUP(A80,Windows!$A$24:$C$30,2,FALSE)</f>
        <v/>
      </c>
      <c r="I80" s="4">
        <f>C80+VLOOKUP(A80,Windows!$A$24:$C$30,3,FALSE)</f>
        <v/>
      </c>
      <c r="J80">
        <f>I80-Windows!$B$2</f>
        <v/>
      </c>
      <c r="K80">
        <f>IF(Windows!$B$2&gt;I80,"expired",IF(Windows!$B$2&lt;H80,"not_yet_eligible",IF(J80&lt;=Windows!$B$9,"expiring","open")))</f>
        <v/>
      </c>
      <c r="L80">
        <f>VLOOKUP(A80,Windows!$A$15:$B$21,2,FALSE)</f>
        <v/>
      </c>
      <c r="M80">
        <f>IF(G80="","",G80*L80)</f>
        <v/>
      </c>
      <c r="N80" t="inlineStr">
        <is>
          <t>landed cost on file</t>
        </is>
      </c>
    </row>
    <row r="81">
      <c r="A81" t="inlineStr">
        <is>
          <t>warehouse_damaged</t>
        </is>
      </c>
      <c r="B81" t="inlineStr">
        <is>
          <t>TH-APRWAX-21</t>
        </is>
      </c>
      <c r="C81" s="4" t="n">
        <v>46243</v>
      </c>
      <c r="D81" t="n">
        <v>5</v>
      </c>
      <c r="F81">
        <f>IFERROR(VLOOKUP(B81,COGS!$A$2:$G$25,7,FALSE),"")</f>
        <v/>
      </c>
      <c r="G81">
        <f>IF(F81="","",D81*F81)</f>
        <v/>
      </c>
      <c r="H81" s="4">
        <f>C81+VLOOKUP(A81,Windows!$A$24:$C$30,2,FALSE)</f>
        <v/>
      </c>
      <c r="I81" s="4">
        <f>C81+VLOOKUP(A81,Windows!$A$24:$C$30,3,FALSE)</f>
        <v/>
      </c>
      <c r="J81">
        <f>I81-Windows!$B$2</f>
        <v/>
      </c>
      <c r="K81">
        <f>IF(Windows!$B$2&gt;I81,"expired",IF(Windows!$B$2&lt;H81,"not_yet_eligible",IF(J81&lt;=Windows!$B$9,"expiring","open")))</f>
        <v/>
      </c>
      <c r="L81">
        <f>VLOOKUP(A81,Windows!$A$15:$B$21,2,FALSE)</f>
        <v/>
      </c>
      <c r="M81">
        <f>IF(G81="","",G81*L81)</f>
        <v/>
      </c>
      <c r="N81" t="inlineStr">
        <is>
          <t>landed cost on file</t>
        </is>
      </c>
    </row>
    <row r="82">
      <c r="A82" t="inlineStr">
        <is>
          <t>warehouse_damaged</t>
        </is>
      </c>
      <c r="B82" t="inlineStr">
        <is>
          <t>TH-STAMIX-12</t>
        </is>
      </c>
      <c r="C82" s="4" t="n">
        <v>46241</v>
      </c>
      <c r="D82" t="n">
        <v>4</v>
      </c>
      <c r="F82">
        <f>IFERROR(VLOOKUP(B82,COGS!$A$2:$G$25,7,FALSE),"")</f>
        <v/>
      </c>
      <c r="G82">
        <f>IF(F82="","",D82*F82)</f>
        <v/>
      </c>
      <c r="H82" s="4">
        <f>C82+VLOOKUP(A82,Windows!$A$24:$C$30,2,FALSE)</f>
        <v/>
      </c>
      <c r="I82" s="4">
        <f>C82+VLOOKUP(A82,Windows!$A$24:$C$30,3,FALSE)</f>
        <v/>
      </c>
      <c r="J82">
        <f>I82-Windows!$B$2</f>
        <v/>
      </c>
      <c r="K82">
        <f>IF(Windows!$B$2&gt;I82,"expired",IF(Windows!$B$2&lt;H82,"not_yet_eligible",IF(J82&lt;=Windows!$B$9,"expiring","open")))</f>
        <v/>
      </c>
      <c r="L82">
        <f>VLOOKUP(A82,Windows!$A$15:$B$21,2,FALSE)</f>
        <v/>
      </c>
      <c r="M82">
        <f>IF(G82="","",G82*L82)</f>
        <v/>
      </c>
      <c r="N82" t="inlineStr">
        <is>
          <t>landed cost on file</t>
        </is>
      </c>
    </row>
    <row r="83">
      <c r="A83" t="inlineStr">
        <is>
          <t>warehouse_damaged</t>
        </is>
      </c>
      <c r="B83" t="inlineStr">
        <is>
          <t>TH-SALCEL-15</t>
        </is>
      </c>
      <c r="C83" s="4" t="n">
        <v>46252</v>
      </c>
      <c r="D83" t="n">
        <v>10</v>
      </c>
      <c r="F83">
        <f>IFERROR(VLOOKUP(B83,COGS!$A$2:$G$25,7,FALSE),"")</f>
        <v/>
      </c>
      <c r="G83">
        <f>IF(F83="","",D83*F83)</f>
        <v/>
      </c>
      <c r="H83" s="4">
        <f>C83+VLOOKUP(A83,Windows!$A$24:$C$30,2,FALSE)</f>
        <v/>
      </c>
      <c r="I83" s="4">
        <f>C83+VLOOKUP(A83,Windows!$A$24:$C$30,3,FALSE)</f>
        <v/>
      </c>
      <c r="J83">
        <f>I83-Windows!$B$2</f>
        <v/>
      </c>
      <c r="K83">
        <f>IF(Windows!$B$2&gt;I83,"expired",IF(Windows!$B$2&lt;H83,"not_yet_eligible",IF(J83&lt;=Windows!$B$9,"expiring","open")))</f>
        <v/>
      </c>
      <c r="L83">
        <f>VLOOKUP(A83,Windows!$A$15:$B$21,2,FALSE)</f>
        <v/>
      </c>
      <c r="M83">
        <f>IF(G83="","",G83*L83)</f>
        <v/>
      </c>
      <c r="N83" t="inlineStr">
        <is>
          <t>landed cost on file</t>
        </is>
      </c>
    </row>
    <row r="84">
      <c r="A84" t="inlineStr">
        <is>
          <t>warehouse_damaged</t>
        </is>
      </c>
      <c r="B84" t="inlineStr">
        <is>
          <t>TH-KNISHA-11</t>
        </is>
      </c>
      <c r="C84" s="4" t="n">
        <v>46248</v>
      </c>
      <c r="D84" t="n">
        <v>6</v>
      </c>
      <c r="F84">
        <f>IFERROR(VLOOKUP(B84,COGS!$A$2:$G$25,7,FALSE),"")</f>
        <v/>
      </c>
      <c r="G84">
        <f>IF(F84="","",D84*F84)</f>
        <v/>
      </c>
      <c r="H84" s="4">
        <f>C84+VLOOKUP(A84,Windows!$A$24:$C$30,2,FALSE)</f>
        <v/>
      </c>
      <c r="I84" s="4">
        <f>C84+VLOOKUP(A84,Windows!$A$24:$C$30,3,FALSE)</f>
        <v/>
      </c>
      <c r="J84">
        <f>I84-Windows!$B$2</f>
        <v/>
      </c>
      <c r="K84">
        <f>IF(Windows!$B$2&gt;I84,"expired",IF(Windows!$B$2&lt;H84,"not_yet_eligible",IF(J84&lt;=Windows!$B$9,"expiring","open")))</f>
        <v/>
      </c>
      <c r="L84">
        <f>VLOOKUP(A84,Windows!$A$15:$B$21,2,FALSE)</f>
        <v/>
      </c>
      <c r="M84">
        <f>IF(G84="","",G84*L84)</f>
        <v/>
      </c>
      <c r="N84" t="inlineStr">
        <is>
          <t>landed cost on file</t>
        </is>
      </c>
    </row>
    <row r="85">
      <c r="A85" t="inlineStr">
        <is>
          <t>warehouse_damaged</t>
        </is>
      </c>
      <c r="B85" t="inlineStr">
        <is>
          <t>TH-OVEMIT-22</t>
        </is>
      </c>
      <c r="C85" s="4" t="n">
        <v>46240</v>
      </c>
      <c r="D85" t="n">
        <v>8</v>
      </c>
      <c r="F85">
        <f>IFERROR(VLOOKUP(B85,COGS!$A$2:$G$25,7,FALSE),"")</f>
        <v/>
      </c>
      <c r="G85">
        <f>IF(F85="","",D85*F85)</f>
        <v/>
      </c>
      <c r="H85" s="4">
        <f>C85+VLOOKUP(A85,Windows!$A$24:$C$30,2,FALSE)</f>
        <v/>
      </c>
      <c r="I85" s="4">
        <f>C85+VLOOKUP(A85,Windows!$A$24:$C$30,3,FALSE)</f>
        <v/>
      </c>
      <c r="J85">
        <f>I85-Windows!$B$2</f>
        <v/>
      </c>
      <c r="K85">
        <f>IF(Windows!$B$2&gt;I85,"expired",IF(Windows!$B$2&lt;H85,"not_yet_eligible",IF(J85&lt;=Windows!$B$9,"expiring","open")))</f>
        <v/>
      </c>
      <c r="L85">
        <f>VLOOKUP(A85,Windows!$A$15:$B$21,2,FALSE)</f>
        <v/>
      </c>
      <c r="M85">
        <f>IF(G85="","",G85*L85)</f>
        <v/>
      </c>
      <c r="N85" t="inlineStr">
        <is>
          <t>landed cost on file</t>
        </is>
      </c>
    </row>
    <row r="86">
      <c r="A86" t="inlineStr">
        <is>
          <t>warehouse_damaged</t>
        </is>
      </c>
      <c r="B86" t="inlineStr">
        <is>
          <t>TH-COFCAN-19</t>
        </is>
      </c>
      <c r="C86" s="4" t="n">
        <v>46245</v>
      </c>
      <c r="D86" t="n">
        <v>6</v>
      </c>
      <c r="F86">
        <f>IFERROR(VLOOKUP(B86,COGS!$A$2:$G$25,7,FALSE),"")</f>
        <v/>
      </c>
      <c r="G86">
        <f>IF(F86="","",D86*F86)</f>
        <v/>
      </c>
      <c r="H86" s="4">
        <f>C86+VLOOKUP(A86,Windows!$A$24:$C$30,2,FALSE)</f>
        <v/>
      </c>
      <c r="I86" s="4">
        <f>C86+VLOOKUP(A86,Windows!$A$24:$C$30,3,FALSE)</f>
        <v/>
      </c>
      <c r="J86">
        <f>I86-Windows!$B$2</f>
        <v/>
      </c>
      <c r="K86">
        <f>IF(Windows!$B$2&gt;I86,"expired",IF(Windows!$B$2&lt;H86,"not_yet_eligible",IF(J86&lt;=Windows!$B$9,"expiring","open")))</f>
        <v/>
      </c>
      <c r="L86">
        <f>VLOOKUP(A86,Windows!$A$15:$B$21,2,FALSE)</f>
        <v/>
      </c>
      <c r="M86">
        <f>IF(G86="","",G86*L86)</f>
        <v/>
      </c>
      <c r="N86" t="inlineStr">
        <is>
          <t>landed cost on file</t>
        </is>
      </c>
    </row>
    <row r="87">
      <c r="A87" t="inlineStr">
        <is>
          <t>warehouse_damaged</t>
        </is>
      </c>
      <c r="B87" t="inlineStr">
        <is>
          <t>TH-CARSTE-04</t>
        </is>
      </c>
      <c r="C87" s="4" t="n">
        <v>46243</v>
      </c>
      <c r="D87" t="n">
        <v>2</v>
      </c>
      <c r="F87">
        <f>IFERROR(VLOOKUP(B87,COGS!$A$2:$G$25,7,FALSE),"")</f>
        <v/>
      </c>
      <c r="G87">
        <f>IF(F87="","",D87*F87)</f>
        <v/>
      </c>
      <c r="H87" s="4">
        <f>C87+VLOOKUP(A87,Windows!$A$24:$C$30,2,FALSE)</f>
        <v/>
      </c>
      <c r="I87" s="4">
        <f>C87+VLOOKUP(A87,Windows!$A$24:$C$30,3,FALSE)</f>
        <v/>
      </c>
      <c r="J87">
        <f>I87-Windows!$B$2</f>
        <v/>
      </c>
      <c r="K87">
        <f>IF(Windows!$B$2&gt;I87,"expired",IF(Windows!$B$2&lt;H87,"not_yet_eligible",IF(J87&lt;=Windows!$B$9,"expiring","open")))</f>
        <v/>
      </c>
      <c r="L87">
        <f>VLOOKUP(A87,Windows!$A$15:$B$21,2,FALSE)</f>
        <v/>
      </c>
      <c r="M87">
        <f>IF(G87="","",G87*L87)</f>
        <v/>
      </c>
      <c r="N87" t="inlineStr">
        <is>
          <t>landed cost on file</t>
        </is>
      </c>
    </row>
    <row r="88">
      <c r="A88" t="inlineStr">
        <is>
          <t>warehouse_damaged</t>
        </is>
      </c>
      <c r="B88" t="inlineStr">
        <is>
          <t>TH-TEAINF-20</t>
        </is>
      </c>
      <c r="C88" s="4" t="n">
        <v>46244</v>
      </c>
      <c r="D88" t="n">
        <v>6</v>
      </c>
      <c r="F88">
        <f>IFERROR(VLOOKUP(B88,COGS!$A$2:$G$25,7,FALSE),"")</f>
        <v/>
      </c>
      <c r="G88">
        <f>IF(F88="","",D88*F88)</f>
        <v/>
      </c>
      <c r="H88" s="4">
        <f>C88+VLOOKUP(A88,Windows!$A$24:$C$30,2,FALSE)</f>
        <v/>
      </c>
      <c r="I88" s="4">
        <f>C88+VLOOKUP(A88,Windows!$A$24:$C$30,3,FALSE)</f>
        <v/>
      </c>
      <c r="J88">
        <f>I88-Windows!$B$2</f>
        <v/>
      </c>
      <c r="K88">
        <f>IF(Windows!$B$2&gt;I88,"expired",IF(Windows!$B$2&lt;H88,"not_yet_eligible",IF(J88&lt;=Windows!$B$9,"expiring","open")))</f>
        <v/>
      </c>
      <c r="L88">
        <f>VLOOKUP(A88,Windows!$A$15:$B$21,2,FALSE)</f>
        <v/>
      </c>
      <c r="M88">
        <f>IF(G88="","",G88*L88)</f>
        <v/>
      </c>
      <c r="N88" t="inlineStr">
        <is>
          <t>landed cost on file</t>
        </is>
      </c>
    </row>
    <row r="89">
      <c r="A89" t="inlineStr">
        <is>
          <t>warehouse_damaged</t>
        </is>
      </c>
      <c r="B89" t="inlineStr">
        <is>
          <t>TH-KITTOW-24</t>
        </is>
      </c>
      <c r="C89" s="4" t="n">
        <v>46251</v>
      </c>
      <c r="D89" t="n">
        <v>4</v>
      </c>
      <c r="F89">
        <f>IFERROR(VLOOKUP(B89,COGS!$A$2:$G$25,7,FALSE),"")</f>
        <v/>
      </c>
      <c r="G89">
        <f>IF(F89="","",D89*F89)</f>
        <v/>
      </c>
      <c r="H89" s="4">
        <f>C89+VLOOKUP(A89,Windows!$A$24:$C$30,2,FALSE)</f>
        <v/>
      </c>
      <c r="I89" s="4">
        <f>C89+VLOOKUP(A89,Windows!$A$24:$C$30,3,FALSE)</f>
        <v/>
      </c>
      <c r="J89">
        <f>I89-Windows!$B$2</f>
        <v/>
      </c>
      <c r="K89">
        <f>IF(Windows!$B$2&gt;I89,"expired",IF(Windows!$B$2&lt;H89,"not_yet_eligible",IF(J89&lt;=Windows!$B$9,"expiring","open")))</f>
        <v/>
      </c>
      <c r="L89">
        <f>VLOOKUP(A89,Windows!$A$15:$B$21,2,FALSE)</f>
        <v/>
      </c>
      <c r="M89">
        <f>IF(G89="","",G89*L89)</f>
        <v/>
      </c>
      <c r="N89" t="inlineStr">
        <is>
          <t>landed cost on file</t>
        </is>
      </c>
    </row>
    <row r="90">
      <c r="A90" t="inlineStr">
        <is>
          <t>refund_no_return</t>
        </is>
      </c>
      <c r="B90" t="inlineStr">
        <is>
          <t>TH-BAMCUT-05</t>
        </is>
      </c>
      <c r="C90" s="4" t="n">
        <v>46210</v>
      </c>
      <c r="D90" t="n">
        <v>1</v>
      </c>
      <c r="E90" t="inlineStr">
        <is>
          <t>111-4002401-6618607</t>
        </is>
      </c>
      <c r="F90" t="n">
        <v>27.15</v>
      </c>
      <c r="G90">
        <f>IF(F90="","",D90*F90)</f>
        <v/>
      </c>
      <c r="H90" s="4">
        <f>C90+VLOOKUP(A90,Windows!$A$24:$C$30,2,FALSE)</f>
        <v/>
      </c>
      <c r="I90" s="4">
        <f>C90+VLOOKUP(A90,Windows!$A$24:$C$30,3,FALSE)</f>
        <v/>
      </c>
      <c r="J90">
        <f>I90-Windows!$B$2</f>
        <v/>
      </c>
      <c r="K90">
        <f>IF(Windows!$B$2&gt;I90,"expired",IF(Windows!$B$2&lt;H90,"not_yet_eligible",IF(J90&lt;=Windows!$B$9,"expiring","open")))</f>
        <v/>
      </c>
      <c r="L90">
        <f>VLOOKUP(A90,Windows!$A$15:$B$21,2,FALSE)</f>
        <v/>
      </c>
      <c r="M90">
        <f>IF(G90="","",G90*L90)</f>
        <v/>
      </c>
      <c r="N90" t="inlineStr">
        <is>
          <t>refunded amount per unit — Amazon reimburses at its determined value, so this is the ceiling</t>
        </is>
      </c>
    </row>
    <row r="91">
      <c r="A91" t="inlineStr">
        <is>
          <t>warehouse_damaged</t>
        </is>
      </c>
      <c r="B91" t="inlineStr">
        <is>
          <t>TH-BAMCUT-06</t>
        </is>
      </c>
      <c r="C91" s="4" t="n">
        <v>46239</v>
      </c>
      <c r="D91" t="n">
        <v>4</v>
      </c>
      <c r="F91">
        <f>IFERROR(VLOOKUP(B91,COGS!$A$2:$G$25,7,FALSE),"")</f>
        <v/>
      </c>
      <c r="G91">
        <f>IF(F91="","",D91*F91)</f>
        <v/>
      </c>
      <c r="H91" s="4">
        <f>C91+VLOOKUP(A91,Windows!$A$24:$C$30,2,FALSE)</f>
        <v/>
      </c>
      <c r="I91" s="4">
        <f>C91+VLOOKUP(A91,Windows!$A$24:$C$30,3,FALSE)</f>
        <v/>
      </c>
      <c r="J91">
        <f>I91-Windows!$B$2</f>
        <v/>
      </c>
      <c r="K91">
        <f>IF(Windows!$B$2&gt;I91,"expired",IF(Windows!$B$2&lt;H91,"not_yet_eligible",IF(J91&lt;=Windows!$B$9,"expiring","open")))</f>
        <v/>
      </c>
      <c r="L91">
        <f>VLOOKUP(A91,Windows!$A$15:$B$21,2,FALSE)</f>
        <v/>
      </c>
      <c r="M91">
        <f>IF(G91="","",G91*L91)</f>
        <v/>
      </c>
      <c r="N91" t="inlineStr">
        <is>
          <t>landed cost on file</t>
        </is>
      </c>
    </row>
    <row r="92">
      <c r="A92" t="inlineStr">
        <is>
          <t>warehouse_damaged</t>
        </is>
      </c>
      <c r="B92" t="inlineStr">
        <is>
          <t>TH-MEACUP-14</t>
        </is>
      </c>
      <c r="C92" s="4" t="n">
        <v>46247</v>
      </c>
      <c r="D92" t="n">
        <v>3</v>
      </c>
      <c r="F92">
        <f>IFERROR(VLOOKUP(B92,COGS!$A$2:$G$25,7,FALSE),"")</f>
        <v/>
      </c>
      <c r="G92">
        <f>IF(F92="","",D92*F92)</f>
        <v/>
      </c>
      <c r="H92" s="4">
        <f>C92+VLOOKUP(A92,Windows!$A$24:$C$30,2,FALSE)</f>
        <v/>
      </c>
      <c r="I92" s="4">
        <f>C92+VLOOKUP(A92,Windows!$A$24:$C$30,3,FALSE)</f>
        <v/>
      </c>
      <c r="J92">
        <f>I92-Windows!$B$2</f>
        <v/>
      </c>
      <c r="K92">
        <f>IF(Windows!$B$2&gt;I92,"expired",IF(Windows!$B$2&lt;H92,"not_yet_eligible",IF(J92&lt;=Windows!$B$9,"expiring","open")))</f>
        <v/>
      </c>
      <c r="L92">
        <f>VLOOKUP(A92,Windows!$A$15:$B$21,2,FALSE)</f>
        <v/>
      </c>
      <c r="M92">
        <f>IF(G92="","",G92*L92)</f>
        <v/>
      </c>
      <c r="N92" t="inlineStr">
        <is>
          <t>landed cost on file</t>
        </is>
      </c>
    </row>
    <row r="93">
      <c r="A93" t="inlineStr">
        <is>
          <t>refund_no_return</t>
        </is>
      </c>
      <c r="B93" t="inlineStr">
        <is>
          <t>TH-PARKNI-09</t>
        </is>
      </c>
      <c r="C93" s="4" t="n">
        <v>46208</v>
      </c>
      <c r="D93" t="n">
        <v>1</v>
      </c>
      <c r="E93" t="inlineStr">
        <is>
          <t>111-4004276-8446106</t>
        </is>
      </c>
      <c r="F93" t="n">
        <v>18.42</v>
      </c>
      <c r="G93">
        <f>IF(F93="","",D93*F93)</f>
        <v/>
      </c>
      <c r="H93" s="4">
        <f>C93+VLOOKUP(A93,Windows!$A$24:$C$30,2,FALSE)</f>
        <v/>
      </c>
      <c r="I93" s="4">
        <f>C93+VLOOKUP(A93,Windows!$A$24:$C$30,3,FALSE)</f>
        <v/>
      </c>
      <c r="J93">
        <f>I93-Windows!$B$2</f>
        <v/>
      </c>
      <c r="K93">
        <f>IF(Windows!$B$2&gt;I93,"expired",IF(Windows!$B$2&lt;H93,"not_yet_eligible",IF(J93&lt;=Windows!$B$9,"expiring","open")))</f>
        <v/>
      </c>
      <c r="L93">
        <f>VLOOKUP(A93,Windows!$A$15:$B$21,2,FALSE)</f>
        <v/>
      </c>
      <c r="M93">
        <f>IF(G93="","",G93*L93)</f>
        <v/>
      </c>
      <c r="N93" t="inlineStr">
        <is>
          <t>refunded amount per unit — Amazon reimburses at its determined value, so this is the ceiling</t>
        </is>
      </c>
    </row>
    <row r="94">
      <c r="A94" t="inlineStr">
        <is>
          <t>warehouse_damaged</t>
        </is>
      </c>
      <c r="B94" t="inlineStr">
        <is>
          <t>TH-SILSPA-13</t>
        </is>
      </c>
      <c r="C94" s="4" t="n">
        <v>46255</v>
      </c>
      <c r="D94" t="n">
        <v>4</v>
      </c>
      <c r="F94">
        <f>IFERROR(VLOOKUP(B94,COGS!$A$2:$G$25,7,FALSE),"")</f>
        <v/>
      </c>
      <c r="G94">
        <f>IF(F94="","",D94*F94)</f>
        <v/>
      </c>
      <c r="H94" s="4">
        <f>C94+VLOOKUP(A94,Windows!$A$24:$C$30,2,FALSE)</f>
        <v/>
      </c>
      <c r="I94" s="4">
        <f>C94+VLOOKUP(A94,Windows!$A$24:$C$30,3,FALSE)</f>
        <v/>
      </c>
      <c r="J94">
        <f>I94-Windows!$B$2</f>
        <v/>
      </c>
      <c r="K94">
        <f>IF(Windows!$B$2&gt;I94,"expired",IF(Windows!$B$2&lt;H94,"not_yet_eligible",IF(J94&lt;=Windows!$B$9,"expiring","open")))</f>
        <v/>
      </c>
      <c r="L94">
        <f>VLOOKUP(A94,Windows!$A$15:$B$21,2,FALSE)</f>
        <v/>
      </c>
      <c r="M94">
        <f>IF(G94="","",G94*L94)</f>
        <v/>
      </c>
      <c r="N94" t="inlineStr">
        <is>
          <t>landed cost on file</t>
        </is>
      </c>
    </row>
    <row r="95">
      <c r="A95" t="inlineStr">
        <is>
          <t>warehouse_damaged</t>
        </is>
      </c>
      <c r="B95" t="inlineStr">
        <is>
          <t>TH-TRICOR-23</t>
        </is>
      </c>
      <c r="C95" s="4" t="n">
        <v>46256</v>
      </c>
      <c r="D95" t="n">
        <v>3</v>
      </c>
      <c r="F95">
        <f>IFERROR(VLOOKUP(B95,COGS!$A$2:$G$25,7,FALSE),"")</f>
        <v/>
      </c>
      <c r="G95">
        <f>IF(F95="","",D95*F95)</f>
        <v/>
      </c>
      <c r="H95" s="4">
        <f>C95+VLOOKUP(A95,Windows!$A$24:$C$30,2,FALSE)</f>
        <v/>
      </c>
      <c r="I95" s="4">
        <f>C95+VLOOKUP(A95,Windows!$A$24:$C$30,3,FALSE)</f>
        <v/>
      </c>
      <c r="J95">
        <f>I95-Windows!$B$2</f>
        <v/>
      </c>
      <c r="K95">
        <f>IF(Windows!$B$2&gt;I95,"expired",IF(Windows!$B$2&lt;H95,"not_yet_eligible",IF(J95&lt;=Windows!$B$9,"expiring","open")))</f>
        <v/>
      </c>
      <c r="L95">
        <f>VLOOKUP(A95,Windows!$A$15:$B$21,2,FALSE)</f>
        <v/>
      </c>
      <c r="M95">
        <f>IF(G95="","",G95*L95)</f>
        <v/>
      </c>
      <c r="N95" t="inlineStr">
        <is>
          <t>landed cost on file</t>
        </is>
      </c>
    </row>
    <row r="96">
      <c r="A96" t="inlineStr">
        <is>
          <t>warehouse_lost</t>
        </is>
      </c>
      <c r="B96" t="inlineStr">
        <is>
          <t>TH-ENADUT-03</t>
        </is>
      </c>
      <c r="C96" s="4" t="n">
        <v>46157</v>
      </c>
      <c r="D96" t="n">
        <v>4</v>
      </c>
      <c r="F96">
        <f>IFERROR(VLOOKUP(B96,COGS!$A$2:$G$25,7,FALSE),"")</f>
        <v/>
      </c>
      <c r="G96">
        <f>IF(F96="","",D96*F96)</f>
        <v/>
      </c>
      <c r="H96" s="4">
        <f>C96+VLOOKUP(A96,Windows!$A$24:$C$30,2,FALSE)</f>
        <v/>
      </c>
      <c r="I96" s="4">
        <f>C96+VLOOKUP(A96,Windows!$A$24:$C$30,3,FALSE)</f>
        <v/>
      </c>
      <c r="J96">
        <f>I96-Windows!$B$2</f>
        <v/>
      </c>
      <c r="K96">
        <f>IF(Windows!$B$2&gt;I96,"expired",IF(Windows!$B$2&lt;H96,"not_yet_eligible",IF(J96&lt;=Windows!$B$9,"expiring","open")))</f>
        <v/>
      </c>
      <c r="L96">
        <f>VLOOKUP(A96,Windows!$A$15:$B$21,2,FALSE)</f>
        <v/>
      </c>
      <c r="M96">
        <f>IF(G96="","",G96*L96)</f>
        <v/>
      </c>
      <c r="N96" t="inlineStr">
        <is>
          <t>landed cost on file</t>
        </is>
      </c>
    </row>
    <row r="97">
      <c r="A97" t="inlineStr">
        <is>
          <t>warehouse_lost</t>
        </is>
      </c>
      <c r="B97" t="inlineStr">
        <is>
          <t>TH-PEPMIL-16</t>
        </is>
      </c>
      <c r="C97" s="4" t="n">
        <v>46177</v>
      </c>
      <c r="D97" t="n">
        <v>7</v>
      </c>
      <c r="F97">
        <f>IFERROR(VLOOKUP(B97,COGS!$A$2:$G$25,7,FALSE),"")</f>
        <v/>
      </c>
      <c r="G97">
        <f>IF(F97="","",D97*F97)</f>
        <v/>
      </c>
      <c r="H97" s="4">
        <f>C97+VLOOKUP(A97,Windows!$A$24:$C$30,2,FALSE)</f>
        <v/>
      </c>
      <c r="I97" s="4">
        <f>C97+VLOOKUP(A97,Windows!$A$24:$C$30,3,FALSE)</f>
        <v/>
      </c>
      <c r="J97">
        <f>I97-Windows!$B$2</f>
        <v/>
      </c>
      <c r="K97">
        <f>IF(Windows!$B$2&gt;I97,"expired",IF(Windows!$B$2&lt;H97,"not_yet_eligible",IF(J97&lt;=Windows!$B$9,"expiring","open")))</f>
        <v/>
      </c>
      <c r="L97">
        <f>VLOOKUP(A97,Windows!$A$15:$B$21,2,FALSE)</f>
        <v/>
      </c>
      <c r="M97">
        <f>IF(G97="","",G97*L97)</f>
        <v/>
      </c>
      <c r="N97" t="inlineStr">
        <is>
          <t>landed cost on file</t>
        </is>
      </c>
    </row>
    <row r="98">
      <c r="A98" t="inlineStr">
        <is>
          <t>warehouse_lost</t>
        </is>
      </c>
      <c r="B98" t="inlineStr">
        <is>
          <t>TH-CHEKNI-08</t>
        </is>
      </c>
      <c r="C98" s="4" t="n">
        <v>46174</v>
      </c>
      <c r="D98" t="n">
        <v>4</v>
      </c>
      <c r="F98">
        <f>IFERROR(VLOOKUP(B98,COGS!$A$2:$G$25,7,FALSE),"")</f>
        <v/>
      </c>
      <c r="G98">
        <f>IF(F98="","",D98*F98)</f>
        <v/>
      </c>
      <c r="H98" s="4">
        <f>C98+VLOOKUP(A98,Windows!$A$24:$C$30,2,FALSE)</f>
        <v/>
      </c>
      <c r="I98" s="4">
        <f>C98+VLOOKUP(A98,Windows!$A$24:$C$30,3,FALSE)</f>
        <v/>
      </c>
      <c r="J98">
        <f>I98-Windows!$B$2</f>
        <v/>
      </c>
      <c r="K98">
        <f>IF(Windows!$B$2&gt;I98,"expired",IF(Windows!$B$2&lt;H98,"not_yet_eligible",IF(J98&lt;=Windows!$B$9,"expiring","open")))</f>
        <v/>
      </c>
      <c r="L98">
        <f>VLOOKUP(A98,Windows!$A$15:$B$21,2,FALSE)</f>
        <v/>
      </c>
      <c r="M98">
        <f>IF(G98="","",G98*L98)</f>
        <v/>
      </c>
      <c r="N98" t="inlineStr">
        <is>
          <t>landed cost on file</t>
        </is>
      </c>
    </row>
    <row r="99">
      <c r="A99" t="inlineStr">
        <is>
          <t>warehouse_lost</t>
        </is>
      </c>
      <c r="B99" t="inlineStr">
        <is>
          <t>TH-CARSTE-04</t>
        </is>
      </c>
      <c r="C99" s="4" t="n">
        <v>46193</v>
      </c>
      <c r="D99" t="n">
        <v>4</v>
      </c>
      <c r="F99">
        <f>IFERROR(VLOOKUP(B99,COGS!$A$2:$G$25,7,FALSE),"")</f>
        <v/>
      </c>
      <c r="G99">
        <f>IF(F99="","",D99*F99)</f>
        <v/>
      </c>
      <c r="H99" s="4">
        <f>C99+VLOOKUP(A99,Windows!$A$24:$C$30,2,FALSE)</f>
        <v/>
      </c>
      <c r="I99" s="4">
        <f>C99+VLOOKUP(A99,Windows!$A$24:$C$30,3,FALSE)</f>
        <v/>
      </c>
      <c r="J99">
        <f>I99-Windows!$B$2</f>
        <v/>
      </c>
      <c r="K99">
        <f>IF(Windows!$B$2&gt;I99,"expired",IF(Windows!$B$2&lt;H99,"not_yet_eligible",IF(J99&lt;=Windows!$B$9,"expiring","open")))</f>
        <v/>
      </c>
      <c r="L99">
        <f>VLOOKUP(A99,Windows!$A$15:$B$21,2,FALSE)</f>
        <v/>
      </c>
      <c r="M99">
        <f>IF(G99="","",G99*L99)</f>
        <v/>
      </c>
      <c r="N99" t="inlineStr">
        <is>
          <t>landed cost on file</t>
        </is>
      </c>
    </row>
    <row r="100">
      <c r="A100" t="inlineStr">
        <is>
          <t>warehouse_lost</t>
        </is>
      </c>
      <c r="B100" t="inlineStr">
        <is>
          <t>TH-WALSER-07</t>
        </is>
      </c>
      <c r="C100" s="4" t="n">
        <v>46182</v>
      </c>
      <c r="D100" t="n">
        <v>4</v>
      </c>
      <c r="F100">
        <f>IFERROR(VLOOKUP(B100,COGS!$A$2:$G$25,7,FALSE),"")</f>
        <v/>
      </c>
      <c r="G100">
        <f>IF(F100="","",D100*F100)</f>
        <v/>
      </c>
      <c r="H100" s="4">
        <f>C100+VLOOKUP(A100,Windows!$A$24:$C$30,2,FALSE)</f>
        <v/>
      </c>
      <c r="I100" s="4">
        <f>C100+VLOOKUP(A100,Windows!$A$24:$C$30,3,FALSE)</f>
        <v/>
      </c>
      <c r="J100">
        <f>I100-Windows!$B$2</f>
        <v/>
      </c>
      <c r="K100">
        <f>IF(Windows!$B$2&gt;I100,"expired",IF(Windows!$B$2&lt;H100,"not_yet_eligible",IF(J100&lt;=Windows!$B$9,"expiring","open")))</f>
        <v/>
      </c>
      <c r="L100">
        <f>VLOOKUP(A100,Windows!$A$15:$B$21,2,FALSE)</f>
        <v/>
      </c>
      <c r="M100">
        <f>IF(G100="","",G100*L100)</f>
        <v/>
      </c>
      <c r="N100" t="inlineStr">
        <is>
          <t>landed cost on file</t>
        </is>
      </c>
    </row>
    <row r="101">
      <c r="A101" t="inlineStr">
        <is>
          <t>warehouse_lost</t>
        </is>
      </c>
      <c r="B101" t="inlineStr">
        <is>
          <t>TH-MEACUP-14</t>
        </is>
      </c>
      <c r="C101" s="4" t="n">
        <v>46172</v>
      </c>
      <c r="D101" t="n">
        <v>8</v>
      </c>
      <c r="F101">
        <f>IFERROR(VLOOKUP(B101,COGS!$A$2:$G$25,7,FALSE),"")</f>
        <v/>
      </c>
      <c r="G101">
        <f>IF(F101="","",D101*F101)</f>
        <v/>
      </c>
      <c r="H101" s="4">
        <f>C101+VLOOKUP(A101,Windows!$A$24:$C$30,2,FALSE)</f>
        <v/>
      </c>
      <c r="I101" s="4">
        <f>C101+VLOOKUP(A101,Windows!$A$24:$C$30,3,FALSE)</f>
        <v/>
      </c>
      <c r="J101">
        <f>I101-Windows!$B$2</f>
        <v/>
      </c>
      <c r="K101">
        <f>IF(Windows!$B$2&gt;I101,"expired",IF(Windows!$B$2&lt;H101,"not_yet_eligible",IF(J101&lt;=Windows!$B$9,"expiring","open")))</f>
        <v/>
      </c>
      <c r="L101">
        <f>VLOOKUP(A101,Windows!$A$15:$B$21,2,FALSE)</f>
        <v/>
      </c>
      <c r="M101">
        <f>IF(G101="","",G101*L101)</f>
        <v/>
      </c>
      <c r="N101" t="inlineStr">
        <is>
          <t>landed cost on file</t>
        </is>
      </c>
    </row>
    <row r="102">
      <c r="A102" t="inlineStr">
        <is>
          <t>warehouse_lost</t>
        </is>
      </c>
      <c r="B102" t="inlineStr">
        <is>
          <t>TH-BREKNI-10</t>
        </is>
      </c>
      <c r="C102" s="4" t="n">
        <v>46169</v>
      </c>
      <c r="D102" t="n">
        <v>5</v>
      </c>
      <c r="F102">
        <f>IFERROR(VLOOKUP(B102,COGS!$A$2:$G$25,7,FALSE),"")</f>
        <v/>
      </c>
      <c r="G102">
        <f>IF(F102="","",D102*F102)</f>
        <v/>
      </c>
      <c r="H102" s="4">
        <f>C102+VLOOKUP(A102,Windows!$A$24:$C$30,2,FALSE)</f>
        <v/>
      </c>
      <c r="I102" s="4">
        <f>C102+VLOOKUP(A102,Windows!$A$24:$C$30,3,FALSE)</f>
        <v/>
      </c>
      <c r="J102">
        <f>I102-Windows!$B$2</f>
        <v/>
      </c>
      <c r="K102">
        <f>IF(Windows!$B$2&gt;I102,"expired",IF(Windows!$B$2&lt;H102,"not_yet_eligible",IF(J102&lt;=Windows!$B$9,"expiring","open")))</f>
        <v/>
      </c>
      <c r="L102">
        <f>VLOOKUP(A102,Windows!$A$15:$B$21,2,FALSE)</f>
        <v/>
      </c>
      <c r="M102">
        <f>IF(G102="","",G102*L102)</f>
        <v/>
      </c>
      <c r="N102" t="inlineStr">
        <is>
          <t>landed cost on file</t>
        </is>
      </c>
    </row>
    <row r="103">
      <c r="A103" t="inlineStr">
        <is>
          <t>warehouse_lost</t>
        </is>
      </c>
      <c r="B103" t="inlineStr">
        <is>
          <t>TH-BAMCUT-06</t>
        </is>
      </c>
      <c r="C103" s="4" t="n">
        <v>46167</v>
      </c>
      <c r="D103" t="n">
        <v>7</v>
      </c>
      <c r="F103">
        <f>IFERROR(VLOOKUP(B103,COGS!$A$2:$G$25,7,FALSE),"")</f>
        <v/>
      </c>
      <c r="G103">
        <f>IF(F103="","",D103*F103)</f>
        <v/>
      </c>
      <c r="H103" s="4">
        <f>C103+VLOOKUP(A103,Windows!$A$24:$C$30,2,FALSE)</f>
        <v/>
      </c>
      <c r="I103" s="4">
        <f>C103+VLOOKUP(A103,Windows!$A$24:$C$30,3,FALSE)</f>
        <v/>
      </c>
      <c r="J103">
        <f>I103-Windows!$B$2</f>
        <v/>
      </c>
      <c r="K103">
        <f>IF(Windows!$B$2&gt;I103,"expired",IF(Windows!$B$2&lt;H103,"not_yet_eligible",IF(J103&lt;=Windows!$B$9,"expiring","open")))</f>
        <v/>
      </c>
      <c r="L103">
        <f>VLOOKUP(A103,Windows!$A$15:$B$21,2,FALSE)</f>
        <v/>
      </c>
      <c r="M103">
        <f>IF(G103="","",G103*L103)</f>
        <v/>
      </c>
      <c r="N103" t="inlineStr">
        <is>
          <t>landed cost on file</t>
        </is>
      </c>
    </row>
    <row r="104">
      <c r="A104" t="inlineStr">
        <is>
          <t>warehouse_lost</t>
        </is>
      </c>
      <c r="B104" t="inlineStr">
        <is>
          <t>TH-KITTOW-24</t>
        </is>
      </c>
      <c r="C104" s="4" t="n">
        <v>46195</v>
      </c>
      <c r="D104" t="n">
        <v>6</v>
      </c>
      <c r="F104">
        <f>IFERROR(VLOOKUP(B104,COGS!$A$2:$G$25,7,FALSE),"")</f>
        <v/>
      </c>
      <c r="G104">
        <f>IF(F104="","",D104*F104)</f>
        <v/>
      </c>
      <c r="H104" s="4">
        <f>C104+VLOOKUP(A104,Windows!$A$24:$C$30,2,FALSE)</f>
        <v/>
      </c>
      <c r="I104" s="4">
        <f>C104+VLOOKUP(A104,Windows!$A$24:$C$30,3,FALSE)</f>
        <v/>
      </c>
      <c r="J104">
        <f>I104-Windows!$B$2</f>
        <v/>
      </c>
      <c r="K104">
        <f>IF(Windows!$B$2&gt;I104,"expired",IF(Windows!$B$2&lt;H104,"not_yet_eligible",IF(J104&lt;=Windows!$B$9,"expiring","open")))</f>
        <v/>
      </c>
      <c r="L104">
        <f>VLOOKUP(A104,Windows!$A$15:$B$21,2,FALSE)</f>
        <v/>
      </c>
      <c r="M104">
        <f>IF(G104="","",G104*L104)</f>
        <v/>
      </c>
      <c r="N104" t="inlineStr">
        <is>
          <t>landed cost on file</t>
        </is>
      </c>
    </row>
    <row r="105">
      <c r="A105" t="inlineStr">
        <is>
          <t>warehouse_lost</t>
        </is>
      </c>
      <c r="B105" t="inlineStr">
        <is>
          <t>TH-CASIRO-01</t>
        </is>
      </c>
      <c r="C105" s="4" t="n">
        <v>46160</v>
      </c>
      <c r="D105" t="n">
        <v>3</v>
      </c>
      <c r="F105">
        <f>IFERROR(VLOOKUP(B105,COGS!$A$2:$G$25,7,FALSE),"")</f>
        <v/>
      </c>
      <c r="G105">
        <f>IF(F105="","",D105*F105)</f>
        <v/>
      </c>
      <c r="H105" s="4">
        <f>C105+VLOOKUP(A105,Windows!$A$24:$C$30,2,FALSE)</f>
        <v/>
      </c>
      <c r="I105" s="4">
        <f>C105+VLOOKUP(A105,Windows!$A$24:$C$30,3,FALSE)</f>
        <v/>
      </c>
      <c r="J105">
        <f>I105-Windows!$B$2</f>
        <v/>
      </c>
      <c r="K105">
        <f>IF(Windows!$B$2&gt;I105,"expired",IF(Windows!$B$2&lt;H105,"not_yet_eligible",IF(J105&lt;=Windows!$B$9,"expiring","open")))</f>
        <v/>
      </c>
      <c r="L105">
        <f>VLOOKUP(A105,Windows!$A$15:$B$21,2,FALSE)</f>
        <v/>
      </c>
      <c r="M105">
        <f>IF(G105="","",G105*L105)</f>
        <v/>
      </c>
      <c r="N105" t="inlineStr">
        <is>
          <t>landed cost on file</t>
        </is>
      </c>
    </row>
    <row r="106">
      <c r="A106" t="inlineStr">
        <is>
          <t>warehouse_lost</t>
        </is>
      </c>
      <c r="B106" t="inlineStr">
        <is>
          <t>TH-SALCEL-15</t>
        </is>
      </c>
      <c r="C106" s="4" t="n">
        <v>46168</v>
      </c>
      <c r="D106" t="n">
        <v>8</v>
      </c>
      <c r="F106">
        <f>IFERROR(VLOOKUP(B106,COGS!$A$2:$G$25,7,FALSE),"")</f>
        <v/>
      </c>
      <c r="G106">
        <f>IF(F106="","",D106*F106)</f>
        <v/>
      </c>
      <c r="H106" s="4">
        <f>C106+VLOOKUP(A106,Windows!$A$24:$C$30,2,FALSE)</f>
        <v/>
      </c>
      <c r="I106" s="4">
        <f>C106+VLOOKUP(A106,Windows!$A$24:$C$30,3,FALSE)</f>
        <v/>
      </c>
      <c r="J106">
        <f>I106-Windows!$B$2</f>
        <v/>
      </c>
      <c r="K106">
        <f>IF(Windows!$B$2&gt;I106,"expired",IF(Windows!$B$2&lt;H106,"not_yet_eligible",IF(J106&lt;=Windows!$B$9,"expiring","open")))</f>
        <v/>
      </c>
      <c r="L106">
        <f>VLOOKUP(A106,Windows!$A$15:$B$21,2,FALSE)</f>
        <v/>
      </c>
      <c r="M106">
        <f>IF(G106="","",G106*L106)</f>
        <v/>
      </c>
      <c r="N106" t="inlineStr">
        <is>
          <t>landed cost on file</t>
        </is>
      </c>
    </row>
    <row r="107">
      <c r="A107" t="inlineStr">
        <is>
          <t>warehouse_lost</t>
        </is>
      </c>
      <c r="B107" t="inlineStr">
        <is>
          <t>TH-OVEMIT-22</t>
        </is>
      </c>
      <c r="C107" s="4" t="n">
        <v>46188</v>
      </c>
      <c r="D107" t="n">
        <v>6</v>
      </c>
      <c r="F107">
        <f>IFERROR(VLOOKUP(B107,COGS!$A$2:$G$25,7,FALSE),"")</f>
        <v/>
      </c>
      <c r="G107">
        <f>IF(F107="","",D107*F107)</f>
        <v/>
      </c>
      <c r="H107" s="4">
        <f>C107+VLOOKUP(A107,Windows!$A$24:$C$30,2,FALSE)</f>
        <v/>
      </c>
      <c r="I107" s="4">
        <f>C107+VLOOKUP(A107,Windows!$A$24:$C$30,3,FALSE)</f>
        <v/>
      </c>
      <c r="J107">
        <f>I107-Windows!$B$2</f>
        <v/>
      </c>
      <c r="K107">
        <f>IF(Windows!$B$2&gt;I107,"expired",IF(Windows!$B$2&lt;H107,"not_yet_eligible",IF(J107&lt;=Windows!$B$9,"expiring","open")))</f>
        <v/>
      </c>
      <c r="L107">
        <f>VLOOKUP(A107,Windows!$A$15:$B$21,2,FALSE)</f>
        <v/>
      </c>
      <c r="M107">
        <f>IF(G107="","",G107*L107)</f>
        <v/>
      </c>
      <c r="N107" t="inlineStr">
        <is>
          <t>landed cost on file</t>
        </is>
      </c>
    </row>
    <row r="108">
      <c r="A108" t="inlineStr">
        <is>
          <t>warehouse_lost</t>
        </is>
      </c>
      <c r="B108" t="inlineStr">
        <is>
          <t>TH-COFCAN-19</t>
        </is>
      </c>
      <c r="C108" s="4" t="n">
        <v>46182</v>
      </c>
      <c r="D108" t="n">
        <v>4</v>
      </c>
      <c r="F108">
        <f>IFERROR(VLOOKUP(B108,COGS!$A$2:$G$25,7,FALSE),"")</f>
        <v/>
      </c>
      <c r="G108">
        <f>IF(F108="","",D108*F108)</f>
        <v/>
      </c>
      <c r="H108" s="4">
        <f>C108+VLOOKUP(A108,Windows!$A$24:$C$30,2,FALSE)</f>
        <v/>
      </c>
      <c r="I108" s="4">
        <f>C108+VLOOKUP(A108,Windows!$A$24:$C$30,3,FALSE)</f>
        <v/>
      </c>
      <c r="J108">
        <f>I108-Windows!$B$2</f>
        <v/>
      </c>
      <c r="K108">
        <f>IF(Windows!$B$2&gt;I108,"expired",IF(Windows!$B$2&lt;H108,"not_yet_eligible",IF(J108&lt;=Windows!$B$9,"expiring","open")))</f>
        <v/>
      </c>
      <c r="L108">
        <f>VLOOKUP(A108,Windows!$A$15:$B$21,2,FALSE)</f>
        <v/>
      </c>
      <c r="M108">
        <f>IF(G108="","",G108*L108)</f>
        <v/>
      </c>
      <c r="N108" t="inlineStr">
        <is>
          <t>landed cost on file</t>
        </is>
      </c>
    </row>
    <row r="109">
      <c r="A109" t="inlineStr">
        <is>
          <t>warehouse_lost</t>
        </is>
      </c>
      <c r="B109" t="inlineStr">
        <is>
          <t>TH-KNISHA-11</t>
        </is>
      </c>
      <c r="C109" s="4" t="n">
        <v>46172</v>
      </c>
      <c r="D109" t="n">
        <v>3</v>
      </c>
      <c r="F109">
        <f>IFERROR(VLOOKUP(B109,COGS!$A$2:$G$25,7,FALSE),"")</f>
        <v/>
      </c>
      <c r="G109">
        <f>IF(F109="","",D109*F109)</f>
        <v/>
      </c>
      <c r="H109" s="4">
        <f>C109+VLOOKUP(A109,Windows!$A$24:$C$30,2,FALSE)</f>
        <v/>
      </c>
      <c r="I109" s="4">
        <f>C109+VLOOKUP(A109,Windows!$A$24:$C$30,3,FALSE)</f>
        <v/>
      </c>
      <c r="J109">
        <f>I109-Windows!$B$2</f>
        <v/>
      </c>
      <c r="K109">
        <f>IF(Windows!$B$2&gt;I109,"expired",IF(Windows!$B$2&lt;H109,"not_yet_eligible",IF(J109&lt;=Windows!$B$9,"expiring","open")))</f>
        <v/>
      </c>
      <c r="L109">
        <f>VLOOKUP(A109,Windows!$A$15:$B$21,2,FALSE)</f>
        <v/>
      </c>
      <c r="M109">
        <f>IF(G109="","",G109*L109)</f>
        <v/>
      </c>
      <c r="N109" t="inlineStr">
        <is>
          <t>landed cost on file</t>
        </is>
      </c>
    </row>
    <row r="110">
      <c r="A110" t="inlineStr">
        <is>
          <t>warehouse_lost</t>
        </is>
      </c>
      <c r="B110" t="inlineStr">
        <is>
          <t>TH-TEAINF-20</t>
        </is>
      </c>
      <c r="C110" s="4" t="n">
        <v>46193</v>
      </c>
      <c r="D110" t="n">
        <v>4</v>
      </c>
      <c r="F110">
        <f>IFERROR(VLOOKUP(B110,COGS!$A$2:$G$25,7,FALSE),"")</f>
        <v/>
      </c>
      <c r="G110">
        <f>IF(F110="","",D110*F110)</f>
        <v/>
      </c>
      <c r="H110" s="4">
        <f>C110+VLOOKUP(A110,Windows!$A$24:$C$30,2,FALSE)</f>
        <v/>
      </c>
      <c r="I110" s="4">
        <f>C110+VLOOKUP(A110,Windows!$A$24:$C$30,3,FALSE)</f>
        <v/>
      </c>
      <c r="J110">
        <f>I110-Windows!$B$2</f>
        <v/>
      </c>
      <c r="K110">
        <f>IF(Windows!$B$2&gt;I110,"expired",IF(Windows!$B$2&lt;H110,"not_yet_eligible",IF(J110&lt;=Windows!$B$9,"expiring","open")))</f>
        <v/>
      </c>
      <c r="L110">
        <f>VLOOKUP(A110,Windows!$A$15:$B$21,2,FALSE)</f>
        <v/>
      </c>
      <c r="M110">
        <f>IF(G110="","",G110*L110)</f>
        <v/>
      </c>
      <c r="N110" t="inlineStr">
        <is>
          <t>landed cost on file</t>
        </is>
      </c>
    </row>
    <row r="111">
      <c r="A111" t="inlineStr">
        <is>
          <t>warehouse_lost</t>
        </is>
      </c>
      <c r="B111" t="inlineStr">
        <is>
          <t>TH-BAMCUT-05</t>
        </is>
      </c>
      <c r="C111" s="4" t="n">
        <v>46162</v>
      </c>
      <c r="D111" t="n">
        <v>2</v>
      </c>
      <c r="F111">
        <f>IFERROR(VLOOKUP(B111,COGS!$A$2:$G$25,7,FALSE),"")</f>
        <v/>
      </c>
      <c r="G111">
        <f>IF(F111="","",D111*F111)</f>
        <v/>
      </c>
      <c r="H111" s="4">
        <f>C111+VLOOKUP(A111,Windows!$A$24:$C$30,2,FALSE)</f>
        <v/>
      </c>
      <c r="I111" s="4">
        <f>C111+VLOOKUP(A111,Windows!$A$24:$C$30,3,FALSE)</f>
        <v/>
      </c>
      <c r="J111">
        <f>I111-Windows!$B$2</f>
        <v/>
      </c>
      <c r="K111">
        <f>IF(Windows!$B$2&gt;I111,"expired",IF(Windows!$B$2&lt;H111,"not_yet_eligible",IF(J111&lt;=Windows!$B$9,"expiring","open")))</f>
        <v/>
      </c>
      <c r="L111">
        <f>VLOOKUP(A111,Windows!$A$15:$B$21,2,FALSE)</f>
        <v/>
      </c>
      <c r="M111">
        <f>IF(G111="","",G111*L111)</f>
        <v/>
      </c>
      <c r="N111" t="inlineStr">
        <is>
          <t>landed cost on file</t>
        </is>
      </c>
    </row>
    <row r="112">
      <c r="A112" t="inlineStr">
        <is>
          <t>damaged_return</t>
        </is>
      </c>
      <c r="B112" t="inlineStr">
        <is>
          <t>TH-CASIRO-02</t>
        </is>
      </c>
      <c r="C112" s="4" t="n">
        <v>46170</v>
      </c>
      <c r="D112" t="n">
        <v>1</v>
      </c>
      <c r="E112" t="inlineStr">
        <is>
          <t>111-4001074-3177903</t>
        </is>
      </c>
      <c r="F112">
        <f>IFERROR(VLOOKUP(B112,COGS!$A$2:$G$25,7,FALSE),"")</f>
        <v/>
      </c>
      <c r="G112">
        <f>IF(F112="","",D112*F112)</f>
        <v/>
      </c>
      <c r="H112" s="4">
        <f>C112+VLOOKUP(A112,Windows!$A$24:$C$30,2,FALSE)</f>
        <v/>
      </c>
      <c r="I112" s="4">
        <f>C112+VLOOKUP(A112,Windows!$A$24:$C$30,3,FALSE)</f>
        <v/>
      </c>
      <c r="J112">
        <f>I112-Windows!$B$2</f>
        <v/>
      </c>
      <c r="K112">
        <f>IF(Windows!$B$2&gt;I112,"expired",IF(Windows!$B$2&lt;H112,"not_yet_eligible",IF(J112&lt;=Windows!$B$9,"expiring","open")))</f>
        <v/>
      </c>
      <c r="L112">
        <f>VLOOKUP(A112,Windows!$A$15:$B$21,2,FALSE)</f>
        <v/>
      </c>
      <c r="M112">
        <f>IF(G112="","",G112*L112)</f>
        <v/>
      </c>
      <c r="N112" t="inlineStr">
        <is>
          <t>landed cost on file</t>
        </is>
      </c>
    </row>
    <row r="113">
      <c r="A113" t="inlineStr">
        <is>
          <t>damaged_return</t>
        </is>
      </c>
      <c r="B113" t="inlineStr">
        <is>
          <t>TH-CARSTE-04</t>
        </is>
      </c>
      <c r="C113" s="4" t="n">
        <v>46189</v>
      </c>
      <c r="D113" t="n">
        <v>1</v>
      </c>
      <c r="E113" t="inlineStr">
        <is>
          <t>111-4001923-2381660</t>
        </is>
      </c>
      <c r="F113">
        <f>IFERROR(VLOOKUP(B113,COGS!$A$2:$G$25,7,FALSE),"")</f>
        <v/>
      </c>
      <c r="G113">
        <f>IF(F113="","",D113*F113)</f>
        <v/>
      </c>
      <c r="H113" s="4">
        <f>C113+VLOOKUP(A113,Windows!$A$24:$C$30,2,FALSE)</f>
        <v/>
      </c>
      <c r="I113" s="4">
        <f>C113+VLOOKUP(A113,Windows!$A$24:$C$30,3,FALSE)</f>
        <v/>
      </c>
      <c r="J113">
        <f>I113-Windows!$B$2</f>
        <v/>
      </c>
      <c r="K113">
        <f>IF(Windows!$B$2&gt;I113,"expired",IF(Windows!$B$2&lt;H113,"not_yet_eligible",IF(J113&lt;=Windows!$B$9,"expiring","open")))</f>
        <v/>
      </c>
      <c r="L113">
        <f>VLOOKUP(A113,Windows!$A$15:$B$21,2,FALSE)</f>
        <v/>
      </c>
      <c r="M113">
        <f>IF(G113="","",G113*L113)</f>
        <v/>
      </c>
      <c r="N113" t="inlineStr">
        <is>
          <t>landed cost on file</t>
        </is>
      </c>
    </row>
    <row r="114">
      <c r="A114" t="inlineStr">
        <is>
          <t>warehouse_lost</t>
        </is>
      </c>
      <c r="B114" t="inlineStr">
        <is>
          <t>TH-PARKNI-09</t>
        </is>
      </c>
      <c r="C114" s="4" t="n">
        <v>46162</v>
      </c>
      <c r="D114" t="n">
        <v>2</v>
      </c>
      <c r="F114">
        <f>IFERROR(VLOOKUP(B114,COGS!$A$2:$G$25,7,FALSE),"")</f>
        <v/>
      </c>
      <c r="G114">
        <f>IF(F114="","",D114*F114)</f>
        <v/>
      </c>
      <c r="H114" s="4">
        <f>C114+VLOOKUP(A114,Windows!$A$24:$C$30,2,FALSE)</f>
        <v/>
      </c>
      <c r="I114" s="4">
        <f>C114+VLOOKUP(A114,Windows!$A$24:$C$30,3,FALSE)</f>
        <v/>
      </c>
      <c r="J114">
        <f>I114-Windows!$B$2</f>
        <v/>
      </c>
      <c r="K114">
        <f>IF(Windows!$B$2&gt;I114,"expired",IF(Windows!$B$2&lt;H114,"not_yet_eligible",IF(J114&lt;=Windows!$B$9,"expiring","open")))</f>
        <v/>
      </c>
      <c r="L114">
        <f>VLOOKUP(A114,Windows!$A$15:$B$21,2,FALSE)</f>
        <v/>
      </c>
      <c r="M114">
        <f>IF(G114="","",G114*L114)</f>
        <v/>
      </c>
      <c r="N114" t="inlineStr">
        <is>
          <t>landed cost on file</t>
        </is>
      </c>
    </row>
    <row r="115">
      <c r="A115" t="inlineStr">
        <is>
          <t>damaged_return</t>
        </is>
      </c>
      <c r="B115" t="inlineStr">
        <is>
          <t>TH-CASIRO-01</t>
        </is>
      </c>
      <c r="C115" s="4" t="n">
        <v>46167</v>
      </c>
      <c r="D115" t="n">
        <v>1</v>
      </c>
      <c r="E115" t="inlineStr">
        <is>
          <t>111-4000215-7071290</t>
        </is>
      </c>
      <c r="F115">
        <f>IFERROR(VLOOKUP(B115,COGS!$A$2:$G$25,7,FALSE),"")</f>
        <v/>
      </c>
      <c r="G115">
        <f>IF(F115="","",D115*F115)</f>
        <v/>
      </c>
      <c r="H115" s="4">
        <f>C115+VLOOKUP(A115,Windows!$A$24:$C$30,2,FALSE)</f>
        <v/>
      </c>
      <c r="I115" s="4">
        <f>C115+VLOOKUP(A115,Windows!$A$24:$C$30,3,FALSE)</f>
        <v/>
      </c>
      <c r="J115">
        <f>I115-Windows!$B$2</f>
        <v/>
      </c>
      <c r="K115">
        <f>IF(Windows!$B$2&gt;I115,"expired",IF(Windows!$B$2&lt;H115,"not_yet_eligible",IF(J115&lt;=Windows!$B$9,"expiring","open")))</f>
        <v/>
      </c>
      <c r="L115">
        <f>VLOOKUP(A115,Windows!$A$15:$B$21,2,FALSE)</f>
        <v/>
      </c>
      <c r="M115">
        <f>IF(G115="","",G115*L115)</f>
        <v/>
      </c>
      <c r="N115" t="inlineStr">
        <is>
          <t>landed cost on file</t>
        </is>
      </c>
    </row>
    <row r="116">
      <c r="A116" t="inlineStr">
        <is>
          <t>damaged_return</t>
        </is>
      </c>
      <c r="B116" t="inlineStr">
        <is>
          <t>TH-CASIRO-01</t>
        </is>
      </c>
      <c r="C116" s="4" t="n">
        <v>46173</v>
      </c>
      <c r="D116" t="n">
        <v>1</v>
      </c>
      <c r="E116" t="inlineStr">
        <is>
          <t>111-4000484-5296207</t>
        </is>
      </c>
      <c r="F116">
        <f>IFERROR(VLOOKUP(B116,COGS!$A$2:$G$25,7,FALSE),"")</f>
        <v/>
      </c>
      <c r="G116">
        <f>IF(F116="","",D116*F116)</f>
        <v/>
      </c>
      <c r="H116" s="4">
        <f>C116+VLOOKUP(A116,Windows!$A$24:$C$30,2,FALSE)</f>
        <v/>
      </c>
      <c r="I116" s="4">
        <f>C116+VLOOKUP(A116,Windows!$A$24:$C$30,3,FALSE)</f>
        <v/>
      </c>
      <c r="J116">
        <f>I116-Windows!$B$2</f>
        <v/>
      </c>
      <c r="K116">
        <f>IF(Windows!$B$2&gt;I116,"expired",IF(Windows!$B$2&lt;H116,"not_yet_eligible",IF(J116&lt;=Windows!$B$9,"expiring","open")))</f>
        <v/>
      </c>
      <c r="L116">
        <f>VLOOKUP(A116,Windows!$A$15:$B$21,2,FALSE)</f>
        <v/>
      </c>
      <c r="M116">
        <f>IF(G116="","",G116*L116)</f>
        <v/>
      </c>
      <c r="N116" t="inlineStr">
        <is>
          <t>landed cost on file</t>
        </is>
      </c>
    </row>
    <row r="117">
      <c r="A117" t="inlineStr">
        <is>
          <t>damaged_return</t>
        </is>
      </c>
      <c r="B117" t="inlineStr">
        <is>
          <t>TH-PEPMIL-16</t>
        </is>
      </c>
      <c r="C117" s="4" t="n">
        <v>46182</v>
      </c>
      <c r="D117" t="n">
        <v>1</v>
      </c>
      <c r="E117" t="inlineStr">
        <is>
          <t>111-4007751-8335136</t>
        </is>
      </c>
      <c r="F117">
        <f>IFERROR(VLOOKUP(B117,COGS!$A$2:$G$25,7,FALSE),"")</f>
        <v/>
      </c>
      <c r="G117">
        <f>IF(F117="","",D117*F117)</f>
        <v/>
      </c>
      <c r="H117" s="4">
        <f>C117+VLOOKUP(A117,Windows!$A$24:$C$30,2,FALSE)</f>
        <v/>
      </c>
      <c r="I117" s="4">
        <f>C117+VLOOKUP(A117,Windows!$A$24:$C$30,3,FALSE)</f>
        <v/>
      </c>
      <c r="J117">
        <f>I117-Windows!$B$2</f>
        <v/>
      </c>
      <c r="K117">
        <f>IF(Windows!$B$2&gt;I117,"expired",IF(Windows!$B$2&lt;H117,"not_yet_eligible",IF(J117&lt;=Windows!$B$9,"expiring","open")))</f>
        <v/>
      </c>
      <c r="L117">
        <f>VLOOKUP(A117,Windows!$A$15:$B$21,2,FALSE)</f>
        <v/>
      </c>
      <c r="M117">
        <f>IF(G117="","",G117*L117)</f>
        <v/>
      </c>
      <c r="N117" t="inlineStr">
        <is>
          <t>landed cost on file</t>
        </is>
      </c>
    </row>
    <row r="118">
      <c r="A118" t="inlineStr">
        <is>
          <t>damaged_return</t>
        </is>
      </c>
      <c r="B118" t="inlineStr">
        <is>
          <t>TH-BREKNI-10</t>
        </is>
      </c>
      <c r="C118" s="4" t="n">
        <v>46202</v>
      </c>
      <c r="D118" t="n">
        <v>1</v>
      </c>
      <c r="E118" t="inlineStr">
        <is>
          <t>111-4004556-1470117</t>
        </is>
      </c>
      <c r="F118">
        <f>IFERROR(VLOOKUP(B118,COGS!$A$2:$G$25,7,FALSE),"")</f>
        <v/>
      </c>
      <c r="G118">
        <f>IF(F118="","",D118*F118)</f>
        <v/>
      </c>
      <c r="H118" s="4">
        <f>C118+VLOOKUP(A118,Windows!$A$24:$C$30,2,FALSE)</f>
        <v/>
      </c>
      <c r="I118" s="4">
        <f>C118+VLOOKUP(A118,Windows!$A$24:$C$30,3,FALSE)</f>
        <v/>
      </c>
      <c r="J118">
        <f>I118-Windows!$B$2</f>
        <v/>
      </c>
      <c r="K118">
        <f>IF(Windows!$B$2&gt;I118,"expired",IF(Windows!$B$2&lt;H118,"not_yet_eligible",IF(J118&lt;=Windows!$B$9,"expiring","open")))</f>
        <v/>
      </c>
      <c r="L118">
        <f>VLOOKUP(A118,Windows!$A$15:$B$21,2,FALSE)</f>
        <v/>
      </c>
      <c r="M118">
        <f>IF(G118="","",G118*L118)</f>
        <v/>
      </c>
      <c r="N118" t="inlineStr">
        <is>
          <t>landed cost on file</t>
        </is>
      </c>
    </row>
    <row r="119">
      <c r="A119" t="inlineStr">
        <is>
          <t>damaged_return</t>
        </is>
      </c>
      <c r="B119" t="inlineStr">
        <is>
          <t>TH-KNISHA-11</t>
        </is>
      </c>
      <c r="C119" s="4" t="n">
        <v>46189</v>
      </c>
      <c r="D119" t="n">
        <v>1</v>
      </c>
      <c r="E119" t="inlineStr">
        <is>
          <t>111-4005475-8663326</t>
        </is>
      </c>
      <c r="F119">
        <f>IFERROR(VLOOKUP(B119,COGS!$A$2:$G$25,7,FALSE),"")</f>
        <v/>
      </c>
      <c r="G119">
        <f>IF(F119="","",D119*F119)</f>
        <v/>
      </c>
      <c r="H119" s="4">
        <f>C119+VLOOKUP(A119,Windows!$A$24:$C$30,2,FALSE)</f>
        <v/>
      </c>
      <c r="I119" s="4">
        <f>C119+VLOOKUP(A119,Windows!$A$24:$C$30,3,FALSE)</f>
        <v/>
      </c>
      <c r="J119">
        <f>I119-Windows!$B$2</f>
        <v/>
      </c>
      <c r="K119">
        <f>IF(Windows!$B$2&gt;I119,"expired",IF(Windows!$B$2&lt;H119,"not_yet_eligible",IF(J119&lt;=Windows!$B$9,"expiring","open")))</f>
        <v/>
      </c>
      <c r="L119">
        <f>VLOOKUP(A119,Windows!$A$15:$B$21,2,FALSE)</f>
        <v/>
      </c>
      <c r="M119">
        <f>IF(G119="","",G119*L119)</f>
        <v/>
      </c>
      <c r="N119" t="inlineStr">
        <is>
          <t>landed cost on file</t>
        </is>
      </c>
    </row>
    <row r="120">
      <c r="A120" t="inlineStr">
        <is>
          <t>damaged_return</t>
        </is>
      </c>
      <c r="B120" t="inlineStr">
        <is>
          <t>TH-KITTOW-24</t>
        </is>
      </c>
      <c r="C120" s="4" t="n">
        <v>46170</v>
      </c>
      <c r="D120" t="n">
        <v>1</v>
      </c>
      <c r="E120" t="inlineStr">
        <is>
          <t>111-4011691-1549916</t>
        </is>
      </c>
      <c r="F120">
        <f>IFERROR(VLOOKUP(B120,COGS!$A$2:$G$25,7,FALSE),"")</f>
        <v/>
      </c>
      <c r="G120">
        <f>IF(F120="","",D120*F120)</f>
        <v/>
      </c>
      <c r="H120" s="4">
        <f>C120+VLOOKUP(A120,Windows!$A$24:$C$30,2,FALSE)</f>
        <v/>
      </c>
      <c r="I120" s="4">
        <f>C120+VLOOKUP(A120,Windows!$A$24:$C$30,3,FALSE)</f>
        <v/>
      </c>
      <c r="J120">
        <f>I120-Windows!$B$2</f>
        <v/>
      </c>
      <c r="K120">
        <f>IF(Windows!$B$2&gt;I120,"expired",IF(Windows!$B$2&lt;H120,"not_yet_eligible",IF(J120&lt;=Windows!$B$9,"expiring","open")))</f>
        <v/>
      </c>
      <c r="L120">
        <f>VLOOKUP(A120,Windows!$A$15:$B$21,2,FALSE)</f>
        <v/>
      </c>
      <c r="M120">
        <f>IF(G120="","",G120*L120)</f>
        <v/>
      </c>
      <c r="N120" t="inlineStr">
        <is>
          <t>landed cost on file</t>
        </is>
      </c>
    </row>
    <row r="121">
      <c r="A121" t="inlineStr">
        <is>
          <t>damaged_return</t>
        </is>
      </c>
      <c r="B121" t="inlineStr">
        <is>
          <t>TH-MEACUP-14</t>
        </is>
      </c>
      <c r="C121" s="4" t="n">
        <v>46180</v>
      </c>
      <c r="D121" t="n">
        <v>1</v>
      </c>
      <c r="E121" t="inlineStr">
        <is>
          <t>111-4006840-8088000</t>
        </is>
      </c>
      <c r="F121">
        <f>IFERROR(VLOOKUP(B121,COGS!$A$2:$G$25,7,FALSE),"")</f>
        <v/>
      </c>
      <c r="G121">
        <f>IF(F121="","",D121*F121)</f>
        <v/>
      </c>
      <c r="H121" s="4">
        <f>C121+VLOOKUP(A121,Windows!$A$24:$C$30,2,FALSE)</f>
        <v/>
      </c>
      <c r="I121" s="4">
        <f>C121+VLOOKUP(A121,Windows!$A$24:$C$30,3,FALSE)</f>
        <v/>
      </c>
      <c r="J121">
        <f>I121-Windows!$B$2</f>
        <v/>
      </c>
      <c r="K121">
        <f>IF(Windows!$B$2&gt;I121,"expired",IF(Windows!$B$2&lt;H121,"not_yet_eligible",IF(J121&lt;=Windows!$B$9,"expiring","open")))</f>
        <v/>
      </c>
      <c r="L121">
        <f>VLOOKUP(A121,Windows!$A$15:$B$21,2,FALSE)</f>
        <v/>
      </c>
      <c r="M121">
        <f>IF(G121="","",G121*L121)</f>
        <v/>
      </c>
      <c r="N121" t="inlineStr">
        <is>
          <t>landed cost on file</t>
        </is>
      </c>
    </row>
    <row r="122">
      <c r="A122" t="inlineStr">
        <is>
          <t>damaged_return</t>
        </is>
      </c>
      <c r="B122" t="inlineStr">
        <is>
          <t>TH-OVEMIT-22</t>
        </is>
      </c>
      <c r="C122" s="4" t="n">
        <v>46175</v>
      </c>
      <c r="D122" t="n">
        <v>1</v>
      </c>
      <c r="E122" t="inlineStr">
        <is>
          <t>111-4010492-1396270</t>
        </is>
      </c>
      <c r="F122">
        <f>IFERROR(VLOOKUP(B122,COGS!$A$2:$G$25,7,FALSE),"")</f>
        <v/>
      </c>
      <c r="G122">
        <f>IF(F122="","",D122*F122)</f>
        <v/>
      </c>
      <c r="H122" s="4">
        <f>C122+VLOOKUP(A122,Windows!$A$24:$C$30,2,FALSE)</f>
        <v/>
      </c>
      <c r="I122" s="4">
        <f>C122+VLOOKUP(A122,Windows!$A$24:$C$30,3,FALSE)</f>
        <v/>
      </c>
      <c r="J122">
        <f>I122-Windows!$B$2</f>
        <v/>
      </c>
      <c r="K122">
        <f>IF(Windows!$B$2&gt;I122,"expired",IF(Windows!$B$2&lt;H122,"not_yet_eligible",IF(J122&lt;=Windows!$B$9,"expiring","open")))</f>
        <v/>
      </c>
      <c r="L122">
        <f>VLOOKUP(A122,Windows!$A$15:$B$21,2,FALSE)</f>
        <v/>
      </c>
      <c r="M122">
        <f>IF(G122="","",G122*L122)</f>
        <v/>
      </c>
      <c r="N122" t="inlineStr">
        <is>
          <t>landed cost on file</t>
        </is>
      </c>
    </row>
    <row r="123">
      <c r="A123" t="inlineStr">
        <is>
          <t>damaged_return</t>
        </is>
      </c>
      <c r="B123" t="inlineStr">
        <is>
          <t>TH-OVEMIT-22</t>
        </is>
      </c>
      <c r="C123" s="4" t="n">
        <v>46187</v>
      </c>
      <c r="D123" t="n">
        <v>1</v>
      </c>
      <c r="E123" t="inlineStr">
        <is>
          <t>111-4010601-7598678</t>
        </is>
      </c>
      <c r="F123">
        <f>IFERROR(VLOOKUP(B123,COGS!$A$2:$G$25,7,FALSE),"")</f>
        <v/>
      </c>
      <c r="G123">
        <f>IF(F123="","",D123*F123)</f>
        <v/>
      </c>
      <c r="H123" s="4">
        <f>C123+VLOOKUP(A123,Windows!$A$24:$C$30,2,FALSE)</f>
        <v/>
      </c>
      <c r="I123" s="4">
        <f>C123+VLOOKUP(A123,Windows!$A$24:$C$30,3,FALSE)</f>
        <v/>
      </c>
      <c r="J123">
        <f>I123-Windows!$B$2</f>
        <v/>
      </c>
      <c r="K123">
        <f>IF(Windows!$B$2&gt;I123,"expired",IF(Windows!$B$2&lt;H123,"not_yet_eligible",IF(J123&lt;=Windows!$B$9,"expiring","open")))</f>
        <v/>
      </c>
      <c r="L123">
        <f>VLOOKUP(A123,Windows!$A$15:$B$21,2,FALSE)</f>
        <v/>
      </c>
      <c r="M123">
        <f>IF(G123="","",G123*L123)</f>
        <v/>
      </c>
      <c r="N123" t="inlineStr">
        <is>
          <t>landed cost on file</t>
        </is>
      </c>
    </row>
    <row r="124">
      <c r="A124" t="inlineStr">
        <is>
          <t>damaged_return</t>
        </is>
      </c>
      <c r="B124" t="inlineStr">
        <is>
          <t>TH-SALCEL-15</t>
        </is>
      </c>
      <c r="C124" s="4" t="n">
        <v>46187</v>
      </c>
      <c r="D124" t="n">
        <v>1</v>
      </c>
      <c r="E124" t="inlineStr">
        <is>
          <t>111-4007423-8658050</t>
        </is>
      </c>
      <c r="F124">
        <f>IFERROR(VLOOKUP(B124,COGS!$A$2:$G$25,7,FALSE),"")</f>
        <v/>
      </c>
      <c r="G124">
        <f>IF(F124="","",D124*F124)</f>
        <v/>
      </c>
      <c r="H124" s="4">
        <f>C124+VLOOKUP(A124,Windows!$A$24:$C$30,2,FALSE)</f>
        <v/>
      </c>
      <c r="I124" s="4">
        <f>C124+VLOOKUP(A124,Windows!$A$24:$C$30,3,FALSE)</f>
        <v/>
      </c>
      <c r="J124">
        <f>I124-Windows!$B$2</f>
        <v/>
      </c>
      <c r="K124">
        <f>IF(Windows!$B$2&gt;I124,"expired",IF(Windows!$B$2&lt;H124,"not_yet_eligible",IF(J124&lt;=Windows!$B$9,"expiring","open")))</f>
        <v/>
      </c>
      <c r="L124">
        <f>VLOOKUP(A124,Windows!$A$15:$B$21,2,FALSE)</f>
        <v/>
      </c>
      <c r="M124">
        <f>IF(G124="","",G124*L124)</f>
        <v/>
      </c>
      <c r="N124" t="inlineStr">
        <is>
          <t>landed cost on file</t>
        </is>
      </c>
    </row>
    <row r="126">
      <c r="A126" s="5" t="inlineStr">
        <is>
          <t>Demo rows above are Tarnhollow demo data, judged as of 2026-09-01. Delete them and add your 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8" customWidth="1" min="5" max="5"/>
    <col width="12" customWidth="1" min="6" max="6"/>
    <col width="24" customWidth="1" min="7" max="7"/>
    <col width="12" customWidth="1" min="8" max="8"/>
    <col width="40" customWidth="1" min="9" max="9"/>
  </cols>
  <sheetData>
    <row r="1">
      <c r="A1" s="2" t="inlineStr">
        <is>
          <t>Claim row</t>
        </is>
      </c>
      <c r="B1" s="2" t="inlineStr">
        <is>
          <t>SKU</t>
        </is>
      </c>
      <c r="C1" s="2" t="inlineStr">
        <is>
          <t>Case id</t>
        </is>
      </c>
      <c r="D1" s="2" t="inlineStr">
        <is>
          <t>Filed on</t>
        </is>
      </c>
      <c r="E1" s="2" t="inlineStr">
        <is>
          <t>Amazon's answer</t>
        </is>
      </c>
      <c r="F1" s="2" t="inlineStr">
        <is>
          <t>Paid in cash</t>
        </is>
      </c>
      <c r="G1" s="2" t="inlineStr">
        <is>
          <t>Replaced in inventory (units)</t>
        </is>
      </c>
      <c r="H1" s="2" t="inlineStr">
        <is>
          <t>Paid on</t>
        </is>
      </c>
      <c r="I1" s="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2026-09-18T23:11:48Z</dcterms:created>
  <dcterms:modified xsi:type="dcterms:W3CDTF">2026-09-18T23:11:48Z</dcterms:modified>
</cp:coreProperties>
</file>