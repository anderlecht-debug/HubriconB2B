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tart here" sheetId="1" state="visible" r:id="rId3"/>
    <sheet name="Your cycle" sheetId="2" state="visible" r:id="rId4"/>
    <sheet name="Cash path" sheetId="3" state="visible" r:id="rId5"/>
    <sheet name="Your wire" sheetId="4" state="visible" r:id="rId6"/>
    <sheet name="Service level" sheetId="5" state="visible" r:id="rId7"/>
    <sheet name="Hold or sell" sheetId="6" state="visible" r:id="rId8"/>
    <sheet name="Two weeks late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<sst xmlns="http://schemas.openxmlformats.org/spreadsheetml/2006/main" count="186" uniqueCount="165">
  <si>
    <t xml:space="preserve">Capital &amp; Cash</t>
  </si>
  <si>
    <t xml:space="preserve">A free course from Hubricon: hubricon.com/learn/capital-and-cash</t>
  </si>
  <si>
    <t xml:space="preserve">What this file does</t>
  </si>
  <si>
    <t xml:space="preserve">Your cycle: how many days a dollar wired to your supplier is gone, and the cash that ties up.</t>
  </si>
  <si>
    <t xml:space="preserve">Cash path: your bank balance for 90 days, its low point after the wire, and the cash to hold for a bad month.</t>
  </si>
  <si>
    <t xml:space="preserve">Your wire: the reorder point, the order, and the day and size of the wire, from your own sales and lead time.</t>
  </si>
  <si>
    <t xml:space="preserve">Service level: how much stock each SKU's margin pays for, one SKU a row.</t>
  </si>
  <si>
    <t xml:space="preserve">Hold or sell: what units already on the shelf bring, kept or liquidated.</t>
  </si>
  <si>
    <t xml:space="preserve">Two weeks late: the chance of running out, and the margin lost, for each day a wire goes late.</t>
  </si>
  <si>
    <t xml:space="preserve">How to use it</t>
  </si>
  <si>
    <t xml:space="preserve">Yellow cells are yours. Everything else is a formula you can read.</t>
  </si>
  <si>
    <t xml:space="preserve">It opens on the course's examples: an invented stainless garlic press and an invented silicone spatula set. Their sales, costs and bank balance are invented; the fees are Amazon's published 2026 schedule. Type over them.</t>
  </si>
  <si>
    <t xml:space="preserve">Where the arithmetic comes from</t>
  </si>
  <si>
    <t xml:space="preserve">Hubricon's engine: models/inventory_sim.py, inventory_econ.py and cashflow.py. This file was checked against it before it was published.</t>
  </si>
  <si>
    <t xml:space="preserve">One difference, stated: the engine counts lead-time demand exactly, sale by sale; a spreadsheet uses the lognormal that carries it, which agrees within a few units on most listings.</t>
  </si>
  <si>
    <t xml:space="preserve">Your cycle: how many days a dollar wired to your supplier is gone</t>
  </si>
  <si>
    <t xml:space="preserve">Yellow cells are yours. Amazon holds a sale's money until 7 days after delivery (DD+7), settles every 14 days, and the bank takes a few days more.</t>
  </si>
  <si>
    <t xml:space="preserve">Lead time: order to sellable, days</t>
  </si>
  <si>
    <t xml:space="preserve">Units sold a day</t>
  </si>
  <si>
    <t xml:space="preserve">Units in the order</t>
  </si>
  <si>
    <t xml:space="preserve">Landed cost a unit</t>
  </si>
  <si>
    <t xml:space="preserve">Days from a sale until the platform can pay it</t>
  </si>
  <si>
    <t xml:space="preserve">Days between payouts</t>
  </si>
  <si>
    <t xml:space="preserve">Days for the transfer to reach your bank</t>
  </si>
  <si>
    <t xml:space="preserve">Share of the order paid on the day you order</t>
  </si>
  <si>
    <t xml:space="preserve">Days after the order the rest is paid</t>
  </si>
  <si>
    <t xml:space="preserve">Days the order takes to sell</t>
  </si>
  <si>
    <t xml:space="preserve">Days until the average unit sells</t>
  </si>
  <si>
    <t xml:space="preserve">Days until you are paid for it, on average</t>
  </si>
  <si>
    <t xml:space="preserve">Days of supplier credit</t>
  </si>
  <si>
    <t xml:space="preserve">Days a dollar is gone</t>
  </si>
  <si>
    <t xml:space="preserve">Cash your cycle holds</t>
  </si>
  <si>
    <t xml:space="preserve">Amazon: a sale is payable 7 days after delivery (its own example: delivered January 6, available January 14), settles every 14 days unless you request a payout, and the transfer takes up to five business days. Shopify Payments: 3 to 5 business days, on a daily, weekly or monthly schedule.</t>
  </si>
  <si>
    <t xml:space="preserve">Cash path: your bank balance for the next 90 days, and how much cash to hold</t>
  </si>
  <si>
    <t xml:space="preserve">Yellow cells are yours. The wire comes from Your wire. The bad case is simulated: press F9 (Excel) or Ctrl+Shift+F9 (LibreOffice) for new draws; the figures barely move.</t>
  </si>
  <si>
    <t xml:space="preserve">Cash in the bank today</t>
  </si>
  <si>
    <t xml:space="preserve">The bad case, simulated: one path a row</t>
  </si>
  <si>
    <t xml:space="preserve">Fixed costs a month</t>
  </si>
  <si>
    <t xml:space="preserve">Day</t>
  </si>
  <si>
    <t xml:space="preserve">Payout in</t>
  </si>
  <si>
    <t xml:space="preserve">Fixed costs</t>
  </si>
  <si>
    <t xml:space="preserve">Ads</t>
  </si>
  <si>
    <t xml:space="preserve">Wire</t>
  </si>
  <si>
    <t xml:space="preserve">Balance</t>
  </si>
  <si>
    <t xml:space="preserve">Path</t>
  </si>
  <si>
    <t xml:space="preserve">Payout 1</t>
  </si>
  <si>
    <t xml:space="preserve">Payout 2</t>
  </si>
  <si>
    <t xml:space="preserve">Payout 3</t>
  </si>
  <si>
    <t xml:space="preserve">Payout 4</t>
  </si>
  <si>
    <t xml:space="preserve">Payout 5</t>
  </si>
  <si>
    <t xml:space="preserve">Payout 6</t>
  </si>
  <si>
    <t xml:space="preserve">Before payout 1</t>
  </si>
  <si>
    <t xml:space="preserve">Before payout 2</t>
  </si>
  <si>
    <t xml:space="preserve">Before payout 3</t>
  </si>
  <si>
    <t xml:space="preserve">Before payout 4</t>
  </si>
  <si>
    <t xml:space="preserve">Before payout 5</t>
  </si>
  <si>
    <t xml:space="preserve">Before payout 6</t>
  </si>
  <si>
    <t xml:space="preserve">Day 90</t>
  </si>
  <si>
    <t xml:space="preserve">Lowest</t>
  </si>
  <si>
    <t xml:space="preserve">Ad spend a month</t>
  </si>
  <si>
    <t xml:space="preserve">Spread of units a day</t>
  </si>
  <si>
    <t xml:space="preserve">Price</t>
  </si>
  <si>
    <t xml:space="preserve">Amazon's fees as a share of revenue</t>
  </si>
  <si>
    <t xml:space="preserve">Day the wire leaves</t>
  </si>
  <si>
    <t xml:space="preserve">The wire</t>
  </si>
  <si>
    <t xml:space="preserve">Cash a day of sales brings (after fees)</t>
  </si>
  <si>
    <t xml:space="preserve">Each payout, on average</t>
  </si>
  <si>
    <t xml:space="preserve">Low point of the balance (middle case)</t>
  </si>
  <si>
    <t xml:space="preserve">Day of the low point</t>
  </si>
  <si>
    <t xml:space="preserve">Low point, 1 path in 20 is worse than</t>
  </si>
  <si>
    <t xml:space="preserve">Average of the worst 20th</t>
  </si>
  <si>
    <t xml:space="preserve">Cash to hold for this cycle (before your floor)</t>
  </si>
  <si>
    <t xml:space="preserve">Each payout carries a payout cycle's sales, made two weeks or so before it lands: the sales the platform holds today pay the first ones. Fixed costs and ads leave every day; the wire leaves on its day.</t>
  </si>
  <si>
    <t xml:space="preserve">Your wire: when to reorder, how much, and on which day the money leaves</t>
  </si>
  <si>
    <t xml:space="preserve">Yellow cells are yours. Units a day and its spread come from your own sales: the average and the standard deviation of units a day across periods.</t>
  </si>
  <si>
    <t xml:space="preserve">Units sold a day (average)</t>
  </si>
  <si>
    <t xml:space="preserve">Spread of units a day (standard deviation)</t>
  </si>
  <si>
    <t xml:space="preserve">How much the lead time varies (share)</t>
  </si>
  <si>
    <t xml:space="preserve">Service level for the reorder point</t>
  </si>
  <si>
    <t xml:space="preserve">On hand + inbound today, units</t>
  </si>
  <si>
    <t xml:space="preserve">Days the order covers after it lands</t>
  </si>
  <si>
    <t xml:space="preserve">Today's date</t>
  </si>
  <si>
    <t xml:space="preserve">Spread of the rate, on logs</t>
  </si>
  <si>
    <t xml:space="preserve">Lead-time demand: log centre</t>
  </si>
  <si>
    <t xml:space="preserve">Lead-time demand: log spread</t>
  </si>
  <si>
    <t xml:space="preserve">Average units sold over the lead time</t>
  </si>
  <si>
    <t xml:space="preserve">Reorder point (units)</t>
  </si>
  <si>
    <t xml:space="preserve">Safety stock (units)</t>
  </si>
  <si>
    <t xml:space="preserve">The textbook reorder point, for comparison</t>
  </si>
  <si>
    <t xml:space="preserve">Order (units)</t>
  </si>
  <si>
    <t xml:space="preserve">Day the wire leaves (day 1 is tomorrow)</t>
  </si>
  <si>
    <t xml:space="preserve">Date of the wire</t>
  </si>
  <si>
    <t xml:space="preserve">Then a wire every (days)</t>
  </si>
  <si>
    <t xml:space="preserve">The reorder point is the 95th percentile of units sold over the lead time, with the rate and the lead time both uncertain. Hubricon's engine also adds the day-to-day randomness of each sale and computes it exactly; on most listings the two agree within a few units.</t>
  </si>
  <si>
    <t xml:space="preserve">The textbook formula treats a slow month as noise that averages out over the lead time. It usually reads low.</t>
  </si>
  <si>
    <t xml:space="preserve">Service level: how much stock each SKU's margin pays for</t>
  </si>
  <si>
    <t xml:space="preserve">One SKU a row; yellow cells are yours. Short = the margin lost plus Amazon's low-inventory-level fee; left over = storage for the cycle, the cash tied up and a small write-off.</t>
  </si>
  <si>
    <t xml:space="preserve">This month (1–12): storage is dearer October to December</t>
  </si>
  <si>
    <t xml:space="preserve">SKU</t>
  </si>
  <si>
    <t xml:space="preserve">Referral rate</t>
  </si>
  <si>
    <t xml:space="preserve">Fulfilment fee</t>
  </si>
  <si>
    <t xml:space="preserve">Landed cost</t>
  </si>
  <si>
    <t xml:space="preserve">Cubic feet a unit</t>
  </si>
  <si>
    <t xml:space="preserve">Units a day</t>
  </si>
  <si>
    <t xml:space="preserve">Lead time, days</t>
  </si>
  <si>
    <t xml:space="preserve">Low-inventory fee if short</t>
  </si>
  <si>
    <t xml:space="preserve">Contribution a unit</t>
  </si>
  <si>
    <t xml:space="preserve">Margin a unit</t>
  </si>
  <si>
    <t xml:space="preserve">Cycle, days</t>
  </si>
  <si>
    <t xml:space="preserve">Storage for the cycle</t>
  </si>
  <si>
    <t xml:space="preserve">Cash tied up</t>
  </si>
  <si>
    <t xml:space="preserve">Write-off</t>
  </si>
  <si>
    <t xml:space="preserve">One left over costs</t>
  </si>
  <si>
    <t xml:space="preserve">One short costs</t>
  </si>
  <si>
    <t xml:space="preserve">Service level</t>
  </si>
  <si>
    <t xml:space="preserve">Order up to</t>
  </si>
  <si>
    <t xml:space="preserve">Order up to at 95%</t>
  </si>
  <si>
    <t xml:space="preserve">Garlic press</t>
  </si>
  <si>
    <t xml:space="preserve">Spatula set</t>
  </si>
  <si>
    <t xml:space="preserve">Service level = one short ÷ (one short + one left over), kept between 50% and 99.5%. Cash tied up at 12% a year; write-off 2% of landed cost a cycle; cycle = lead time + a week.</t>
  </si>
  <si>
    <t xml:space="preserve">Amazon's low-inventory-level fee (2026) depends on the size tier and the days of supply: see the course, lesson 4. Use the under-14-days rate for the cost of running short.</t>
  </si>
  <si>
    <t xml:space="preserve">Hold or sell: what units already on the shelf are worth, kept or liquidated</t>
  </si>
  <si>
    <t xml:space="preserve">The landed cost is spent either way, so it counts on neither side. Holding earns each month's sales less storage and the aged surcharge; liquidating returns a share of the price now.</t>
  </si>
  <si>
    <t xml:space="preserve">Units on hand</t>
  </si>
  <si>
    <t xml:space="preserve">Aged surcharge (a cubic foot a month)</t>
  </si>
  <si>
    <t xml:space="preserve">From day</t>
  </si>
  <si>
    <t xml:space="preserve">Rate</t>
  </si>
  <si>
    <t xml:space="preserve">Cash a unit brings when it sells (price less Amazon's fees)</t>
  </si>
  <si>
    <t xml:space="preserve">Age of the units today, days</t>
  </si>
  <si>
    <t xml:space="preserve">This month (1–12)</t>
  </si>
  <si>
    <t xml:space="preserve">Days of cover to keep</t>
  </si>
  <si>
    <t xml:space="preserve">Liquidation returns (share of price)</t>
  </si>
  <si>
    <t xml:space="preserve">Interest on cash a year</t>
  </si>
  <si>
    <t xml:space="preserve">Units of cover to keep</t>
  </si>
  <si>
    <t xml:space="preserve">Past 365 days, at least this a unit a month:</t>
  </si>
  <si>
    <t xml:space="preserve">Excess units</t>
  </si>
  <si>
    <t xml:space="preserve">Storage a cubic foot: Jan–Sep / Oct–Dec</t>
  </si>
  <si>
    <t xml:space="preserve">Hold: what the excess brings, sold over time</t>
  </si>
  <si>
    <t xml:space="preserve">Liquidate now</t>
  </si>
  <si>
    <t xml:space="preserve">The better choice</t>
  </si>
  <si>
    <t xml:space="preserve">Months until the excess is gone</t>
  </si>
  <si>
    <t xml:space="preserve">Holding everything: month by month</t>
  </si>
  <si>
    <t xml:space="preserve">Liquidating the excess, holding the cover</t>
  </si>
  <si>
    <t xml:space="preserve">Month</t>
  </si>
  <si>
    <t xml:space="preserve">Calendar month</t>
  </si>
  <si>
    <t xml:space="preserve">Age, days</t>
  </si>
  <si>
    <t xml:space="preserve">Units at the start</t>
  </si>
  <si>
    <t xml:space="preserve">Sold</t>
  </si>
  <si>
    <t xml:space="preserve">Left after</t>
  </si>
  <si>
    <t xml:space="preserve">Storage and surcharge</t>
  </si>
  <si>
    <t xml:space="preserve">Cash</t>
  </si>
  <si>
    <t xml:space="preserve">Discount</t>
  </si>
  <si>
    <t xml:space="preserve">Worth today</t>
  </si>
  <si>
    <t xml:space="preserve">Left at 24 months, liquidated then</t>
  </si>
  <si>
    <t xml:space="preserve">Hold = (everything held) − (the cover alone held): what the excess adds by staying. Discounted at the interest rate, a month at a time. Leftovers after 24 months are liquidated.</t>
  </si>
  <si>
    <t xml:space="preserve">Two weeks late: what waiting past the reorder point costs</t>
  </si>
  <si>
    <t xml:space="preserve">Linked to Your wire. The chance of running out before the order lands and the units you would be short, for each day the wire goes late.</t>
  </si>
  <si>
    <t xml:space="preserve">Margin a unit (price less fees and landed cost)</t>
  </si>
  <si>
    <t xml:space="preserve">From Your wire: units a day, reorder point, and the lead-time demand's log centre and spread</t>
  </si>
  <si>
    <t xml:space="preserve">Days late</t>
  </si>
  <si>
    <t xml:space="preserve">Position when the wire goes</t>
  </si>
  <si>
    <t xml:space="preserve">Chance of running out</t>
  </si>
  <si>
    <t xml:space="preserve">Units short, on average</t>
  </si>
  <si>
    <t xml:space="preserve">Margin lost a cycle</t>
  </si>
  <si>
    <t xml:space="preserve">Left out: the sales rank a stockout loses, and Amazon's low-inventory-level fee while cover is thin. Both make late worse.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</si>
</sst>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0.00"/>
    <numFmt numFmtId="167" formatCode="\$#,##0.00"/>
    <numFmt numFmtId="168" formatCode="0%"/>
    <numFmt numFmtId="169" formatCode="0.0"/>
    <numFmt numFmtId="170" formatCode="\$#,##0"/>
    <numFmt numFmtId="171" formatCode="0.0%"/>
    <numFmt numFmtId="172" formatCode="yyyy\-mm\-dd"/>
    <numFmt numFmtId="173" formatCode="0.0000"/>
    <numFmt numFmtId="174" formatCode="0.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name val="Arial"/>
      <family val="0"/>
      <charset val="1"/>
    </font>
    <font>
      <sz val="11"/>
      <name val="&quot;$&quot;#,##0.00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 pitchFamily="0" charset="1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1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/>
    </row>
    <row r="16" customFormat="false" ht="15" hidden="false" customHeight="false" outlineLevel="0" collapsed="false">
      <c r="A16" s="3" t="s">
        <v>12</v>
      </c>
    </row>
    <row r="17" customFormat="false" ht="15" hidden="false" customHeight="false" outlineLevel="0" collapsed="false">
      <c r="A17" s="2" t="s">
        <v>13</v>
      </c>
    </row>
    <row r="18" customFormat="false" ht="15" hidden="false" customHeight="false" outlineLevel="0" collapsed="false">
      <c r="A18" s="2" t="s">
        <v>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15</v>
      </c>
    </row>
    <row r="2" customFormat="false" ht="15" hidden="false" customHeight="false" outlineLevel="0" collapsed="false">
      <c r="A2" s="4" t="s">
        <v>16</v>
      </c>
    </row>
    <row r="4" customFormat="false" ht="15" hidden="false" customHeight="false" outlineLevel="0" collapsed="false">
      <c r="A4" s="2" t="s">
        <v>17</v>
      </c>
      <c r="B4" s="5" t="n">
        <f aca="false">'Your wire'!B6</f>
        <v>75</v>
      </c>
    </row>
    <row r="5" customFormat="false" ht="15" hidden="false" customHeight="false" outlineLevel="0" collapsed="false">
      <c r="A5" s="2" t="s">
        <v>18</v>
      </c>
      <c r="B5" s="6" t="n">
        <f aca="false">'Your wire'!B4</f>
        <v>17.1809</v>
      </c>
    </row>
    <row r="6" customFormat="false" ht="15" hidden="false" customHeight="false" outlineLevel="0" collapsed="false">
      <c r="A6" s="2" t="s">
        <v>19</v>
      </c>
      <c r="B6" s="5" t="n">
        <f aca="false">'Your wire'!B21</f>
        <v>1804</v>
      </c>
    </row>
    <row r="7" customFormat="false" ht="15" hidden="false" customHeight="false" outlineLevel="0" collapsed="false">
      <c r="A7" s="2" t="s">
        <v>20</v>
      </c>
      <c r="B7" s="7" t="n">
        <f aca="false">'Your wire'!B10</f>
        <v>6.2</v>
      </c>
    </row>
    <row r="8" customFormat="false" ht="15" hidden="false" customHeight="false" outlineLevel="0" collapsed="false">
      <c r="A8" s="2" t="s">
        <v>21</v>
      </c>
      <c r="B8" s="5" t="n">
        <v>10</v>
      </c>
    </row>
    <row r="9" customFormat="false" ht="15" hidden="false" customHeight="false" outlineLevel="0" collapsed="false">
      <c r="A9" s="2" t="s">
        <v>22</v>
      </c>
      <c r="B9" s="5" t="n">
        <v>14</v>
      </c>
    </row>
    <row r="10" customFormat="false" ht="15" hidden="false" customHeight="false" outlineLevel="0" collapsed="false">
      <c r="A10" s="2" t="s">
        <v>23</v>
      </c>
      <c r="B10" s="5" t="n">
        <v>4</v>
      </c>
    </row>
    <row r="11" customFormat="false" ht="15" hidden="false" customHeight="false" outlineLevel="0" collapsed="false">
      <c r="A11" s="2" t="s">
        <v>24</v>
      </c>
      <c r="B11" s="8" t="n">
        <v>1</v>
      </c>
    </row>
    <row r="12" customFormat="false" ht="15" hidden="false" customHeight="false" outlineLevel="0" collapsed="false">
      <c r="A12" s="2" t="s">
        <v>25</v>
      </c>
      <c r="B12" s="5" t="n">
        <v>0</v>
      </c>
    </row>
    <row r="14" customFormat="false" ht="15" hidden="false" customHeight="false" outlineLevel="0" collapsed="false">
      <c r="A14" s="2" t="s">
        <v>26</v>
      </c>
      <c r="B14" s="9" t="n">
        <f aca="false">B6/B5</f>
        <v>105.000320122927</v>
      </c>
    </row>
    <row r="15" customFormat="false" ht="15" hidden="false" customHeight="false" outlineLevel="0" collapsed="false">
      <c r="A15" s="2" t="s">
        <v>27</v>
      </c>
      <c r="B15" s="9" t="n">
        <f aca="false">B4+B14/2</f>
        <v>127.500160061464</v>
      </c>
    </row>
    <row r="16" customFormat="false" ht="15" hidden="false" customHeight="false" outlineLevel="0" collapsed="false">
      <c r="A16" s="2" t="s">
        <v>28</v>
      </c>
      <c r="B16" s="9" t="n">
        <f aca="false">B8+B9/2+B10</f>
        <v>21</v>
      </c>
    </row>
    <row r="17" customFormat="false" ht="15" hidden="false" customHeight="false" outlineLevel="0" collapsed="false">
      <c r="A17" s="2" t="s">
        <v>29</v>
      </c>
      <c r="B17" s="9" t="n">
        <f aca="false">(1-B11)*B12</f>
        <v>0</v>
      </c>
    </row>
    <row r="18" customFormat="false" ht="15" hidden="false" customHeight="false" outlineLevel="0" collapsed="false">
      <c r="A18" s="10" t="s">
        <v>30</v>
      </c>
      <c r="B18" s="11" t="n">
        <f aca="false">B15+B16-B17</f>
        <v>148.500160061464</v>
      </c>
    </row>
    <row r="19" customFormat="false" ht="15" hidden="false" customHeight="false" outlineLevel="0" collapsed="false">
      <c r="A19" s="10" t="s">
        <v>31</v>
      </c>
      <c r="B19" s="12" t="n">
        <f aca="false">B5*B7*B18</f>
        <v>15818.47168</v>
      </c>
    </row>
    <row r="21" customFormat="false" ht="15" hidden="false" customHeight="false" outlineLevel="0" collapsed="false">
      <c r="A21" s="4" t="s">
        <v>32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0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33</v>
      </c>
    </row>
    <row r="2" customFormat="false" ht="15" hidden="false" customHeight="false" outlineLevel="0" collapsed="false">
      <c r="A2" s="4" t="s">
        <v>34</v>
      </c>
    </row>
    <row r="4" customFormat="false" ht="15" hidden="false" customHeight="false" outlineLevel="0" collapsed="false">
      <c r="A4" s="2" t="s">
        <v>35</v>
      </c>
      <c r="B4" s="13" t="n">
        <v>11000</v>
      </c>
      <c r="K4" s="3" t="s">
        <v>36</v>
      </c>
    </row>
    <row r="5" customFormat="false" ht="15" hidden="false" customHeight="false" outlineLevel="0" collapsed="false">
      <c r="A5" s="2" t="s">
        <v>37</v>
      </c>
      <c r="B5" s="13" t="n">
        <v>4000</v>
      </c>
      <c r="D5" s="10" t="s">
        <v>38</v>
      </c>
      <c r="E5" s="10" t="s">
        <v>39</v>
      </c>
      <c r="F5" s="10" t="s">
        <v>40</v>
      </c>
      <c r="G5" s="10" t="s">
        <v>41</v>
      </c>
      <c r="H5" s="10" t="s">
        <v>42</v>
      </c>
      <c r="I5" s="10" t="s">
        <v>43</v>
      </c>
      <c r="K5" s="10" t="s">
        <v>44</v>
      </c>
      <c r="L5" s="10" t="s">
        <v>45</v>
      </c>
      <c r="M5" s="10" t="s">
        <v>46</v>
      </c>
      <c r="N5" s="10" t="s">
        <v>47</v>
      </c>
      <c r="O5" s="10" t="s">
        <v>48</v>
      </c>
      <c r="P5" s="10" t="s">
        <v>49</v>
      </c>
      <c r="Q5" s="10" t="s">
        <v>50</v>
      </c>
      <c r="R5" s="10" t="s">
        <v>51</v>
      </c>
      <c r="S5" s="10" t="s">
        <v>52</v>
      </c>
      <c r="T5" s="10" t="s">
        <v>53</v>
      </c>
      <c r="U5" s="10" t="s">
        <v>54</v>
      </c>
      <c r="V5" s="10" t="s">
        <v>55</v>
      </c>
      <c r="W5" s="10" t="s">
        <v>56</v>
      </c>
      <c r="X5" s="10" t="s">
        <v>57</v>
      </c>
      <c r="AA5" s="10" t="s">
        <v>58</v>
      </c>
    </row>
    <row r="6" customFormat="false" ht="15" hidden="false" customHeight="false" outlineLevel="0" collapsed="false">
      <c r="A6" s="2" t="s">
        <v>59</v>
      </c>
      <c r="B6" s="13" t="n">
        <v>900</v>
      </c>
      <c r="D6" s="2" t="n">
        <v>1</v>
      </c>
      <c r="E6" s="14" t="n">
        <f aca="false">IF(MOD(D6,$B$13)=0,$B$16,0)</f>
        <v>0</v>
      </c>
      <c r="F6" s="14" t="n">
        <f aca="false">$B$5/30</f>
        <v>133.333333333333</v>
      </c>
      <c r="G6" s="14" t="n">
        <f aca="false">$B$6/30</f>
        <v>30</v>
      </c>
      <c r="H6" s="14" t="n">
        <f aca="false">IF(D6=$B$11,$B$12,0)</f>
        <v>0</v>
      </c>
      <c r="I6" s="14" t="n">
        <f aca="false">$B$4+E6-F6-G6-H6</f>
        <v>10836.6666666667</v>
      </c>
      <c r="K6" s="2" t="n">
        <v>1</v>
      </c>
      <c r="L6" s="14" t="n">
        <f aca="true">$B$16+NORMINV(RAND(),0,SQRT($B$13*($B$7+$B$8^2))*$B$9*(1-$B$10))</f>
        <v>3934.24970196757</v>
      </c>
      <c r="M6" s="14" t="n">
        <f aca="true">$B$16+NORMINV(RAND(),0,SQRT($B$13*($B$7+$B$8^2))*$B$9*(1-$B$10))</f>
        <v>4559.48660795773</v>
      </c>
      <c r="N6" s="14" t="n">
        <f aca="true">$B$16+NORMINV(RAND(),0,SQRT($B$13*($B$7+$B$8^2))*$B$9*(1-$B$10))</f>
        <v>4604.48750969354</v>
      </c>
      <c r="O6" s="14" t="n">
        <f aca="true">$B$16+NORMINV(RAND(),0,SQRT($B$13*($B$7+$B$8^2))*$B$9*(1-$B$10))</f>
        <v>4343.65677688857</v>
      </c>
      <c r="P6" s="14" t="n">
        <f aca="true">$B$16+NORMINV(RAND(),0,SQRT($B$13*($B$7+$B$8^2))*$B$9*(1-$B$10))</f>
        <v>4548.04790952273</v>
      </c>
      <c r="Q6" s="14" t="n">
        <f aca="true">$B$16+NORMINV(RAND(),0,SQRT($B$13*($B$7+$B$8^2))*$B$9*(1-$B$10))</f>
        <v>4588.22602075779</v>
      </c>
      <c r="R6" s="14" t="n">
        <f aca="false">$B$4-13*($B$5+$B$6)/30-IF($B$11&lt;=13,$B$12,0)+0</f>
        <v>8876.66666666667</v>
      </c>
      <c r="S6" s="14" t="n">
        <f aca="false">$B$4-27*($B$5+$B$6)/30-IF($B$11&lt;=27,$B$12,0)+L6</f>
        <v>10524.2497019676</v>
      </c>
      <c r="T6" s="14" t="n">
        <f aca="false">$B$4-41*($B$5+$B$6)/30-IF($B$11&lt;=41,$B$12,0)+L6+M6</f>
        <v>1612.26964325863</v>
      </c>
      <c r="U6" s="14" t="n">
        <f aca="false">$B$4-55*($B$5+$B$6)/30-IF($B$11&lt;=55,$B$12,0)+L6+M6+N6</f>
        <v>3930.0904862855</v>
      </c>
      <c r="V6" s="14" t="n">
        <f aca="false">$B$4-69*($B$5+$B$6)/30-IF($B$11&lt;=69,$B$12,0)+L6+M6+N6+O6</f>
        <v>5987.08059650741</v>
      </c>
      <c r="W6" s="14" t="n">
        <f aca="false">$B$4-83*($B$5+$B$6)/30-IF($B$11&lt;=83,$B$12,0)+L6+M6+N6+O6+P6</f>
        <v>8248.46183936347</v>
      </c>
      <c r="X6" s="14" t="n">
        <f aca="false">$B$4-90*($B$5+$B$6)/30-IF($B$11&lt;=90,$B$12,0)+L6+M6+N6+O6+P6+Q6</f>
        <v>11693.3545267879</v>
      </c>
      <c r="AA6" s="14" t="n">
        <f aca="false">MIN(R6:X6)</f>
        <v>1612.26964325863</v>
      </c>
    </row>
    <row r="7" customFormat="false" ht="15" hidden="false" customHeight="false" outlineLevel="0" collapsed="false">
      <c r="A7" s="2" t="s">
        <v>18</v>
      </c>
      <c r="B7" s="6" t="n">
        <f aca="false">'Your wire'!B4</f>
        <v>17.1809</v>
      </c>
      <c r="D7" s="2" t="n">
        <v>2</v>
      </c>
      <c r="E7" s="14" t="n">
        <f aca="false">IF(MOD(D7,$B$13)=0,$B$16,0)</f>
        <v>0</v>
      </c>
      <c r="F7" s="14" t="n">
        <f aca="false">$B$5/30</f>
        <v>133.333333333333</v>
      </c>
      <c r="G7" s="14" t="n">
        <f aca="false">$B$6/30</f>
        <v>30</v>
      </c>
      <c r="H7" s="14" t="n">
        <f aca="false">IF(D7=$B$11,$B$12,0)</f>
        <v>0</v>
      </c>
      <c r="I7" s="14" t="n">
        <f aca="false">I6+E7-F7-G7-H7</f>
        <v>10673.3333333333</v>
      </c>
      <c r="K7" s="2" t="n">
        <v>2</v>
      </c>
      <c r="L7" s="14" t="n">
        <f aca="true">$B$16+NORMINV(RAND(),0,SQRT($B$13*($B$7+$B$8^2))*$B$9*(1-$B$10))</f>
        <v>4001.72420262622</v>
      </c>
      <c r="M7" s="14" t="n">
        <f aca="true">$B$16+NORMINV(RAND(),0,SQRT($B$13*($B$7+$B$8^2))*$B$9*(1-$B$10))</f>
        <v>3683.36064051516</v>
      </c>
      <c r="N7" s="14" t="n">
        <f aca="true">$B$16+NORMINV(RAND(),0,SQRT($B$13*($B$7+$B$8^2))*$B$9*(1-$B$10))</f>
        <v>3817.66512108257</v>
      </c>
      <c r="O7" s="14" t="n">
        <f aca="true">$B$16+NORMINV(RAND(),0,SQRT($B$13*($B$7+$B$8^2))*$B$9*(1-$B$10))</f>
        <v>4764.44115678011</v>
      </c>
      <c r="P7" s="14" t="n">
        <f aca="true">$B$16+NORMINV(RAND(),0,SQRT($B$13*($B$7+$B$8^2))*$B$9*(1-$B$10))</f>
        <v>3766.34944114176</v>
      </c>
      <c r="Q7" s="14" t="n">
        <f aca="true">$B$16+NORMINV(RAND(),0,SQRT($B$13*($B$7+$B$8^2))*$B$9*(1-$B$10))</f>
        <v>3475.3367831862</v>
      </c>
      <c r="R7" s="14" t="n">
        <f aca="false">$B$4-13*($B$5+$B$6)/30-IF($B$11&lt;=13,$B$12,0)+0</f>
        <v>8876.66666666667</v>
      </c>
      <c r="S7" s="14" t="n">
        <f aca="false">$B$4-27*($B$5+$B$6)/30-IF($B$11&lt;=27,$B$12,0)+L7</f>
        <v>10591.7242026262</v>
      </c>
      <c r="T7" s="14" t="n">
        <f aca="false">$B$4-41*($B$5+$B$6)/30-IF($B$11&lt;=41,$B$12,0)+L7+M7</f>
        <v>803.618176474709</v>
      </c>
      <c r="U7" s="14" t="n">
        <f aca="false">$B$4-55*($B$5+$B$6)/30-IF($B$11&lt;=55,$B$12,0)+L7+M7+N7</f>
        <v>2334.61663089062</v>
      </c>
      <c r="V7" s="14" t="n">
        <f aca="false">$B$4-69*($B$5+$B$6)/30-IF($B$11&lt;=69,$B$12,0)+L7+M7+N7+O7</f>
        <v>4812.39112100406</v>
      </c>
      <c r="W7" s="14" t="n">
        <f aca="false">$B$4-83*($B$5+$B$6)/30-IF($B$11&lt;=83,$B$12,0)+L7+M7+N7+O7+P7</f>
        <v>6292.07389547915</v>
      </c>
      <c r="X7" s="14" t="n">
        <f aca="false">$B$4-90*($B$5+$B$6)/30-IF($B$11&lt;=90,$B$12,0)+L7+M7+N7+O7+P7+Q7</f>
        <v>8624.07734533201</v>
      </c>
      <c r="AA7" s="14" t="n">
        <f aca="false">MIN(R7:X7)</f>
        <v>803.618176474709</v>
      </c>
    </row>
    <row r="8" customFormat="false" ht="15" hidden="false" customHeight="false" outlineLevel="0" collapsed="false">
      <c r="A8" s="2" t="s">
        <v>60</v>
      </c>
      <c r="B8" s="6" t="n">
        <f aca="false">'Your wire'!B5</f>
        <v>3.1829</v>
      </c>
      <c r="D8" s="2" t="n">
        <v>3</v>
      </c>
      <c r="E8" s="14" t="n">
        <f aca="false">IF(MOD(D8,$B$13)=0,$B$16,0)</f>
        <v>0</v>
      </c>
      <c r="F8" s="14" t="n">
        <f aca="false">$B$5/30</f>
        <v>133.333333333333</v>
      </c>
      <c r="G8" s="14" t="n">
        <f aca="false">$B$6/30</f>
        <v>30</v>
      </c>
      <c r="H8" s="14" t="n">
        <f aca="false">IF(D8=$B$11,$B$12,0)</f>
        <v>0</v>
      </c>
      <c r="I8" s="14" t="n">
        <f aca="false">I7+E8-F8-G8-H8</f>
        <v>10510</v>
      </c>
      <c r="K8" s="2" t="n">
        <v>3</v>
      </c>
      <c r="L8" s="14" t="n">
        <f aca="true">$B$16+NORMINV(RAND(),0,SQRT($B$13*($B$7+$B$8^2))*$B$9*(1-$B$10))</f>
        <v>4002.85792776743</v>
      </c>
      <c r="M8" s="14" t="n">
        <f aca="true">$B$16+NORMINV(RAND(),0,SQRT($B$13*($B$7+$B$8^2))*$B$9*(1-$B$10))</f>
        <v>4565.81689614987</v>
      </c>
      <c r="N8" s="14" t="n">
        <f aca="true">$B$16+NORMINV(RAND(),0,SQRT($B$13*($B$7+$B$8^2))*$B$9*(1-$B$10))</f>
        <v>4567.06587645314</v>
      </c>
      <c r="O8" s="14" t="n">
        <f aca="true">$B$16+NORMINV(RAND(),0,SQRT($B$13*($B$7+$B$8^2))*$B$9*(1-$B$10))</f>
        <v>4481.10858217496</v>
      </c>
      <c r="P8" s="14" t="n">
        <f aca="true">$B$16+NORMINV(RAND(),0,SQRT($B$13*($B$7+$B$8^2))*$B$9*(1-$B$10))</f>
        <v>4178.1141995816</v>
      </c>
      <c r="Q8" s="14" t="n">
        <f aca="true">$B$16+NORMINV(RAND(),0,SQRT($B$13*($B$7+$B$8^2))*$B$9*(1-$B$10))</f>
        <v>3839.83799756514</v>
      </c>
      <c r="R8" s="14" t="n">
        <f aca="false">$B$4-13*($B$5+$B$6)/30-IF($B$11&lt;=13,$B$12,0)+0</f>
        <v>8876.66666666667</v>
      </c>
      <c r="S8" s="14" t="n">
        <f aca="false">$B$4-27*($B$5+$B$6)/30-IF($B$11&lt;=27,$B$12,0)+L8</f>
        <v>10592.8579277674</v>
      </c>
      <c r="T8" s="14" t="n">
        <f aca="false">$B$4-41*($B$5+$B$6)/30-IF($B$11&lt;=41,$B$12,0)+L8+M8</f>
        <v>1687.20815725063</v>
      </c>
      <c r="U8" s="14" t="n">
        <f aca="false">$B$4-55*($B$5+$B$6)/30-IF($B$11&lt;=55,$B$12,0)+L8+M8+N8</f>
        <v>3967.60736703711</v>
      </c>
      <c r="V8" s="14" t="n">
        <f aca="false">$B$4-69*($B$5+$B$6)/30-IF($B$11&lt;=69,$B$12,0)+L8+M8+N8+O8</f>
        <v>6162.0492825454</v>
      </c>
      <c r="W8" s="14" t="n">
        <f aca="false">$B$4-83*($B$5+$B$6)/30-IF($B$11&lt;=83,$B$12,0)+L8+M8+N8+O8+P8</f>
        <v>8053.49681546033</v>
      </c>
      <c r="X8" s="14" t="n">
        <f aca="false">$B$4-90*($B$5+$B$6)/30-IF($B$11&lt;=90,$B$12,0)+L8+M8+N8+O8+P8+Q8</f>
        <v>10750.0014796921</v>
      </c>
      <c r="AA8" s="14" t="n">
        <f aca="false">MIN(R8:X8)</f>
        <v>1687.20815725063</v>
      </c>
    </row>
    <row r="9" customFormat="false" ht="15" hidden="false" customHeight="false" outlineLevel="0" collapsed="false">
      <c r="A9" s="2" t="s">
        <v>61</v>
      </c>
      <c r="B9" s="7" t="n">
        <v>24.99</v>
      </c>
      <c r="D9" s="2" t="n">
        <v>4</v>
      </c>
      <c r="E9" s="14" t="n">
        <f aca="false">IF(MOD(D9,$B$13)=0,$B$16,0)</f>
        <v>0</v>
      </c>
      <c r="F9" s="14" t="n">
        <f aca="false">$B$5/30</f>
        <v>133.333333333333</v>
      </c>
      <c r="G9" s="14" t="n">
        <f aca="false">$B$6/30</f>
        <v>30</v>
      </c>
      <c r="H9" s="14" t="n">
        <f aca="false">IF(D9=$B$11,$B$12,0)</f>
        <v>0</v>
      </c>
      <c r="I9" s="14" t="n">
        <f aca="false">I8+E9-F9-G9-H9</f>
        <v>10346.6666666667</v>
      </c>
      <c r="K9" s="2" t="n">
        <v>4</v>
      </c>
      <c r="L9" s="14" t="n">
        <f aca="true">$B$16+NORMINV(RAND(),0,SQRT($B$13*($B$7+$B$8^2))*$B$9*(1-$B$10))</f>
        <v>4150.94633438305</v>
      </c>
      <c r="M9" s="14" t="n">
        <f aca="true">$B$16+NORMINV(RAND(),0,SQRT($B$13*($B$7+$B$8^2))*$B$9*(1-$B$10))</f>
        <v>4111.52832686509</v>
      </c>
      <c r="N9" s="14" t="n">
        <f aca="true">$B$16+NORMINV(RAND(),0,SQRT($B$13*($B$7+$B$8^2))*$B$9*(1-$B$10))</f>
        <v>4437.49451082836</v>
      </c>
      <c r="O9" s="14" t="n">
        <f aca="true">$B$16+NORMINV(RAND(),0,SQRT($B$13*($B$7+$B$8^2))*$B$9*(1-$B$10))</f>
        <v>3828.14007027602</v>
      </c>
      <c r="P9" s="14" t="n">
        <f aca="true">$B$16+NORMINV(RAND(),0,SQRT($B$13*($B$7+$B$8^2))*$B$9*(1-$B$10))</f>
        <v>3866.81814595292</v>
      </c>
      <c r="Q9" s="14" t="n">
        <f aca="true">$B$16+NORMINV(RAND(),0,SQRT($B$13*($B$7+$B$8^2))*$B$9*(1-$B$10))</f>
        <v>4080.69905669697</v>
      </c>
      <c r="R9" s="14" t="n">
        <f aca="false">$B$4-13*($B$5+$B$6)/30-IF($B$11&lt;=13,$B$12,0)+0</f>
        <v>8876.66666666667</v>
      </c>
      <c r="S9" s="14" t="n">
        <f aca="false">$B$4-27*($B$5+$B$6)/30-IF($B$11&lt;=27,$B$12,0)+L9</f>
        <v>10740.946334383</v>
      </c>
      <c r="T9" s="14" t="n">
        <f aca="false">$B$4-41*($B$5+$B$6)/30-IF($B$11&lt;=41,$B$12,0)+L9+M9</f>
        <v>1381.00799458146</v>
      </c>
      <c r="U9" s="14" t="n">
        <f aca="false">$B$4-55*($B$5+$B$6)/30-IF($B$11&lt;=55,$B$12,0)+L9+M9+N9</f>
        <v>3531.83583874315</v>
      </c>
      <c r="V9" s="14" t="n">
        <f aca="false">$B$4-69*($B$5+$B$6)/30-IF($B$11&lt;=69,$B$12,0)+L9+M9+N9+O9</f>
        <v>5073.30924235251</v>
      </c>
      <c r="W9" s="14" t="n">
        <f aca="false">$B$4-83*($B$5+$B$6)/30-IF($B$11&lt;=83,$B$12,0)+L9+M9+N9+O9+P9</f>
        <v>6653.46072163876</v>
      </c>
      <c r="X9" s="14" t="n">
        <f aca="false">$B$4-90*($B$5+$B$6)/30-IF($B$11&lt;=90,$B$12,0)+L9+M9+N9+O9+P9+Q9</f>
        <v>9590.82644500239</v>
      </c>
      <c r="AA9" s="14" t="n">
        <f aca="false">MIN(R9:X9)</f>
        <v>1381.00799458146</v>
      </c>
    </row>
    <row r="10" customFormat="false" ht="15" hidden="false" customHeight="false" outlineLevel="0" collapsed="false">
      <c r="A10" s="2" t="s">
        <v>62</v>
      </c>
      <c r="B10" s="15" t="n">
        <v>0.3239</v>
      </c>
      <c r="D10" s="2" t="n">
        <v>5</v>
      </c>
      <c r="E10" s="14" t="n">
        <f aca="false">IF(MOD(D10,$B$13)=0,$B$16,0)</f>
        <v>0</v>
      </c>
      <c r="F10" s="14" t="n">
        <f aca="false">$B$5/30</f>
        <v>133.333333333333</v>
      </c>
      <c r="G10" s="14" t="n">
        <f aca="false">$B$6/30</f>
        <v>30</v>
      </c>
      <c r="H10" s="14" t="n">
        <f aca="false">IF(D10=$B$11,$B$12,0)</f>
        <v>0</v>
      </c>
      <c r="I10" s="14" t="n">
        <f aca="false">I9+E10-F10-G10-H10</f>
        <v>10183.3333333333</v>
      </c>
      <c r="K10" s="2" t="n">
        <v>5</v>
      </c>
      <c r="L10" s="14" t="n">
        <f aca="true">$B$16+NORMINV(RAND(),0,SQRT($B$13*($B$7+$B$8^2))*$B$9*(1-$B$10))</f>
        <v>3809.58888585977</v>
      </c>
      <c r="M10" s="14" t="n">
        <f aca="true">$B$16+NORMINV(RAND(),0,SQRT($B$13*($B$7+$B$8^2))*$B$9*(1-$B$10))</f>
        <v>3615.13350080669</v>
      </c>
      <c r="N10" s="14" t="n">
        <f aca="true">$B$16+NORMINV(RAND(),0,SQRT($B$13*($B$7+$B$8^2))*$B$9*(1-$B$10))</f>
        <v>4609.78763152536</v>
      </c>
      <c r="O10" s="14" t="n">
        <f aca="true">$B$16+NORMINV(RAND(),0,SQRT($B$13*($B$7+$B$8^2))*$B$9*(1-$B$10))</f>
        <v>4125.10536799821</v>
      </c>
      <c r="P10" s="14" t="n">
        <f aca="true">$B$16+NORMINV(RAND(),0,SQRT($B$13*($B$7+$B$8^2))*$B$9*(1-$B$10))</f>
        <v>3763.08454337041</v>
      </c>
      <c r="Q10" s="14" t="n">
        <f aca="true">$B$16+NORMINV(RAND(),0,SQRT($B$13*($B$7+$B$8^2))*$B$9*(1-$B$10))</f>
        <v>4180.6261445377</v>
      </c>
      <c r="R10" s="14" t="n">
        <f aca="false">$B$4-13*($B$5+$B$6)/30-IF($B$11&lt;=13,$B$12,0)+0</f>
        <v>8876.66666666667</v>
      </c>
      <c r="S10" s="14" t="n">
        <f aca="false">$B$4-27*($B$5+$B$6)/30-IF($B$11&lt;=27,$B$12,0)+L10</f>
        <v>10399.5888858598</v>
      </c>
      <c r="T10" s="14" t="n">
        <f aca="false">$B$4-41*($B$5+$B$6)/30-IF($B$11&lt;=41,$B$12,0)+L10+M10</f>
        <v>543.255719999792</v>
      </c>
      <c r="U10" s="14" t="n">
        <f aca="false">$B$4-55*($B$5+$B$6)/30-IF($B$11&lt;=55,$B$12,0)+L10+M10+N10</f>
        <v>2866.37668485848</v>
      </c>
      <c r="V10" s="14" t="n">
        <f aca="false">$B$4-69*($B$5+$B$6)/30-IF($B$11&lt;=69,$B$12,0)+L10+M10+N10+O10</f>
        <v>4704.81538619003</v>
      </c>
      <c r="W10" s="14" t="n">
        <f aca="false">$B$4-83*($B$5+$B$6)/30-IF($B$11&lt;=83,$B$12,0)+L10+M10+N10+O10+P10</f>
        <v>6181.23326289378</v>
      </c>
      <c r="X10" s="14" t="n">
        <f aca="false">$B$4-90*($B$5+$B$6)/30-IF($B$11&lt;=90,$B$12,0)+L10+M10+N10+O10+P10+Q10</f>
        <v>9218.52607409814</v>
      </c>
      <c r="AA10" s="14" t="n">
        <f aca="false">MIN(R10:X10)</f>
        <v>543.255719999792</v>
      </c>
    </row>
    <row r="11" customFormat="false" ht="15" hidden="false" customHeight="false" outlineLevel="0" collapsed="false">
      <c r="A11" s="2" t="s">
        <v>63</v>
      </c>
      <c r="B11" s="5" t="n">
        <f aca="false">'Your wire'!B23</f>
        <v>31</v>
      </c>
      <c r="D11" s="2" t="n">
        <v>6</v>
      </c>
      <c r="E11" s="14" t="n">
        <f aca="false">IF(MOD(D11,$B$13)=0,$B$16,0)</f>
        <v>0</v>
      </c>
      <c r="F11" s="14" t="n">
        <f aca="false">$B$5/30</f>
        <v>133.333333333333</v>
      </c>
      <c r="G11" s="14" t="n">
        <f aca="false">$B$6/30</f>
        <v>30</v>
      </c>
      <c r="H11" s="14" t="n">
        <f aca="false">IF(D11=$B$11,$B$12,0)</f>
        <v>0</v>
      </c>
      <c r="I11" s="14" t="n">
        <f aca="false">I10+E11-F11-G11-H11</f>
        <v>10020</v>
      </c>
      <c r="K11" s="2" t="n">
        <v>6</v>
      </c>
      <c r="L11" s="14" t="n">
        <f aca="true">$B$16+NORMINV(RAND(),0,SQRT($B$13*($B$7+$B$8^2))*$B$9*(1-$B$10))</f>
        <v>4297.9717908986</v>
      </c>
      <c r="M11" s="14" t="n">
        <f aca="true">$B$16+NORMINV(RAND(),0,SQRT($B$13*($B$7+$B$8^2))*$B$9*(1-$B$10))</f>
        <v>3790.51575881222</v>
      </c>
      <c r="N11" s="14" t="n">
        <f aca="true">$B$16+NORMINV(RAND(),0,SQRT($B$13*($B$7+$B$8^2))*$B$9*(1-$B$10))</f>
        <v>3831.15735754116</v>
      </c>
      <c r="O11" s="14" t="n">
        <f aca="true">$B$16+NORMINV(RAND(),0,SQRT($B$13*($B$7+$B$8^2))*$B$9*(1-$B$10))</f>
        <v>3556.45433788756</v>
      </c>
      <c r="P11" s="14" t="n">
        <f aca="true">$B$16+NORMINV(RAND(),0,SQRT($B$13*($B$7+$B$8^2))*$B$9*(1-$B$10))</f>
        <v>4123.5191549961</v>
      </c>
      <c r="Q11" s="14" t="n">
        <f aca="true">$B$16+NORMINV(RAND(),0,SQRT($B$13*($B$7+$B$8^2))*$B$9*(1-$B$10))</f>
        <v>3853.09440685033</v>
      </c>
      <c r="R11" s="14" t="n">
        <f aca="false">$B$4-13*($B$5+$B$6)/30-IF($B$11&lt;=13,$B$12,0)+0</f>
        <v>8876.66666666667</v>
      </c>
      <c r="S11" s="14" t="n">
        <f aca="false">$B$4-27*($B$5+$B$6)/30-IF($B$11&lt;=27,$B$12,0)+L11</f>
        <v>10887.9717908986</v>
      </c>
      <c r="T11" s="14" t="n">
        <f aca="false">$B$4-41*($B$5+$B$6)/30-IF($B$11&lt;=41,$B$12,0)+L11+M11</f>
        <v>1207.02088304415</v>
      </c>
      <c r="U11" s="14" t="n">
        <f aca="false">$B$4-55*($B$5+$B$6)/30-IF($B$11&lt;=55,$B$12,0)+L11+M11+N11</f>
        <v>2751.51157391864</v>
      </c>
      <c r="V11" s="14" t="n">
        <f aca="false">$B$4-69*($B$5+$B$6)/30-IF($B$11&lt;=69,$B$12,0)+L11+M11+N11+O11</f>
        <v>4021.29924513954</v>
      </c>
      <c r="W11" s="14" t="n">
        <f aca="false">$B$4-83*($B$5+$B$6)/30-IF($B$11&lt;=83,$B$12,0)+L11+M11+N11+O11+P11</f>
        <v>5858.15173346897</v>
      </c>
      <c r="X11" s="14" t="n">
        <f aca="false">$B$4-90*($B$5+$B$6)/30-IF($B$11&lt;=90,$B$12,0)+L11+M11+N11+O11+P11+Q11</f>
        <v>8567.91280698596</v>
      </c>
      <c r="AA11" s="14" t="n">
        <f aca="false">MIN(R11:X11)</f>
        <v>1207.02088304415</v>
      </c>
    </row>
    <row r="12" customFormat="false" ht="15" hidden="false" customHeight="false" outlineLevel="0" collapsed="false">
      <c r="A12" s="2" t="s">
        <v>64</v>
      </c>
      <c r="B12" s="13" t="n">
        <f aca="false">'Your wire'!B22</f>
        <v>11184.8</v>
      </c>
      <c r="D12" s="2" t="n">
        <v>7</v>
      </c>
      <c r="E12" s="14" t="n">
        <f aca="false">IF(MOD(D12,$B$13)=0,$B$16,0)</f>
        <v>0</v>
      </c>
      <c r="F12" s="14" t="n">
        <f aca="false">$B$5/30</f>
        <v>133.333333333333</v>
      </c>
      <c r="G12" s="14" t="n">
        <f aca="false">$B$6/30</f>
        <v>30</v>
      </c>
      <c r="H12" s="14" t="n">
        <f aca="false">IF(D12=$B$11,$B$12,0)</f>
        <v>0</v>
      </c>
      <c r="I12" s="14" t="n">
        <f aca="false">I11+E12-F12-G12-H12</f>
        <v>9856.66666666666</v>
      </c>
      <c r="K12" s="2" t="n">
        <v>7</v>
      </c>
      <c r="L12" s="14" t="n">
        <f aca="true">$B$16+NORMINV(RAND(),0,SQRT($B$13*($B$7+$B$8^2))*$B$9*(1-$B$10))</f>
        <v>3955.77090003714</v>
      </c>
      <c r="M12" s="14" t="n">
        <f aca="true">$B$16+NORMINV(RAND(),0,SQRT($B$13*($B$7+$B$8^2))*$B$9*(1-$B$10))</f>
        <v>3866.92799283374</v>
      </c>
      <c r="N12" s="14" t="n">
        <f aca="true">$B$16+NORMINV(RAND(),0,SQRT($B$13*($B$7+$B$8^2))*$B$9*(1-$B$10))</f>
        <v>4281.41674711349</v>
      </c>
      <c r="O12" s="14" t="n">
        <f aca="true">$B$16+NORMINV(RAND(),0,SQRT($B$13*($B$7+$B$8^2))*$B$9*(1-$B$10))</f>
        <v>3803.52089608175</v>
      </c>
      <c r="P12" s="14" t="n">
        <f aca="true">$B$16+NORMINV(RAND(),0,SQRT($B$13*($B$7+$B$8^2))*$B$9*(1-$B$10))</f>
        <v>4305.67795400656</v>
      </c>
      <c r="Q12" s="14" t="n">
        <f aca="true">$B$16+NORMINV(RAND(),0,SQRT($B$13*($B$7+$B$8^2))*$B$9*(1-$B$10))</f>
        <v>4119.99077445496</v>
      </c>
      <c r="R12" s="14" t="n">
        <f aca="false">$B$4-13*($B$5+$B$6)/30-IF($B$11&lt;=13,$B$12,0)+0</f>
        <v>8876.66666666667</v>
      </c>
      <c r="S12" s="14" t="n">
        <f aca="false">$B$4-27*($B$5+$B$6)/30-IF($B$11&lt;=27,$B$12,0)+L12</f>
        <v>10545.7709000371</v>
      </c>
      <c r="T12" s="14" t="n">
        <f aca="false">$B$4-41*($B$5+$B$6)/30-IF($B$11&lt;=41,$B$12,0)+L12+M12</f>
        <v>941.232226204204</v>
      </c>
      <c r="U12" s="14" t="n">
        <f aca="false">$B$4-55*($B$5+$B$6)/30-IF($B$11&lt;=55,$B$12,0)+L12+M12+N12</f>
        <v>2935.98230665103</v>
      </c>
      <c r="V12" s="14" t="n">
        <f aca="false">$B$4-69*($B$5+$B$6)/30-IF($B$11&lt;=69,$B$12,0)+L12+M12+N12+O12</f>
        <v>4452.83653606611</v>
      </c>
      <c r="W12" s="14" t="n">
        <f aca="false">$B$4-83*($B$5+$B$6)/30-IF($B$11&lt;=83,$B$12,0)+L12+M12+N12+O12+P12</f>
        <v>6471.847823406</v>
      </c>
      <c r="X12" s="14" t="n">
        <f aca="false">$B$4-90*($B$5+$B$6)/30-IF($B$11&lt;=90,$B$12,0)+L12+M12+N12+O12+P12+Q12</f>
        <v>9448.50526452763</v>
      </c>
      <c r="AA12" s="14" t="n">
        <f aca="false">MIN(R12:X12)</f>
        <v>941.232226204204</v>
      </c>
    </row>
    <row r="13" customFormat="false" ht="15" hidden="false" customHeight="false" outlineLevel="0" collapsed="false">
      <c r="A13" s="2" t="s">
        <v>22</v>
      </c>
      <c r="B13" s="5" t="n">
        <v>14</v>
      </c>
      <c r="D13" s="2" t="n">
        <v>8</v>
      </c>
      <c r="E13" s="14" t="n">
        <f aca="false">IF(MOD(D13,$B$13)=0,$B$16,0)</f>
        <v>0</v>
      </c>
      <c r="F13" s="14" t="n">
        <f aca="false">$B$5/30</f>
        <v>133.333333333333</v>
      </c>
      <c r="G13" s="14" t="n">
        <f aca="false">$B$6/30</f>
        <v>30</v>
      </c>
      <c r="H13" s="14" t="n">
        <f aca="false">IF(D13=$B$11,$B$12,0)</f>
        <v>0</v>
      </c>
      <c r="I13" s="14" t="n">
        <f aca="false">I12+E13-F13-G13-H13</f>
        <v>9693.33333333333</v>
      </c>
      <c r="K13" s="2" t="n">
        <v>8</v>
      </c>
      <c r="L13" s="14" t="n">
        <f aca="true">$B$16+NORMINV(RAND(),0,SQRT($B$13*($B$7+$B$8^2))*$B$9*(1-$B$10))</f>
        <v>3711.1201620987</v>
      </c>
      <c r="M13" s="14" t="n">
        <f aca="true">$B$16+NORMINV(RAND(),0,SQRT($B$13*($B$7+$B$8^2))*$B$9*(1-$B$10))</f>
        <v>4418.5549667732</v>
      </c>
      <c r="N13" s="14" t="n">
        <f aca="true">$B$16+NORMINV(RAND(),0,SQRT($B$13*($B$7+$B$8^2))*$B$9*(1-$B$10))</f>
        <v>4470.61067117149</v>
      </c>
      <c r="O13" s="14" t="n">
        <f aca="true">$B$16+NORMINV(RAND(),0,SQRT($B$13*($B$7+$B$8^2))*$B$9*(1-$B$10))</f>
        <v>3632.56549900493</v>
      </c>
      <c r="P13" s="14" t="n">
        <f aca="true">$B$16+NORMINV(RAND(),0,SQRT($B$13*($B$7+$B$8^2))*$B$9*(1-$B$10))</f>
        <v>4230.99676674922</v>
      </c>
      <c r="Q13" s="14" t="n">
        <f aca="true">$B$16+NORMINV(RAND(),0,SQRT($B$13*($B$7+$B$8^2))*$B$9*(1-$B$10))</f>
        <v>4254.10537048952</v>
      </c>
      <c r="R13" s="14" t="n">
        <f aca="false">$B$4-13*($B$5+$B$6)/30-IF($B$11&lt;=13,$B$12,0)+0</f>
        <v>8876.66666666667</v>
      </c>
      <c r="S13" s="14" t="n">
        <f aca="false">$B$4-27*($B$5+$B$6)/30-IF($B$11&lt;=27,$B$12,0)+L13</f>
        <v>10301.1201620987</v>
      </c>
      <c r="T13" s="14" t="n">
        <f aca="false">$B$4-41*($B$5+$B$6)/30-IF($B$11&lt;=41,$B$12,0)+L13+M13</f>
        <v>1248.20846220523</v>
      </c>
      <c r="U13" s="14" t="n">
        <f aca="false">$B$4-55*($B$5+$B$6)/30-IF($B$11&lt;=55,$B$12,0)+L13+M13+N13</f>
        <v>3432.15246671005</v>
      </c>
      <c r="V13" s="14" t="n">
        <f aca="false">$B$4-69*($B$5+$B$6)/30-IF($B$11&lt;=69,$B$12,0)+L13+M13+N13+O13</f>
        <v>4778.05129904831</v>
      </c>
      <c r="W13" s="14" t="n">
        <f aca="false">$B$4-83*($B$5+$B$6)/30-IF($B$11&lt;=83,$B$12,0)+L13+M13+N13+O13+P13</f>
        <v>6722.38139913087</v>
      </c>
      <c r="X13" s="14" t="n">
        <f aca="false">$B$4-90*($B$5+$B$6)/30-IF($B$11&lt;=90,$B$12,0)+L13+M13+N13+O13+P13+Q13</f>
        <v>9833.15343628705</v>
      </c>
      <c r="AA13" s="14" t="n">
        <f aca="false">MIN(R13:X13)</f>
        <v>1248.20846220523</v>
      </c>
    </row>
    <row r="14" customFormat="false" ht="15" hidden="false" customHeight="false" outlineLevel="0" collapsed="false">
      <c r="D14" s="2" t="n">
        <v>9</v>
      </c>
      <c r="E14" s="14" t="n">
        <f aca="false">IF(MOD(D14,$B$13)=0,$B$16,0)</f>
        <v>0</v>
      </c>
      <c r="F14" s="14" t="n">
        <f aca="false">$B$5/30</f>
        <v>133.333333333333</v>
      </c>
      <c r="G14" s="14" t="n">
        <f aca="false">$B$6/30</f>
        <v>30</v>
      </c>
      <c r="H14" s="14" t="n">
        <f aca="false">IF(D14=$B$11,$B$12,0)</f>
        <v>0</v>
      </c>
      <c r="I14" s="14" t="n">
        <f aca="false">I13+E14-F14-G14-H14</f>
        <v>9530</v>
      </c>
      <c r="K14" s="2" t="n">
        <v>9</v>
      </c>
      <c r="L14" s="14" t="n">
        <f aca="true">$B$16+NORMINV(RAND(),0,SQRT($B$13*($B$7+$B$8^2))*$B$9*(1-$B$10))</f>
        <v>4021.51629068229</v>
      </c>
      <c r="M14" s="14" t="n">
        <f aca="true">$B$16+NORMINV(RAND(),0,SQRT($B$13*($B$7+$B$8^2))*$B$9*(1-$B$10))</f>
        <v>3878.21275662689</v>
      </c>
      <c r="N14" s="14" t="n">
        <f aca="true">$B$16+NORMINV(RAND(),0,SQRT($B$13*($B$7+$B$8^2))*$B$9*(1-$B$10))</f>
        <v>4165.97660566791</v>
      </c>
      <c r="O14" s="14" t="n">
        <f aca="true">$B$16+NORMINV(RAND(),0,SQRT($B$13*($B$7+$B$8^2))*$B$9*(1-$B$10))</f>
        <v>4017.72837252983</v>
      </c>
      <c r="P14" s="14" t="n">
        <f aca="true">$B$16+NORMINV(RAND(),0,SQRT($B$13*($B$7+$B$8^2))*$B$9*(1-$B$10))</f>
        <v>4388.93673969216</v>
      </c>
      <c r="Q14" s="14" t="n">
        <f aca="true">$B$16+NORMINV(RAND(),0,SQRT($B$13*($B$7+$B$8^2))*$B$9*(1-$B$10))</f>
        <v>4103.48075569594</v>
      </c>
      <c r="R14" s="14" t="n">
        <f aca="false">$B$4-13*($B$5+$B$6)/30-IF($B$11&lt;=13,$B$12,0)+0</f>
        <v>8876.66666666667</v>
      </c>
      <c r="S14" s="14" t="n">
        <f aca="false">$B$4-27*($B$5+$B$6)/30-IF($B$11&lt;=27,$B$12,0)+L14</f>
        <v>10611.5162906823</v>
      </c>
      <c r="T14" s="14" t="n">
        <f aca="false">$B$4-41*($B$5+$B$6)/30-IF($B$11&lt;=41,$B$12,0)+L14+M14</f>
        <v>1018.26238064252</v>
      </c>
      <c r="U14" s="14" t="n">
        <f aca="false">$B$4-55*($B$5+$B$6)/30-IF($B$11&lt;=55,$B$12,0)+L14+M14+N14</f>
        <v>2897.57231964376</v>
      </c>
      <c r="V14" s="14" t="n">
        <f aca="false">$B$4-69*($B$5+$B$6)/30-IF($B$11&lt;=69,$B$12,0)+L14+M14+N14+O14</f>
        <v>4628.63402550692</v>
      </c>
      <c r="W14" s="14" t="n">
        <f aca="false">$B$4-83*($B$5+$B$6)/30-IF($B$11&lt;=83,$B$12,0)+L14+M14+N14+O14+P14</f>
        <v>6730.90409853242</v>
      </c>
      <c r="X14" s="14" t="n">
        <f aca="false">$B$4-90*($B$5+$B$6)/30-IF($B$11&lt;=90,$B$12,0)+L14+M14+N14+O14+P14+Q14</f>
        <v>9691.05152089503</v>
      </c>
      <c r="AA14" s="14" t="n">
        <f aca="false">MIN(R14:X14)</f>
        <v>1018.26238064252</v>
      </c>
    </row>
    <row r="15" customFormat="false" ht="15" hidden="false" customHeight="false" outlineLevel="0" collapsed="false">
      <c r="A15" s="2" t="s">
        <v>65</v>
      </c>
      <c r="B15" s="16" t="n">
        <f aca="false">B7*B9*(1-B10)</f>
        <v>290.2840021851</v>
      </c>
      <c r="D15" s="2" t="n">
        <v>10</v>
      </c>
      <c r="E15" s="14" t="n">
        <f aca="false">IF(MOD(D15,$B$13)=0,$B$16,0)</f>
        <v>0</v>
      </c>
      <c r="F15" s="14" t="n">
        <f aca="false">$B$5/30</f>
        <v>133.333333333333</v>
      </c>
      <c r="G15" s="14" t="n">
        <f aca="false">$B$6/30</f>
        <v>30</v>
      </c>
      <c r="H15" s="14" t="n">
        <f aca="false">IF(D15=$B$11,$B$12,0)</f>
        <v>0</v>
      </c>
      <c r="I15" s="14" t="n">
        <f aca="false">I14+E15-F15-G15-H15</f>
        <v>9366.66666666666</v>
      </c>
      <c r="K15" s="2" t="n">
        <v>10</v>
      </c>
      <c r="L15" s="14" t="n">
        <f aca="true">$B$16+NORMINV(RAND(),0,SQRT($B$13*($B$7+$B$8^2))*$B$9*(1-$B$10))</f>
        <v>3912.25989784747</v>
      </c>
      <c r="M15" s="14" t="n">
        <f aca="true">$B$16+NORMINV(RAND(),0,SQRT($B$13*($B$7+$B$8^2))*$B$9*(1-$B$10))</f>
        <v>4362.68782207249</v>
      </c>
      <c r="N15" s="14" t="n">
        <f aca="true">$B$16+NORMINV(RAND(),0,SQRT($B$13*($B$7+$B$8^2))*$B$9*(1-$B$10))</f>
        <v>3812.40111279079</v>
      </c>
      <c r="O15" s="14" t="n">
        <f aca="true">$B$16+NORMINV(RAND(),0,SQRT($B$13*($B$7+$B$8^2))*$B$9*(1-$B$10))</f>
        <v>4103.55200757058</v>
      </c>
      <c r="P15" s="14" t="n">
        <f aca="true">$B$16+NORMINV(RAND(),0,SQRT($B$13*($B$7+$B$8^2))*$B$9*(1-$B$10))</f>
        <v>4321.39791533999</v>
      </c>
      <c r="Q15" s="14" t="n">
        <f aca="true">$B$16+NORMINV(RAND(),0,SQRT($B$13*($B$7+$B$8^2))*$B$9*(1-$B$10))</f>
        <v>4385.24490391058</v>
      </c>
      <c r="R15" s="14" t="n">
        <f aca="false">$B$4-13*($B$5+$B$6)/30-IF($B$11&lt;=13,$B$12,0)+0</f>
        <v>8876.66666666667</v>
      </c>
      <c r="S15" s="14" t="n">
        <f aca="false">$B$4-27*($B$5+$B$6)/30-IF($B$11&lt;=27,$B$12,0)+L15</f>
        <v>10502.2598978475</v>
      </c>
      <c r="T15" s="14" t="n">
        <f aca="false">$B$4-41*($B$5+$B$6)/30-IF($B$11&lt;=41,$B$12,0)+L15+M15</f>
        <v>1393.48105325329</v>
      </c>
      <c r="U15" s="14" t="n">
        <f aca="false">$B$4-55*($B$5+$B$6)/30-IF($B$11&lt;=55,$B$12,0)+L15+M15+N15</f>
        <v>2919.21549937742</v>
      </c>
      <c r="V15" s="14" t="n">
        <f aca="false">$B$4-69*($B$5+$B$6)/30-IF($B$11&lt;=69,$B$12,0)+L15+M15+N15+O15</f>
        <v>4736.10084028133</v>
      </c>
      <c r="W15" s="14" t="n">
        <f aca="false">$B$4-83*($B$5+$B$6)/30-IF($B$11&lt;=83,$B$12,0)+L15+M15+N15+O15+P15</f>
        <v>6770.83208895466</v>
      </c>
      <c r="X15" s="14" t="n">
        <f aca="false">$B$4-90*($B$5+$B$6)/30-IF($B$11&lt;=90,$B$12,0)+L15+M15+N15+O15+P15+Q15</f>
        <v>10012.7436595319</v>
      </c>
      <c r="AA15" s="14" t="n">
        <f aca="false">MIN(R15:X15)</f>
        <v>1393.48105325329</v>
      </c>
    </row>
    <row r="16" customFormat="false" ht="15" hidden="false" customHeight="false" outlineLevel="0" collapsed="false">
      <c r="A16" s="2" t="s">
        <v>66</v>
      </c>
      <c r="B16" s="14" t="n">
        <f aca="false">B13*B15</f>
        <v>4063.9760305914</v>
      </c>
      <c r="D16" s="2" t="n">
        <v>11</v>
      </c>
      <c r="E16" s="14" t="n">
        <f aca="false">IF(MOD(D16,$B$13)=0,$B$16,0)</f>
        <v>0</v>
      </c>
      <c r="F16" s="14" t="n">
        <f aca="false">$B$5/30</f>
        <v>133.333333333333</v>
      </c>
      <c r="G16" s="14" t="n">
        <f aca="false">$B$6/30</f>
        <v>30</v>
      </c>
      <c r="H16" s="14" t="n">
        <f aca="false">IF(D16=$B$11,$B$12,0)</f>
        <v>0</v>
      </c>
      <c r="I16" s="14" t="n">
        <f aca="false">I15+E16-F16-G16-H16</f>
        <v>9203.33333333333</v>
      </c>
      <c r="K16" s="2" t="n">
        <v>11</v>
      </c>
      <c r="L16" s="14" t="n">
        <f aca="true">$B$16+NORMINV(RAND(),0,SQRT($B$13*($B$7+$B$8^2))*$B$9*(1-$B$10))</f>
        <v>3747.25563347963</v>
      </c>
      <c r="M16" s="14" t="n">
        <f aca="true">$B$16+NORMINV(RAND(),0,SQRT($B$13*($B$7+$B$8^2))*$B$9*(1-$B$10))</f>
        <v>3894.38358261833</v>
      </c>
      <c r="N16" s="14" t="n">
        <f aca="true">$B$16+NORMINV(RAND(),0,SQRT($B$13*($B$7+$B$8^2))*$B$9*(1-$B$10))</f>
        <v>4861.9388573328</v>
      </c>
      <c r="O16" s="14" t="n">
        <f aca="true">$B$16+NORMINV(RAND(),0,SQRT($B$13*($B$7+$B$8^2))*$B$9*(1-$B$10))</f>
        <v>3681.79498384286</v>
      </c>
      <c r="P16" s="14" t="n">
        <f aca="true">$B$16+NORMINV(RAND(),0,SQRT($B$13*($B$7+$B$8^2))*$B$9*(1-$B$10))</f>
        <v>4538.74873562083</v>
      </c>
      <c r="Q16" s="14" t="n">
        <f aca="true">$B$16+NORMINV(RAND(),0,SQRT($B$13*($B$7+$B$8^2))*$B$9*(1-$B$10))</f>
        <v>3921.25381980392</v>
      </c>
      <c r="R16" s="14" t="n">
        <f aca="false">$B$4-13*($B$5+$B$6)/30-IF($B$11&lt;=13,$B$12,0)+0</f>
        <v>8876.66666666667</v>
      </c>
      <c r="S16" s="14" t="n">
        <f aca="false">$B$4-27*($B$5+$B$6)/30-IF($B$11&lt;=27,$B$12,0)+L16</f>
        <v>10337.2556334796</v>
      </c>
      <c r="T16" s="14" t="n">
        <f aca="false">$B$4-41*($B$5+$B$6)/30-IF($B$11&lt;=41,$B$12,0)+L16+M16</f>
        <v>760.172549431301</v>
      </c>
      <c r="U16" s="14" t="n">
        <f aca="false">$B$4-55*($B$5+$B$6)/30-IF($B$11&lt;=55,$B$12,0)+L16+M16+N16</f>
        <v>3335.44474009743</v>
      </c>
      <c r="V16" s="14" t="n">
        <f aca="false">$B$4-69*($B$5+$B$6)/30-IF($B$11&lt;=69,$B$12,0)+L16+M16+N16+O16</f>
        <v>4730.57305727362</v>
      </c>
      <c r="W16" s="14" t="n">
        <f aca="false">$B$4-83*($B$5+$B$6)/30-IF($B$11&lt;=83,$B$12,0)+L16+M16+N16+O16+P16</f>
        <v>6982.65512622778</v>
      </c>
      <c r="X16" s="14" t="n">
        <f aca="false">$B$4-90*($B$5+$B$6)/30-IF($B$11&lt;=90,$B$12,0)+L16+M16+N16+O16+P16+Q16</f>
        <v>9760.57561269836</v>
      </c>
      <c r="AA16" s="14" t="n">
        <f aca="false">MIN(R16:X16)</f>
        <v>760.172549431301</v>
      </c>
    </row>
    <row r="17" customFormat="false" ht="15" hidden="false" customHeight="false" outlineLevel="0" collapsed="false">
      <c r="A17" s="10" t="s">
        <v>67</v>
      </c>
      <c r="B17" s="12" t="n">
        <f aca="false">MIN(I6:I95)</f>
        <v>1246.48539451611</v>
      </c>
      <c r="D17" s="2" t="n">
        <v>12</v>
      </c>
      <c r="E17" s="14" t="n">
        <f aca="false">IF(MOD(D17,$B$13)=0,$B$16,0)</f>
        <v>0</v>
      </c>
      <c r="F17" s="14" t="n">
        <f aca="false">$B$5/30</f>
        <v>133.333333333333</v>
      </c>
      <c r="G17" s="14" t="n">
        <f aca="false">$B$6/30</f>
        <v>30</v>
      </c>
      <c r="H17" s="14" t="n">
        <f aca="false">IF(D17=$B$11,$B$12,0)</f>
        <v>0</v>
      </c>
      <c r="I17" s="14" t="n">
        <f aca="false">I16+E17-F17-G17-H17</f>
        <v>9039.99999999999</v>
      </c>
      <c r="K17" s="2" t="n">
        <v>12</v>
      </c>
      <c r="L17" s="14" t="n">
        <f aca="true">$B$16+NORMINV(RAND(),0,SQRT($B$13*($B$7+$B$8^2))*$B$9*(1-$B$10))</f>
        <v>3941.70032902843</v>
      </c>
      <c r="M17" s="14" t="n">
        <f aca="true">$B$16+NORMINV(RAND(),0,SQRT($B$13*($B$7+$B$8^2))*$B$9*(1-$B$10))</f>
        <v>4217.0904925275</v>
      </c>
      <c r="N17" s="14" t="n">
        <f aca="true">$B$16+NORMINV(RAND(),0,SQRT($B$13*($B$7+$B$8^2))*$B$9*(1-$B$10))</f>
        <v>4206.33971141744</v>
      </c>
      <c r="O17" s="14" t="n">
        <f aca="true">$B$16+NORMINV(RAND(),0,SQRT($B$13*($B$7+$B$8^2))*$B$9*(1-$B$10))</f>
        <v>4006.35109712881</v>
      </c>
      <c r="P17" s="14" t="n">
        <f aca="true">$B$16+NORMINV(RAND(),0,SQRT($B$13*($B$7+$B$8^2))*$B$9*(1-$B$10))</f>
        <v>3700.40743492679</v>
      </c>
      <c r="Q17" s="14" t="n">
        <f aca="true">$B$16+NORMINV(RAND(),0,SQRT($B$13*($B$7+$B$8^2))*$B$9*(1-$B$10))</f>
        <v>4306.58456927781</v>
      </c>
      <c r="R17" s="14" t="n">
        <f aca="false">$B$4-13*($B$5+$B$6)/30-IF($B$11&lt;=13,$B$12,0)+0</f>
        <v>8876.66666666667</v>
      </c>
      <c r="S17" s="14" t="n">
        <f aca="false">$B$4-27*($B$5+$B$6)/30-IF($B$11&lt;=27,$B$12,0)+L17</f>
        <v>10531.7003290284</v>
      </c>
      <c r="T17" s="14" t="n">
        <f aca="false">$B$4-41*($B$5+$B$6)/30-IF($B$11&lt;=41,$B$12,0)+L17+M17</f>
        <v>1277.32415488925</v>
      </c>
      <c r="U17" s="14" t="n">
        <f aca="false">$B$4-55*($B$5+$B$6)/30-IF($B$11&lt;=55,$B$12,0)+L17+M17+N17</f>
        <v>3196.99719964003</v>
      </c>
      <c r="V17" s="14" t="n">
        <f aca="false">$B$4-69*($B$5+$B$6)/30-IF($B$11&lt;=69,$B$12,0)+L17+M17+N17+O17</f>
        <v>4916.68163010217</v>
      </c>
      <c r="W17" s="14" t="n">
        <f aca="false">$B$4-83*($B$5+$B$6)/30-IF($B$11&lt;=83,$B$12,0)+L17+M17+N17+O17+P17</f>
        <v>6330.42239836229</v>
      </c>
      <c r="X17" s="14" t="n">
        <f aca="false">$B$4-90*($B$5+$B$6)/30-IF($B$11&lt;=90,$B$12,0)+L17+M17+N17+O17+P17+Q17</f>
        <v>9493.67363430676</v>
      </c>
      <c r="AA17" s="14" t="n">
        <f aca="false">MIN(R17:X17)</f>
        <v>1277.32415488925</v>
      </c>
    </row>
    <row r="18" customFormat="false" ht="15" hidden="false" customHeight="false" outlineLevel="0" collapsed="false">
      <c r="A18" s="2" t="s">
        <v>68</v>
      </c>
      <c r="B18" s="17" t="n">
        <f aca="false">MATCH(B17,I6:I95,0)</f>
        <v>41</v>
      </c>
      <c r="D18" s="2" t="n">
        <v>13</v>
      </c>
      <c r="E18" s="14" t="n">
        <f aca="false">IF(MOD(D18,$B$13)=0,$B$16,0)</f>
        <v>0</v>
      </c>
      <c r="F18" s="14" t="n">
        <f aca="false">$B$5/30</f>
        <v>133.333333333333</v>
      </c>
      <c r="G18" s="14" t="n">
        <f aca="false">$B$6/30</f>
        <v>30</v>
      </c>
      <c r="H18" s="14" t="n">
        <f aca="false">IF(D18=$B$11,$B$12,0)</f>
        <v>0</v>
      </c>
      <c r="I18" s="14" t="n">
        <f aca="false">I17+E18-F18-G18-H18</f>
        <v>8876.66666666666</v>
      </c>
      <c r="K18" s="2" t="n">
        <v>13</v>
      </c>
      <c r="L18" s="14" t="n">
        <f aca="true">$B$16+NORMINV(RAND(),0,SQRT($B$13*($B$7+$B$8^2))*$B$9*(1-$B$10))</f>
        <v>3943.63190441502</v>
      </c>
      <c r="M18" s="14" t="n">
        <f aca="true">$B$16+NORMINV(RAND(),0,SQRT($B$13*($B$7+$B$8^2))*$B$9*(1-$B$10))</f>
        <v>3916.71797188507</v>
      </c>
      <c r="N18" s="14" t="n">
        <f aca="true">$B$16+NORMINV(RAND(),0,SQRT($B$13*($B$7+$B$8^2))*$B$9*(1-$B$10))</f>
        <v>4303.48138406752</v>
      </c>
      <c r="O18" s="14" t="n">
        <f aca="true">$B$16+NORMINV(RAND(),0,SQRT($B$13*($B$7+$B$8^2))*$B$9*(1-$B$10))</f>
        <v>4384.47956717174</v>
      </c>
      <c r="P18" s="14" t="n">
        <f aca="true">$B$16+NORMINV(RAND(),0,SQRT($B$13*($B$7+$B$8^2))*$B$9*(1-$B$10))</f>
        <v>3752.67001205517</v>
      </c>
      <c r="Q18" s="14" t="n">
        <f aca="true">$B$16+NORMINV(RAND(),0,SQRT($B$13*($B$7+$B$8^2))*$B$9*(1-$B$10))</f>
        <v>4063.59185806863</v>
      </c>
      <c r="R18" s="14" t="n">
        <f aca="false">$B$4-13*($B$5+$B$6)/30-IF($B$11&lt;=13,$B$12,0)+0</f>
        <v>8876.66666666667</v>
      </c>
      <c r="S18" s="14" t="n">
        <f aca="false">$B$4-27*($B$5+$B$6)/30-IF($B$11&lt;=27,$B$12,0)+L18</f>
        <v>10533.631904415</v>
      </c>
      <c r="T18" s="14" t="n">
        <f aca="false">$B$4-41*($B$5+$B$6)/30-IF($B$11&lt;=41,$B$12,0)+L18+M18</f>
        <v>978.883209633423</v>
      </c>
      <c r="U18" s="14" t="n">
        <f aca="false">$B$4-55*($B$5+$B$6)/30-IF($B$11&lt;=55,$B$12,0)+L18+M18+N18</f>
        <v>2995.69792703427</v>
      </c>
      <c r="V18" s="14" t="n">
        <f aca="false">$B$4-69*($B$5+$B$6)/30-IF($B$11&lt;=69,$B$12,0)+L18+M18+N18+O18</f>
        <v>5093.51082753935</v>
      </c>
      <c r="W18" s="14" t="n">
        <f aca="false">$B$4-83*($B$5+$B$6)/30-IF($B$11&lt;=83,$B$12,0)+L18+M18+N18+O18+P18</f>
        <v>6559.51417292785</v>
      </c>
      <c r="X18" s="14" t="n">
        <f aca="false">$B$4-90*($B$5+$B$6)/30-IF($B$11&lt;=90,$B$12,0)+L18+M18+N18+O18+P18+Q18</f>
        <v>9479.77269766315</v>
      </c>
      <c r="AA18" s="14" t="n">
        <f aca="false">MIN(R18:X18)</f>
        <v>978.883209633423</v>
      </c>
    </row>
    <row r="19" customFormat="false" ht="15" hidden="false" customHeight="false" outlineLevel="0" collapsed="false">
      <c r="A19" s="10" t="s">
        <v>69</v>
      </c>
      <c r="B19" s="12" t="n">
        <f aca="false">PERCENTILE(AA6:AA1005,0.05)</f>
        <v>415.970059449554</v>
      </c>
      <c r="D19" s="2" t="n">
        <v>14</v>
      </c>
      <c r="E19" s="14" t="n">
        <f aca="false">IF(MOD(D19,$B$13)=0,$B$16,0)</f>
        <v>4063.9760305914</v>
      </c>
      <c r="F19" s="14" t="n">
        <f aca="false">$B$5/30</f>
        <v>133.333333333333</v>
      </c>
      <c r="G19" s="14" t="n">
        <f aca="false">$B$6/30</f>
        <v>30</v>
      </c>
      <c r="H19" s="14" t="n">
        <f aca="false">IF(D19=$B$11,$B$12,0)</f>
        <v>0</v>
      </c>
      <c r="I19" s="14" t="n">
        <f aca="false">I18+E19-F19-G19-H19</f>
        <v>12777.3093639247</v>
      </c>
      <c r="K19" s="2" t="n">
        <v>14</v>
      </c>
      <c r="L19" s="14" t="n">
        <f aca="true">$B$16+NORMINV(RAND(),0,SQRT($B$13*($B$7+$B$8^2))*$B$9*(1-$B$10))</f>
        <v>3969.45426634377</v>
      </c>
      <c r="M19" s="14" t="n">
        <f aca="true">$B$16+NORMINV(RAND(),0,SQRT($B$13*($B$7+$B$8^2))*$B$9*(1-$B$10))</f>
        <v>4197.20283262035</v>
      </c>
      <c r="N19" s="14" t="n">
        <f aca="true">$B$16+NORMINV(RAND(),0,SQRT($B$13*($B$7+$B$8^2))*$B$9*(1-$B$10))</f>
        <v>4212.84821836784</v>
      </c>
      <c r="O19" s="14" t="n">
        <f aca="true">$B$16+NORMINV(RAND(),0,SQRT($B$13*($B$7+$B$8^2))*$B$9*(1-$B$10))</f>
        <v>4099.43322616889</v>
      </c>
      <c r="P19" s="14" t="n">
        <f aca="true">$B$16+NORMINV(RAND(),0,SQRT($B$13*($B$7+$B$8^2))*$B$9*(1-$B$10))</f>
        <v>3976.15151128454</v>
      </c>
      <c r="Q19" s="14" t="n">
        <f aca="true">$B$16+NORMINV(RAND(),0,SQRT($B$13*($B$7+$B$8^2))*$B$9*(1-$B$10))</f>
        <v>3791.16767671767</v>
      </c>
      <c r="R19" s="14" t="n">
        <f aca="false">$B$4-13*($B$5+$B$6)/30-IF($B$11&lt;=13,$B$12,0)+0</f>
        <v>8876.66666666667</v>
      </c>
      <c r="S19" s="14" t="n">
        <f aca="false">$B$4-27*($B$5+$B$6)/30-IF($B$11&lt;=27,$B$12,0)+L19</f>
        <v>10559.4542663438</v>
      </c>
      <c r="T19" s="14" t="n">
        <f aca="false">$B$4-41*($B$5+$B$6)/30-IF($B$11&lt;=41,$B$12,0)+L19+M19</f>
        <v>1285.19043229746</v>
      </c>
      <c r="U19" s="14" t="n">
        <f aca="false">$B$4-55*($B$5+$B$6)/30-IF($B$11&lt;=55,$B$12,0)+L19+M19+N19</f>
        <v>3211.37198399863</v>
      </c>
      <c r="V19" s="14" t="n">
        <f aca="false">$B$4-69*($B$5+$B$6)/30-IF($B$11&lt;=69,$B$12,0)+L19+M19+N19+O19</f>
        <v>5024.13854350085</v>
      </c>
      <c r="W19" s="14" t="n">
        <f aca="false">$B$4-83*($B$5+$B$6)/30-IF($B$11&lt;=83,$B$12,0)+L19+M19+N19+O19+P19</f>
        <v>6713.62338811872</v>
      </c>
      <c r="X19" s="14" t="n">
        <f aca="false">$B$4-90*($B$5+$B$6)/30-IF($B$11&lt;=90,$B$12,0)+L19+M19+N19+O19+P19+Q19</f>
        <v>9361.45773150306</v>
      </c>
      <c r="AA19" s="14" t="n">
        <f aca="false">MIN(R19:X19)</f>
        <v>1285.19043229746</v>
      </c>
    </row>
    <row r="20" customFormat="false" ht="15" hidden="false" customHeight="false" outlineLevel="0" collapsed="false">
      <c r="A20" s="10" t="s">
        <v>70</v>
      </c>
      <c r="B20" s="12" t="n">
        <f aca="false">AVERAGEIF(AA6:AA1005,"&lt;="&amp;B19)</f>
        <v>188.172596842283</v>
      </c>
      <c r="D20" s="2" t="n">
        <v>15</v>
      </c>
      <c r="E20" s="14" t="n">
        <f aca="false">IF(MOD(D20,$B$13)=0,$B$16,0)</f>
        <v>0</v>
      </c>
      <c r="F20" s="14" t="n">
        <f aca="false">$B$5/30</f>
        <v>133.333333333333</v>
      </c>
      <c r="G20" s="14" t="n">
        <f aca="false">$B$6/30</f>
        <v>30</v>
      </c>
      <c r="H20" s="14" t="n">
        <f aca="false">IF(D20=$B$11,$B$12,0)</f>
        <v>0</v>
      </c>
      <c r="I20" s="14" t="n">
        <f aca="false">I19+E20-F20-G20-H20</f>
        <v>12613.9760305914</v>
      </c>
      <c r="K20" s="2" t="n">
        <v>15</v>
      </c>
      <c r="L20" s="14" t="n">
        <f aca="true">$B$16+NORMINV(RAND(),0,SQRT($B$13*($B$7+$B$8^2))*$B$9*(1-$B$10))</f>
        <v>4584.60084353589</v>
      </c>
      <c r="M20" s="14" t="n">
        <f aca="true">$B$16+NORMINV(RAND(),0,SQRT($B$13*($B$7+$B$8^2))*$B$9*(1-$B$10))</f>
        <v>4026.49131296052</v>
      </c>
      <c r="N20" s="14" t="n">
        <f aca="true">$B$16+NORMINV(RAND(),0,SQRT($B$13*($B$7+$B$8^2))*$B$9*(1-$B$10))</f>
        <v>4354.77732112919</v>
      </c>
      <c r="O20" s="14" t="n">
        <f aca="true">$B$16+NORMINV(RAND(),0,SQRT($B$13*($B$7+$B$8^2))*$B$9*(1-$B$10))</f>
        <v>3642.22021177519</v>
      </c>
      <c r="P20" s="14" t="n">
        <f aca="true">$B$16+NORMINV(RAND(),0,SQRT($B$13*($B$7+$B$8^2))*$B$9*(1-$B$10))</f>
        <v>4293.4789119359</v>
      </c>
      <c r="Q20" s="14" t="n">
        <f aca="true">$B$16+NORMINV(RAND(),0,SQRT($B$13*($B$7+$B$8^2))*$B$9*(1-$B$10))</f>
        <v>4154.4462616714</v>
      </c>
      <c r="R20" s="14" t="n">
        <f aca="false">$B$4-13*($B$5+$B$6)/30-IF($B$11&lt;=13,$B$12,0)+0</f>
        <v>8876.66666666667</v>
      </c>
      <c r="S20" s="14" t="n">
        <f aca="false">$B$4-27*($B$5+$B$6)/30-IF($B$11&lt;=27,$B$12,0)+L20</f>
        <v>11174.6008435359</v>
      </c>
      <c r="T20" s="14" t="n">
        <f aca="false">$B$4-41*($B$5+$B$6)/30-IF($B$11&lt;=41,$B$12,0)+L20+M20</f>
        <v>1729.62548982975</v>
      </c>
      <c r="U20" s="14" t="n">
        <f aca="false">$B$4-55*($B$5+$B$6)/30-IF($B$11&lt;=55,$B$12,0)+L20+M20+N20</f>
        <v>3797.73614429227</v>
      </c>
      <c r="V20" s="14" t="n">
        <f aca="false">$B$4-69*($B$5+$B$6)/30-IF($B$11&lt;=69,$B$12,0)+L20+M20+N20+O20</f>
        <v>5153.2896894008</v>
      </c>
      <c r="W20" s="14" t="n">
        <f aca="false">$B$4-83*($B$5+$B$6)/30-IF($B$11&lt;=83,$B$12,0)+L20+M20+N20+O20+P20</f>
        <v>7160.10193467004</v>
      </c>
      <c r="X20" s="14" t="n">
        <f aca="false">$B$4-90*($B$5+$B$6)/30-IF($B$11&lt;=90,$B$12,0)+L20+M20+N20+O20+P20+Q20</f>
        <v>10171.2148630081</v>
      </c>
      <c r="AA20" s="14" t="n">
        <f aca="false">MIN(R20:X20)</f>
        <v>1729.62548982975</v>
      </c>
    </row>
    <row r="21" customFormat="false" ht="15" hidden="false" customHeight="false" outlineLevel="0" collapsed="false">
      <c r="A21" s="10" t="s">
        <v>71</v>
      </c>
      <c r="B21" s="12" t="n">
        <f aca="false">B4-B20</f>
        <v>10811.8274031577</v>
      </c>
      <c r="D21" s="2" t="n">
        <v>16</v>
      </c>
      <c r="E21" s="14" t="n">
        <f aca="false">IF(MOD(D21,$B$13)=0,$B$16,0)</f>
        <v>0</v>
      </c>
      <c r="F21" s="14" t="n">
        <f aca="false">$B$5/30</f>
        <v>133.333333333333</v>
      </c>
      <c r="G21" s="14" t="n">
        <f aca="false">$B$6/30</f>
        <v>30</v>
      </c>
      <c r="H21" s="14" t="n">
        <f aca="false">IF(D21=$B$11,$B$12,0)</f>
        <v>0</v>
      </c>
      <c r="I21" s="14" t="n">
        <f aca="false">I20+E21-F21-G21-H21</f>
        <v>12450.6426972581</v>
      </c>
      <c r="K21" s="2" t="n">
        <v>16</v>
      </c>
      <c r="L21" s="14" t="n">
        <f aca="true">$B$16+NORMINV(RAND(),0,SQRT($B$13*($B$7+$B$8^2))*$B$9*(1-$B$10))</f>
        <v>4257.426770266</v>
      </c>
      <c r="M21" s="14" t="n">
        <f aca="true">$B$16+NORMINV(RAND(),0,SQRT($B$13*($B$7+$B$8^2))*$B$9*(1-$B$10))</f>
        <v>3223.03190589004</v>
      </c>
      <c r="N21" s="14" t="n">
        <f aca="true">$B$16+NORMINV(RAND(),0,SQRT($B$13*($B$7+$B$8^2))*$B$9*(1-$B$10))</f>
        <v>4525.89400407531</v>
      </c>
      <c r="O21" s="14" t="n">
        <f aca="true">$B$16+NORMINV(RAND(),0,SQRT($B$13*($B$7+$B$8^2))*$B$9*(1-$B$10))</f>
        <v>3887.31324906907</v>
      </c>
      <c r="P21" s="14" t="n">
        <f aca="true">$B$16+NORMINV(RAND(),0,SQRT($B$13*($B$7+$B$8^2))*$B$9*(1-$B$10))</f>
        <v>4235.60739581306</v>
      </c>
      <c r="Q21" s="14" t="n">
        <f aca="true">$B$16+NORMINV(RAND(),0,SQRT($B$13*($B$7+$B$8^2))*$B$9*(1-$B$10))</f>
        <v>3679.40817480957</v>
      </c>
      <c r="R21" s="14" t="n">
        <f aca="false">$B$4-13*($B$5+$B$6)/30-IF($B$11&lt;=13,$B$12,0)+0</f>
        <v>8876.66666666667</v>
      </c>
      <c r="S21" s="14" t="n">
        <f aca="false">$B$4-27*($B$5+$B$6)/30-IF($B$11&lt;=27,$B$12,0)+L21</f>
        <v>10847.426770266</v>
      </c>
      <c r="T21" s="14" t="n">
        <f aca="false">$B$4-41*($B$5+$B$6)/30-IF($B$11&lt;=41,$B$12,0)+L21+M21</f>
        <v>598.992009489374</v>
      </c>
      <c r="U21" s="14" t="n">
        <f aca="false">$B$4-55*($B$5+$B$6)/30-IF($B$11&lt;=55,$B$12,0)+L21+M21+N21</f>
        <v>2838.21934689802</v>
      </c>
      <c r="V21" s="14" t="n">
        <f aca="false">$B$4-69*($B$5+$B$6)/30-IF($B$11&lt;=69,$B$12,0)+L21+M21+N21+O21</f>
        <v>4438.86592930043</v>
      </c>
      <c r="W21" s="14" t="n">
        <f aca="false">$B$4-83*($B$5+$B$6)/30-IF($B$11&lt;=83,$B$12,0)+L21+M21+N21+O21+P21</f>
        <v>6387.80665844681</v>
      </c>
      <c r="X21" s="14" t="n">
        <f aca="false">$B$4-90*($B$5+$B$6)/30-IF($B$11&lt;=90,$B$12,0)+L21+M21+N21+O21+P21+Q21</f>
        <v>8923.88149992305</v>
      </c>
      <c r="AA21" s="14" t="n">
        <f aca="false">MIN(R21:X21)</f>
        <v>598.992009489374</v>
      </c>
    </row>
    <row r="22" customFormat="false" ht="15" hidden="false" customHeight="false" outlineLevel="0" collapsed="false">
      <c r="D22" s="2" t="n">
        <v>17</v>
      </c>
      <c r="E22" s="14" t="n">
        <f aca="false">IF(MOD(D22,$B$13)=0,$B$16,0)</f>
        <v>0</v>
      </c>
      <c r="F22" s="14" t="n">
        <f aca="false">$B$5/30</f>
        <v>133.333333333333</v>
      </c>
      <c r="G22" s="14" t="n">
        <f aca="false">$B$6/30</f>
        <v>30</v>
      </c>
      <c r="H22" s="14" t="n">
        <f aca="false">IF(D22=$B$11,$B$12,0)</f>
        <v>0</v>
      </c>
      <c r="I22" s="14" t="n">
        <f aca="false">I21+E22-F22-G22-H22</f>
        <v>12287.3093639247</v>
      </c>
      <c r="K22" s="2" t="n">
        <v>17</v>
      </c>
      <c r="L22" s="14" t="n">
        <f aca="true">$B$16+NORMINV(RAND(),0,SQRT($B$13*($B$7+$B$8^2))*$B$9*(1-$B$10))</f>
        <v>4738.61628195237</v>
      </c>
      <c r="M22" s="14" t="n">
        <f aca="true">$B$16+NORMINV(RAND(),0,SQRT($B$13*($B$7+$B$8^2))*$B$9*(1-$B$10))</f>
        <v>4039.74450290474</v>
      </c>
      <c r="N22" s="14" t="n">
        <f aca="true">$B$16+NORMINV(RAND(),0,SQRT($B$13*($B$7+$B$8^2))*$B$9*(1-$B$10))</f>
        <v>3809.22899590583</v>
      </c>
      <c r="O22" s="14" t="n">
        <f aca="true">$B$16+NORMINV(RAND(),0,SQRT($B$13*($B$7+$B$8^2))*$B$9*(1-$B$10))</f>
        <v>4183.01570500004</v>
      </c>
      <c r="P22" s="14" t="n">
        <f aca="true">$B$16+NORMINV(RAND(),0,SQRT($B$13*($B$7+$B$8^2))*$B$9*(1-$B$10))</f>
        <v>4048.01706328585</v>
      </c>
      <c r="Q22" s="14" t="n">
        <f aca="true">$B$16+NORMINV(RAND(),0,SQRT($B$13*($B$7+$B$8^2))*$B$9*(1-$B$10))</f>
        <v>4190.07787537672</v>
      </c>
      <c r="R22" s="14" t="n">
        <f aca="false">$B$4-13*($B$5+$B$6)/30-IF($B$11&lt;=13,$B$12,0)+0</f>
        <v>8876.66666666667</v>
      </c>
      <c r="S22" s="14" t="n">
        <f aca="false">$B$4-27*($B$5+$B$6)/30-IF($B$11&lt;=27,$B$12,0)+L22</f>
        <v>11328.6162819524</v>
      </c>
      <c r="T22" s="14" t="n">
        <f aca="false">$B$4-41*($B$5+$B$6)/30-IF($B$11&lt;=41,$B$12,0)+L22+M22</f>
        <v>1896.89411819044</v>
      </c>
      <c r="U22" s="14" t="n">
        <f aca="false">$B$4-55*($B$5+$B$6)/30-IF($B$11&lt;=55,$B$12,0)+L22+M22+N22</f>
        <v>3419.4564474296</v>
      </c>
      <c r="V22" s="14" t="n">
        <f aca="false">$B$4-69*($B$5+$B$6)/30-IF($B$11&lt;=69,$B$12,0)+L22+M22+N22+O22</f>
        <v>5315.80548576297</v>
      </c>
      <c r="W22" s="14" t="n">
        <f aca="false">$B$4-83*($B$5+$B$6)/30-IF($B$11&lt;=83,$B$12,0)+L22+M22+N22+O22+P22</f>
        <v>7077.15588238215</v>
      </c>
      <c r="X22" s="14" t="n">
        <f aca="false">$B$4-90*($B$5+$B$6)/30-IF($B$11&lt;=90,$B$12,0)+L22+M22+N22+O22+P22+Q22</f>
        <v>10123.9004244255</v>
      </c>
      <c r="AA22" s="14" t="n">
        <f aca="false">MIN(R22:X22)</f>
        <v>1896.89411819044</v>
      </c>
    </row>
    <row r="23" customFormat="false" ht="15" hidden="false" customHeight="false" outlineLevel="0" collapsed="false">
      <c r="A23" s="4" t="s">
        <v>72</v>
      </c>
      <c r="D23" s="2" t="n">
        <v>18</v>
      </c>
      <c r="E23" s="14" t="n">
        <f aca="false">IF(MOD(D23,$B$13)=0,$B$16,0)</f>
        <v>0</v>
      </c>
      <c r="F23" s="14" t="n">
        <f aca="false">$B$5/30</f>
        <v>133.333333333333</v>
      </c>
      <c r="G23" s="14" t="n">
        <f aca="false">$B$6/30</f>
        <v>30</v>
      </c>
      <c r="H23" s="14" t="n">
        <f aca="false">IF(D23=$B$11,$B$12,0)</f>
        <v>0</v>
      </c>
      <c r="I23" s="14" t="n">
        <f aca="false">I22+E23-F23-G23-H23</f>
        <v>12123.9760305914</v>
      </c>
      <c r="K23" s="2" t="n">
        <v>18</v>
      </c>
      <c r="L23" s="14" t="n">
        <f aca="true">$B$16+NORMINV(RAND(),0,SQRT($B$13*($B$7+$B$8^2))*$B$9*(1-$B$10))</f>
        <v>3887.67072271283</v>
      </c>
      <c r="M23" s="14" t="n">
        <f aca="true">$B$16+NORMINV(RAND(),0,SQRT($B$13*($B$7+$B$8^2))*$B$9*(1-$B$10))</f>
        <v>4028.83614632478</v>
      </c>
      <c r="N23" s="14" t="n">
        <f aca="true">$B$16+NORMINV(RAND(),0,SQRT($B$13*($B$7+$B$8^2))*$B$9*(1-$B$10))</f>
        <v>3817.93021960646</v>
      </c>
      <c r="O23" s="14" t="n">
        <f aca="true">$B$16+NORMINV(RAND(),0,SQRT($B$13*($B$7+$B$8^2))*$B$9*(1-$B$10))</f>
        <v>3969.80498344018</v>
      </c>
      <c r="P23" s="14" t="n">
        <f aca="true">$B$16+NORMINV(RAND(),0,SQRT($B$13*($B$7+$B$8^2))*$B$9*(1-$B$10))</f>
        <v>3532.43378872374</v>
      </c>
      <c r="Q23" s="14" t="n">
        <f aca="true">$B$16+NORMINV(RAND(),0,SQRT($B$13*($B$7+$B$8^2))*$B$9*(1-$B$10))</f>
        <v>4296.84428275269</v>
      </c>
      <c r="R23" s="14" t="n">
        <f aca="false">$B$4-13*($B$5+$B$6)/30-IF($B$11&lt;=13,$B$12,0)+0</f>
        <v>8876.66666666667</v>
      </c>
      <c r="S23" s="14" t="n">
        <f aca="false">$B$4-27*($B$5+$B$6)/30-IF($B$11&lt;=27,$B$12,0)+L23</f>
        <v>10477.6707227128</v>
      </c>
      <c r="T23" s="14" t="n">
        <f aca="false">$B$4-41*($B$5+$B$6)/30-IF($B$11&lt;=41,$B$12,0)+L23+M23</f>
        <v>1035.04020237094</v>
      </c>
      <c r="U23" s="14" t="n">
        <f aca="false">$B$4-55*($B$5+$B$6)/30-IF($B$11&lt;=55,$B$12,0)+L23+M23+N23</f>
        <v>2566.30375531074</v>
      </c>
      <c r="V23" s="14" t="n">
        <f aca="false">$B$4-69*($B$5+$B$6)/30-IF($B$11&lt;=69,$B$12,0)+L23+M23+N23+O23</f>
        <v>4249.44207208425</v>
      </c>
      <c r="W23" s="14" t="n">
        <f aca="false">$B$4-83*($B$5+$B$6)/30-IF($B$11&lt;=83,$B$12,0)+L23+M23+N23+O23+P23</f>
        <v>5495.20919414132</v>
      </c>
      <c r="X23" s="14" t="n">
        <f aca="false">$B$4-90*($B$5+$B$6)/30-IF($B$11&lt;=90,$B$12,0)+L23+M23+N23+O23+P23+Q23</f>
        <v>8648.72014356068</v>
      </c>
      <c r="AA23" s="14" t="n">
        <f aca="false">MIN(R23:X23)</f>
        <v>1035.04020237094</v>
      </c>
    </row>
    <row r="24" customFormat="false" ht="15" hidden="false" customHeight="false" outlineLevel="0" collapsed="false">
      <c r="D24" s="2" t="n">
        <v>19</v>
      </c>
      <c r="E24" s="14" t="n">
        <f aca="false">IF(MOD(D24,$B$13)=0,$B$16,0)</f>
        <v>0</v>
      </c>
      <c r="F24" s="14" t="n">
        <f aca="false">$B$5/30</f>
        <v>133.333333333333</v>
      </c>
      <c r="G24" s="14" t="n">
        <f aca="false">$B$6/30</f>
        <v>30</v>
      </c>
      <c r="H24" s="14" t="n">
        <f aca="false">IF(D24=$B$11,$B$12,0)</f>
        <v>0</v>
      </c>
      <c r="I24" s="14" t="n">
        <f aca="false">I23+E24-F24-G24-H24</f>
        <v>11960.6426972581</v>
      </c>
      <c r="K24" s="2" t="n">
        <v>19</v>
      </c>
      <c r="L24" s="14" t="n">
        <f aca="true">$B$16+NORMINV(RAND(),0,SQRT($B$13*($B$7+$B$8^2))*$B$9*(1-$B$10))</f>
        <v>4255.83023564891</v>
      </c>
      <c r="M24" s="14" t="n">
        <f aca="true">$B$16+NORMINV(RAND(),0,SQRT($B$13*($B$7+$B$8^2))*$B$9*(1-$B$10))</f>
        <v>4254.54407077283</v>
      </c>
      <c r="N24" s="14" t="n">
        <f aca="true">$B$16+NORMINV(RAND(),0,SQRT($B$13*($B$7+$B$8^2))*$B$9*(1-$B$10))</f>
        <v>4168.07109831902</v>
      </c>
      <c r="O24" s="14" t="n">
        <f aca="true">$B$16+NORMINV(RAND(),0,SQRT($B$13*($B$7+$B$8^2))*$B$9*(1-$B$10))</f>
        <v>4085.01417548225</v>
      </c>
      <c r="P24" s="14" t="n">
        <f aca="true">$B$16+NORMINV(RAND(),0,SQRT($B$13*($B$7+$B$8^2))*$B$9*(1-$B$10))</f>
        <v>4432.29106339063</v>
      </c>
      <c r="Q24" s="14" t="n">
        <f aca="true">$B$16+NORMINV(RAND(),0,SQRT($B$13*($B$7+$B$8^2))*$B$9*(1-$B$10))</f>
        <v>3829.05080398748</v>
      </c>
      <c r="R24" s="14" t="n">
        <f aca="false">$B$4-13*($B$5+$B$6)/30-IF($B$11&lt;=13,$B$12,0)+0</f>
        <v>8876.66666666667</v>
      </c>
      <c r="S24" s="14" t="n">
        <f aca="false">$B$4-27*($B$5+$B$6)/30-IF($B$11&lt;=27,$B$12,0)+L24</f>
        <v>10845.8302356489</v>
      </c>
      <c r="T24" s="14" t="n">
        <f aca="false">$B$4-41*($B$5+$B$6)/30-IF($B$11&lt;=41,$B$12,0)+L24+M24</f>
        <v>1628.90763975508</v>
      </c>
      <c r="U24" s="14" t="n">
        <f aca="false">$B$4-55*($B$5+$B$6)/30-IF($B$11&lt;=55,$B$12,0)+L24+M24+N24</f>
        <v>3510.31207140743</v>
      </c>
      <c r="V24" s="14" t="n">
        <f aca="false">$B$4-69*($B$5+$B$6)/30-IF($B$11&lt;=69,$B$12,0)+L24+M24+N24+O24</f>
        <v>5308.65958022301</v>
      </c>
      <c r="W24" s="14" t="n">
        <f aca="false">$B$4-83*($B$5+$B$6)/30-IF($B$11&lt;=83,$B$12,0)+L24+M24+N24+O24+P24</f>
        <v>7454.28397694697</v>
      </c>
      <c r="X24" s="14" t="n">
        <f aca="false">$B$4-90*($B$5+$B$6)/30-IF($B$11&lt;=90,$B$12,0)+L24+M24+N24+O24+P24+Q24</f>
        <v>10140.0014476011</v>
      </c>
      <c r="AA24" s="14" t="n">
        <f aca="false">MIN(R24:X24)</f>
        <v>1628.90763975508</v>
      </c>
    </row>
    <row r="25" customFormat="false" ht="15" hidden="false" customHeight="false" outlineLevel="0" collapsed="false">
      <c r="D25" s="2" t="n">
        <v>20</v>
      </c>
      <c r="E25" s="14" t="n">
        <f aca="false">IF(MOD(D25,$B$13)=0,$B$16,0)</f>
        <v>0</v>
      </c>
      <c r="F25" s="14" t="n">
        <f aca="false">$B$5/30</f>
        <v>133.333333333333</v>
      </c>
      <c r="G25" s="14" t="n">
        <f aca="false">$B$6/30</f>
        <v>30</v>
      </c>
      <c r="H25" s="14" t="n">
        <f aca="false">IF(D25=$B$11,$B$12,0)</f>
        <v>0</v>
      </c>
      <c r="I25" s="14" t="n">
        <f aca="false">I24+E25-F25-G25-H25</f>
        <v>11797.3093639247</v>
      </c>
      <c r="K25" s="2" t="n">
        <v>20</v>
      </c>
      <c r="L25" s="14" t="n">
        <f aca="true">$B$16+NORMINV(RAND(),0,SQRT($B$13*($B$7+$B$8^2))*$B$9*(1-$B$10))</f>
        <v>4009.36856911654</v>
      </c>
      <c r="M25" s="14" t="n">
        <f aca="true">$B$16+NORMINV(RAND(),0,SQRT($B$13*($B$7+$B$8^2))*$B$9*(1-$B$10))</f>
        <v>3907.28723324221</v>
      </c>
      <c r="N25" s="14" t="n">
        <f aca="true">$B$16+NORMINV(RAND(),0,SQRT($B$13*($B$7+$B$8^2))*$B$9*(1-$B$10))</f>
        <v>3862.52769041493</v>
      </c>
      <c r="O25" s="14" t="n">
        <f aca="true">$B$16+NORMINV(RAND(),0,SQRT($B$13*($B$7+$B$8^2))*$B$9*(1-$B$10))</f>
        <v>3923.50411537339</v>
      </c>
      <c r="P25" s="14" t="n">
        <f aca="true">$B$16+NORMINV(RAND(),0,SQRT($B$13*($B$7+$B$8^2))*$B$9*(1-$B$10))</f>
        <v>4008.11853192057</v>
      </c>
      <c r="Q25" s="14" t="n">
        <f aca="true">$B$16+NORMINV(RAND(),0,SQRT($B$13*($B$7+$B$8^2))*$B$9*(1-$B$10))</f>
        <v>3501.59890624333</v>
      </c>
      <c r="R25" s="14" t="n">
        <f aca="false">$B$4-13*($B$5+$B$6)/30-IF($B$11&lt;=13,$B$12,0)+0</f>
        <v>8876.66666666667</v>
      </c>
      <c r="S25" s="14" t="n">
        <f aca="false">$B$4-27*($B$5+$B$6)/30-IF($B$11&lt;=27,$B$12,0)+L25</f>
        <v>10599.3685691165</v>
      </c>
      <c r="T25" s="14" t="n">
        <f aca="false">$B$4-41*($B$5+$B$6)/30-IF($B$11&lt;=41,$B$12,0)+L25+M25</f>
        <v>1035.18913569208</v>
      </c>
      <c r="U25" s="14" t="n">
        <f aca="false">$B$4-55*($B$5+$B$6)/30-IF($B$11&lt;=55,$B$12,0)+L25+M25+N25</f>
        <v>2611.05015944035</v>
      </c>
      <c r="V25" s="14" t="n">
        <f aca="false">$B$4-69*($B$5+$B$6)/30-IF($B$11&lt;=69,$B$12,0)+L25+M25+N25+O25</f>
        <v>4247.88760814707</v>
      </c>
      <c r="W25" s="14" t="n">
        <f aca="false">$B$4-83*($B$5+$B$6)/30-IF($B$11&lt;=83,$B$12,0)+L25+M25+N25+O25+P25</f>
        <v>5969.33947340097</v>
      </c>
      <c r="X25" s="14" t="n">
        <f aca="false">$B$4-90*($B$5+$B$6)/30-IF($B$11&lt;=90,$B$12,0)+L25+M25+N25+O25+P25+Q25</f>
        <v>8327.60504631096</v>
      </c>
      <c r="AA25" s="14" t="n">
        <f aca="false">MIN(R25:X25)</f>
        <v>1035.18913569208</v>
      </c>
    </row>
    <row r="26" customFormat="false" ht="15" hidden="false" customHeight="false" outlineLevel="0" collapsed="false">
      <c r="D26" s="2" t="n">
        <v>21</v>
      </c>
      <c r="E26" s="14" t="n">
        <f aca="false">IF(MOD(D26,$B$13)=0,$B$16,0)</f>
        <v>0</v>
      </c>
      <c r="F26" s="14" t="n">
        <f aca="false">$B$5/30</f>
        <v>133.333333333333</v>
      </c>
      <c r="G26" s="14" t="n">
        <f aca="false">$B$6/30</f>
        <v>30</v>
      </c>
      <c r="H26" s="14" t="n">
        <f aca="false">IF(D26=$B$11,$B$12,0)</f>
        <v>0</v>
      </c>
      <c r="I26" s="14" t="n">
        <f aca="false">I25+E26-F26-G26-H26</f>
        <v>11633.9760305914</v>
      </c>
      <c r="K26" s="2" t="n">
        <v>21</v>
      </c>
      <c r="L26" s="14" t="n">
        <f aca="true">$B$16+NORMINV(RAND(),0,SQRT($B$13*($B$7+$B$8^2))*$B$9*(1-$B$10))</f>
        <v>4115.04535815503</v>
      </c>
      <c r="M26" s="14" t="n">
        <f aca="true">$B$16+NORMINV(RAND(),0,SQRT($B$13*($B$7+$B$8^2))*$B$9*(1-$B$10))</f>
        <v>3785.80482818608</v>
      </c>
      <c r="N26" s="14" t="n">
        <f aca="true">$B$16+NORMINV(RAND(),0,SQRT($B$13*($B$7+$B$8^2))*$B$9*(1-$B$10))</f>
        <v>4339.21114810142</v>
      </c>
      <c r="O26" s="14" t="n">
        <f aca="true">$B$16+NORMINV(RAND(),0,SQRT($B$13*($B$7+$B$8^2))*$B$9*(1-$B$10))</f>
        <v>4277.81285343096</v>
      </c>
      <c r="P26" s="14" t="n">
        <f aca="true">$B$16+NORMINV(RAND(),0,SQRT($B$13*($B$7+$B$8^2))*$B$9*(1-$B$10))</f>
        <v>3749.84879738025</v>
      </c>
      <c r="Q26" s="14" t="n">
        <f aca="true">$B$16+NORMINV(RAND(),0,SQRT($B$13*($B$7+$B$8^2))*$B$9*(1-$B$10))</f>
        <v>3817.13759545461</v>
      </c>
      <c r="R26" s="14" t="n">
        <f aca="false">$B$4-13*($B$5+$B$6)/30-IF($B$11&lt;=13,$B$12,0)+0</f>
        <v>8876.66666666667</v>
      </c>
      <c r="S26" s="14" t="n">
        <f aca="false">$B$4-27*($B$5+$B$6)/30-IF($B$11&lt;=27,$B$12,0)+L26</f>
        <v>10705.045358155</v>
      </c>
      <c r="T26" s="14" t="n">
        <f aca="false">$B$4-41*($B$5+$B$6)/30-IF($B$11&lt;=41,$B$12,0)+L26+M26</f>
        <v>1019.38351967444</v>
      </c>
      <c r="U26" s="14" t="n">
        <f aca="false">$B$4-55*($B$5+$B$6)/30-IF($B$11&lt;=55,$B$12,0)+L26+M26+N26</f>
        <v>3071.92800110919</v>
      </c>
      <c r="V26" s="14" t="n">
        <f aca="false">$B$4-69*($B$5+$B$6)/30-IF($B$11&lt;=69,$B$12,0)+L26+M26+N26+O26</f>
        <v>5063.07418787348</v>
      </c>
      <c r="W26" s="14" t="n">
        <f aca="false">$B$4-83*($B$5+$B$6)/30-IF($B$11&lt;=83,$B$12,0)+L26+M26+N26+O26+P26</f>
        <v>6526.25631858707</v>
      </c>
      <c r="X26" s="14" t="n">
        <f aca="false">$B$4-90*($B$5+$B$6)/30-IF($B$11&lt;=90,$B$12,0)+L26+M26+N26+O26+P26+Q26</f>
        <v>9200.06058070834</v>
      </c>
      <c r="AA26" s="14" t="n">
        <f aca="false">MIN(R26:X26)</f>
        <v>1019.38351967444</v>
      </c>
    </row>
    <row r="27" customFormat="false" ht="15" hidden="false" customHeight="false" outlineLevel="0" collapsed="false">
      <c r="D27" s="2" t="n">
        <v>22</v>
      </c>
      <c r="E27" s="14" t="n">
        <f aca="false">IF(MOD(D27,$B$13)=0,$B$16,0)</f>
        <v>0</v>
      </c>
      <c r="F27" s="14" t="n">
        <f aca="false">$B$5/30</f>
        <v>133.333333333333</v>
      </c>
      <c r="G27" s="14" t="n">
        <f aca="false">$B$6/30</f>
        <v>30</v>
      </c>
      <c r="H27" s="14" t="n">
        <f aca="false">IF(D27=$B$11,$B$12,0)</f>
        <v>0</v>
      </c>
      <c r="I27" s="14" t="n">
        <f aca="false">I26+E27-F27-G27-H27</f>
        <v>11470.6426972581</v>
      </c>
      <c r="K27" s="2" t="n">
        <v>22</v>
      </c>
      <c r="L27" s="14" t="n">
        <f aca="true">$B$16+NORMINV(RAND(),0,SQRT($B$13*($B$7+$B$8^2))*$B$9*(1-$B$10))</f>
        <v>4491.32736066803</v>
      </c>
      <c r="M27" s="14" t="n">
        <f aca="true">$B$16+NORMINV(RAND(),0,SQRT($B$13*($B$7+$B$8^2))*$B$9*(1-$B$10))</f>
        <v>3775.46207864634</v>
      </c>
      <c r="N27" s="14" t="n">
        <f aca="true">$B$16+NORMINV(RAND(),0,SQRT($B$13*($B$7+$B$8^2))*$B$9*(1-$B$10))</f>
        <v>3922.55483050464</v>
      </c>
      <c r="O27" s="14" t="n">
        <f aca="true">$B$16+NORMINV(RAND(),0,SQRT($B$13*($B$7+$B$8^2))*$B$9*(1-$B$10))</f>
        <v>3991.78522528584</v>
      </c>
      <c r="P27" s="14" t="n">
        <f aca="true">$B$16+NORMINV(RAND(),0,SQRT($B$13*($B$7+$B$8^2))*$B$9*(1-$B$10))</f>
        <v>4605.1248319836</v>
      </c>
      <c r="Q27" s="14" t="n">
        <f aca="true">$B$16+NORMINV(RAND(),0,SQRT($B$13*($B$7+$B$8^2))*$B$9*(1-$B$10))</f>
        <v>3704.59950559129</v>
      </c>
      <c r="R27" s="14" t="n">
        <f aca="false">$B$4-13*($B$5+$B$6)/30-IF($B$11&lt;=13,$B$12,0)+0</f>
        <v>8876.66666666667</v>
      </c>
      <c r="S27" s="14" t="n">
        <f aca="false">$B$4-27*($B$5+$B$6)/30-IF($B$11&lt;=27,$B$12,0)+L27</f>
        <v>11081.327360668</v>
      </c>
      <c r="T27" s="14" t="n">
        <f aca="false">$B$4-41*($B$5+$B$6)/30-IF($B$11&lt;=41,$B$12,0)+L27+M27</f>
        <v>1385.3227726477</v>
      </c>
      <c r="U27" s="14" t="n">
        <f aca="false">$B$4-55*($B$5+$B$6)/30-IF($B$11&lt;=55,$B$12,0)+L27+M27+N27</f>
        <v>3021.21093648567</v>
      </c>
      <c r="V27" s="14" t="n">
        <f aca="false">$B$4-69*($B$5+$B$6)/30-IF($B$11&lt;=69,$B$12,0)+L27+M27+N27+O27</f>
        <v>4726.32949510485</v>
      </c>
      <c r="W27" s="14" t="n">
        <f aca="false">$B$4-83*($B$5+$B$6)/30-IF($B$11&lt;=83,$B$12,0)+L27+M27+N27+O27+P27</f>
        <v>7044.78766042178</v>
      </c>
      <c r="X27" s="14" t="n">
        <f aca="false">$B$4-90*($B$5+$B$6)/30-IF($B$11&lt;=90,$B$12,0)+L27+M27+N27+O27+P27+Q27</f>
        <v>9606.05383267974</v>
      </c>
      <c r="AA27" s="14" t="n">
        <f aca="false">MIN(R27:X27)</f>
        <v>1385.3227726477</v>
      </c>
    </row>
    <row r="28" customFormat="false" ht="15" hidden="false" customHeight="false" outlineLevel="0" collapsed="false">
      <c r="D28" s="2" t="n">
        <v>23</v>
      </c>
      <c r="E28" s="14" t="n">
        <f aca="false">IF(MOD(D28,$B$13)=0,$B$16,0)</f>
        <v>0</v>
      </c>
      <c r="F28" s="14" t="n">
        <f aca="false">$B$5/30</f>
        <v>133.333333333333</v>
      </c>
      <c r="G28" s="14" t="n">
        <f aca="false">$B$6/30</f>
        <v>30</v>
      </c>
      <c r="H28" s="14" t="n">
        <f aca="false">IF(D28=$B$11,$B$12,0)</f>
        <v>0</v>
      </c>
      <c r="I28" s="14" t="n">
        <f aca="false">I27+E28-F28-G28-H28</f>
        <v>11307.3093639247</v>
      </c>
      <c r="K28" s="2" t="n">
        <v>23</v>
      </c>
      <c r="L28" s="14" t="n">
        <f aca="true">$B$16+NORMINV(RAND(),0,SQRT($B$13*($B$7+$B$8^2))*$B$9*(1-$B$10))</f>
        <v>4541.08030849836</v>
      </c>
      <c r="M28" s="14" t="n">
        <f aca="true">$B$16+NORMINV(RAND(),0,SQRT($B$13*($B$7+$B$8^2))*$B$9*(1-$B$10))</f>
        <v>3874.47549671732</v>
      </c>
      <c r="N28" s="14" t="n">
        <f aca="true">$B$16+NORMINV(RAND(),0,SQRT($B$13*($B$7+$B$8^2))*$B$9*(1-$B$10))</f>
        <v>3444.36449637164</v>
      </c>
      <c r="O28" s="14" t="n">
        <f aca="true">$B$16+NORMINV(RAND(),0,SQRT($B$13*($B$7+$B$8^2))*$B$9*(1-$B$10))</f>
        <v>4364.52719216905</v>
      </c>
      <c r="P28" s="14" t="n">
        <f aca="true">$B$16+NORMINV(RAND(),0,SQRT($B$13*($B$7+$B$8^2))*$B$9*(1-$B$10))</f>
        <v>4335.22944345598</v>
      </c>
      <c r="Q28" s="14" t="n">
        <f aca="true">$B$16+NORMINV(RAND(),0,SQRT($B$13*($B$7+$B$8^2))*$B$9*(1-$B$10))</f>
        <v>4058.87905653988</v>
      </c>
      <c r="R28" s="14" t="n">
        <f aca="false">$B$4-13*($B$5+$B$6)/30-IF($B$11&lt;=13,$B$12,0)+0</f>
        <v>8876.66666666667</v>
      </c>
      <c r="S28" s="14" t="n">
        <f aca="false">$B$4-27*($B$5+$B$6)/30-IF($B$11&lt;=27,$B$12,0)+L28</f>
        <v>11131.0803084984</v>
      </c>
      <c r="T28" s="14" t="n">
        <f aca="false">$B$4-41*($B$5+$B$6)/30-IF($B$11&lt;=41,$B$12,0)+L28+M28</f>
        <v>1534.08913854901</v>
      </c>
      <c r="U28" s="14" t="n">
        <f aca="false">$B$4-55*($B$5+$B$6)/30-IF($B$11&lt;=55,$B$12,0)+L28+M28+N28</f>
        <v>2691.78696825398</v>
      </c>
      <c r="V28" s="14" t="n">
        <f aca="false">$B$4-69*($B$5+$B$6)/30-IF($B$11&lt;=69,$B$12,0)+L28+M28+N28+O28</f>
        <v>4769.64749375636</v>
      </c>
      <c r="W28" s="14" t="n">
        <f aca="false">$B$4-83*($B$5+$B$6)/30-IF($B$11&lt;=83,$B$12,0)+L28+M28+N28+O28+P28</f>
        <v>6818.21027054567</v>
      </c>
      <c r="X28" s="14" t="n">
        <f aca="false">$B$4-90*($B$5+$B$6)/30-IF($B$11&lt;=90,$B$12,0)+L28+M28+N28+O28+P28+Q28</f>
        <v>9733.75599375222</v>
      </c>
      <c r="AA28" s="14" t="n">
        <f aca="false">MIN(R28:X28)</f>
        <v>1534.08913854901</v>
      </c>
    </row>
    <row r="29" customFormat="false" ht="15" hidden="false" customHeight="false" outlineLevel="0" collapsed="false">
      <c r="D29" s="2" t="n">
        <v>24</v>
      </c>
      <c r="E29" s="14" t="n">
        <f aca="false">IF(MOD(D29,$B$13)=0,$B$16,0)</f>
        <v>0</v>
      </c>
      <c r="F29" s="14" t="n">
        <f aca="false">$B$5/30</f>
        <v>133.333333333333</v>
      </c>
      <c r="G29" s="14" t="n">
        <f aca="false">$B$6/30</f>
        <v>30</v>
      </c>
      <c r="H29" s="14" t="n">
        <f aca="false">IF(D29=$B$11,$B$12,0)</f>
        <v>0</v>
      </c>
      <c r="I29" s="14" t="n">
        <f aca="false">I28+E29-F29-G29-H29</f>
        <v>11143.9760305914</v>
      </c>
      <c r="K29" s="2" t="n">
        <v>24</v>
      </c>
      <c r="L29" s="14" t="n">
        <f aca="true">$B$16+NORMINV(RAND(),0,SQRT($B$13*($B$7+$B$8^2))*$B$9*(1-$B$10))</f>
        <v>3148.59188461107</v>
      </c>
      <c r="M29" s="14" t="n">
        <f aca="true">$B$16+NORMINV(RAND(),0,SQRT($B$13*($B$7+$B$8^2))*$B$9*(1-$B$10))</f>
        <v>3374.49006469079</v>
      </c>
      <c r="N29" s="14" t="n">
        <f aca="true">$B$16+NORMINV(RAND(),0,SQRT($B$13*($B$7+$B$8^2))*$B$9*(1-$B$10))</f>
        <v>3886.73366844614</v>
      </c>
      <c r="O29" s="14" t="n">
        <f aca="true">$B$16+NORMINV(RAND(),0,SQRT($B$13*($B$7+$B$8^2))*$B$9*(1-$B$10))</f>
        <v>4106.47495286157</v>
      </c>
      <c r="P29" s="14" t="n">
        <f aca="true">$B$16+NORMINV(RAND(),0,SQRT($B$13*($B$7+$B$8^2))*$B$9*(1-$B$10))</f>
        <v>3783.69889019095</v>
      </c>
      <c r="Q29" s="14" t="n">
        <f aca="true">$B$16+NORMINV(RAND(),0,SQRT($B$13*($B$7+$B$8^2))*$B$9*(1-$B$10))</f>
        <v>4493.79370518701</v>
      </c>
      <c r="R29" s="14" t="n">
        <f aca="false">$B$4-13*($B$5+$B$6)/30-IF($B$11&lt;=13,$B$12,0)+0</f>
        <v>8876.66666666667</v>
      </c>
      <c r="S29" s="14" t="n">
        <f aca="false">$B$4-27*($B$5+$B$6)/30-IF($B$11&lt;=27,$B$12,0)+L29</f>
        <v>9738.59188461107</v>
      </c>
      <c r="T29" s="14" t="n">
        <f aca="false">$B$4-41*($B$5+$B$6)/30-IF($B$11&lt;=41,$B$12,0)+L29+M29</f>
        <v>-358.384717364806</v>
      </c>
      <c r="U29" s="14" t="n">
        <f aca="false">$B$4-55*($B$5+$B$6)/30-IF($B$11&lt;=55,$B$12,0)+L29+M29+N29</f>
        <v>1241.68228441467</v>
      </c>
      <c r="V29" s="14" t="n">
        <f aca="false">$B$4-69*($B$5+$B$6)/30-IF($B$11&lt;=69,$B$12,0)+L29+M29+N29+O29</f>
        <v>3061.49057060958</v>
      </c>
      <c r="W29" s="14" t="n">
        <f aca="false">$B$4-83*($B$5+$B$6)/30-IF($B$11&lt;=83,$B$12,0)+L29+M29+N29+O29+P29</f>
        <v>4558.52279413386</v>
      </c>
      <c r="X29" s="14" t="n">
        <f aca="false">$B$4-90*($B$5+$B$6)/30-IF($B$11&lt;=90,$B$12,0)+L29+M29+N29+O29+P29+Q29</f>
        <v>7908.98316598753</v>
      </c>
      <c r="AA29" s="14" t="n">
        <f aca="false">MIN(R29:X29)</f>
        <v>-358.384717364806</v>
      </c>
    </row>
    <row r="30" customFormat="false" ht="15" hidden="false" customHeight="false" outlineLevel="0" collapsed="false">
      <c r="D30" s="2" t="n">
        <v>25</v>
      </c>
      <c r="E30" s="14" t="n">
        <f aca="false">IF(MOD(D30,$B$13)=0,$B$16,0)</f>
        <v>0</v>
      </c>
      <c r="F30" s="14" t="n">
        <f aca="false">$B$5/30</f>
        <v>133.333333333333</v>
      </c>
      <c r="G30" s="14" t="n">
        <f aca="false">$B$6/30</f>
        <v>30</v>
      </c>
      <c r="H30" s="14" t="n">
        <f aca="false">IF(D30=$B$11,$B$12,0)</f>
        <v>0</v>
      </c>
      <c r="I30" s="14" t="n">
        <f aca="false">I29+E30-F30-G30-H30</f>
        <v>10980.6426972581</v>
      </c>
      <c r="K30" s="2" t="n">
        <v>25</v>
      </c>
      <c r="L30" s="14" t="n">
        <f aca="true">$B$16+NORMINV(RAND(),0,SQRT($B$13*($B$7+$B$8^2))*$B$9*(1-$B$10))</f>
        <v>3815.47795635207</v>
      </c>
      <c r="M30" s="14" t="n">
        <f aca="true">$B$16+NORMINV(RAND(),0,SQRT($B$13*($B$7+$B$8^2))*$B$9*(1-$B$10))</f>
        <v>4161.42251156449</v>
      </c>
      <c r="N30" s="14" t="n">
        <f aca="true">$B$16+NORMINV(RAND(),0,SQRT($B$13*($B$7+$B$8^2))*$B$9*(1-$B$10))</f>
        <v>3798.02324511895</v>
      </c>
      <c r="O30" s="14" t="n">
        <f aca="true">$B$16+NORMINV(RAND(),0,SQRT($B$13*($B$7+$B$8^2))*$B$9*(1-$B$10))</f>
        <v>3638.20412828817</v>
      </c>
      <c r="P30" s="14" t="n">
        <f aca="true">$B$16+NORMINV(RAND(),0,SQRT($B$13*($B$7+$B$8^2))*$B$9*(1-$B$10))</f>
        <v>4571.66694819299</v>
      </c>
      <c r="Q30" s="14" t="n">
        <f aca="true">$B$16+NORMINV(RAND(),0,SQRT($B$13*($B$7+$B$8^2))*$B$9*(1-$B$10))</f>
        <v>4235.82965833449</v>
      </c>
      <c r="R30" s="14" t="n">
        <f aca="false">$B$4-13*($B$5+$B$6)/30-IF($B$11&lt;=13,$B$12,0)+0</f>
        <v>8876.66666666667</v>
      </c>
      <c r="S30" s="14" t="n">
        <f aca="false">$B$4-27*($B$5+$B$6)/30-IF($B$11&lt;=27,$B$12,0)+L30</f>
        <v>10405.4779563521</v>
      </c>
      <c r="T30" s="14" t="n">
        <f aca="false">$B$4-41*($B$5+$B$6)/30-IF($B$11&lt;=41,$B$12,0)+L30+M30</f>
        <v>1095.43380124989</v>
      </c>
      <c r="U30" s="14" t="n">
        <f aca="false">$B$4-55*($B$5+$B$6)/30-IF($B$11&lt;=55,$B$12,0)+L30+M30+N30</f>
        <v>2606.79037970217</v>
      </c>
      <c r="V30" s="14" t="n">
        <f aca="false">$B$4-69*($B$5+$B$6)/30-IF($B$11&lt;=69,$B$12,0)+L30+M30+N30+O30</f>
        <v>3958.32784132367</v>
      </c>
      <c r="W30" s="14" t="n">
        <f aca="false">$B$4-83*($B$5+$B$6)/30-IF($B$11&lt;=83,$B$12,0)+L30+M30+N30+O30+P30</f>
        <v>6243.32812284999</v>
      </c>
      <c r="X30" s="14" t="n">
        <f aca="false">$B$4-90*($B$5+$B$6)/30-IF($B$11&lt;=90,$B$12,0)+L30+M30+N30+O30+P30+Q30</f>
        <v>9335.82444785115</v>
      </c>
      <c r="AA30" s="14" t="n">
        <f aca="false">MIN(R30:X30)</f>
        <v>1095.43380124989</v>
      </c>
    </row>
    <row r="31" customFormat="false" ht="15" hidden="false" customHeight="false" outlineLevel="0" collapsed="false">
      <c r="D31" s="2" t="n">
        <v>26</v>
      </c>
      <c r="E31" s="14" t="n">
        <f aca="false">IF(MOD(D31,$B$13)=0,$B$16,0)</f>
        <v>0</v>
      </c>
      <c r="F31" s="14" t="n">
        <f aca="false">$B$5/30</f>
        <v>133.333333333333</v>
      </c>
      <c r="G31" s="14" t="n">
        <f aca="false">$B$6/30</f>
        <v>30</v>
      </c>
      <c r="H31" s="14" t="n">
        <f aca="false">IF(D31=$B$11,$B$12,0)</f>
        <v>0</v>
      </c>
      <c r="I31" s="14" t="n">
        <f aca="false">I30+E31-F31-G31-H31</f>
        <v>10817.3093639247</v>
      </c>
      <c r="K31" s="2" t="n">
        <v>26</v>
      </c>
      <c r="L31" s="14" t="n">
        <f aca="true">$B$16+NORMINV(RAND(),0,SQRT($B$13*($B$7+$B$8^2))*$B$9*(1-$B$10))</f>
        <v>4155.17906988661</v>
      </c>
      <c r="M31" s="14" t="n">
        <f aca="true">$B$16+NORMINV(RAND(),0,SQRT($B$13*($B$7+$B$8^2))*$B$9*(1-$B$10))</f>
        <v>4534.67074769202</v>
      </c>
      <c r="N31" s="14" t="n">
        <f aca="true">$B$16+NORMINV(RAND(),0,SQRT($B$13*($B$7+$B$8^2))*$B$9*(1-$B$10))</f>
        <v>4155.42190506479</v>
      </c>
      <c r="O31" s="14" t="n">
        <f aca="true">$B$16+NORMINV(RAND(),0,SQRT($B$13*($B$7+$B$8^2))*$B$9*(1-$B$10))</f>
        <v>4461.41332770737</v>
      </c>
      <c r="P31" s="14" t="n">
        <f aca="true">$B$16+NORMINV(RAND(),0,SQRT($B$13*($B$7+$B$8^2))*$B$9*(1-$B$10))</f>
        <v>3375.96810800241</v>
      </c>
      <c r="Q31" s="14" t="n">
        <f aca="true">$B$16+NORMINV(RAND(),0,SQRT($B$13*($B$7+$B$8^2))*$B$9*(1-$B$10))</f>
        <v>3757.63847107547</v>
      </c>
      <c r="R31" s="14" t="n">
        <f aca="false">$B$4-13*($B$5+$B$6)/30-IF($B$11&lt;=13,$B$12,0)+0</f>
        <v>8876.66666666667</v>
      </c>
      <c r="S31" s="14" t="n">
        <f aca="false">$B$4-27*($B$5+$B$6)/30-IF($B$11&lt;=27,$B$12,0)+L31</f>
        <v>10745.1790698866</v>
      </c>
      <c r="T31" s="14" t="n">
        <f aca="false">$B$4-41*($B$5+$B$6)/30-IF($B$11&lt;=41,$B$12,0)+L31+M31</f>
        <v>1808.38315091196</v>
      </c>
      <c r="U31" s="14" t="n">
        <f aca="false">$B$4-55*($B$5+$B$6)/30-IF($B$11&lt;=55,$B$12,0)+L31+M31+N31</f>
        <v>3677.13838931008</v>
      </c>
      <c r="V31" s="14" t="n">
        <f aca="false">$B$4-69*($B$5+$B$6)/30-IF($B$11&lt;=69,$B$12,0)+L31+M31+N31+O31</f>
        <v>5851.88505035078</v>
      </c>
      <c r="W31" s="14" t="n">
        <f aca="false">$B$4-83*($B$5+$B$6)/30-IF($B$11&lt;=83,$B$12,0)+L31+M31+N31+O31+P31</f>
        <v>6941.18649168653</v>
      </c>
      <c r="X31" s="14" t="n">
        <f aca="false">$B$4-90*($B$5+$B$6)/30-IF($B$11&lt;=90,$B$12,0)+L31+M31+N31+O31+P31+Q31</f>
        <v>9555.49162942867</v>
      </c>
      <c r="AA31" s="14" t="n">
        <f aca="false">MIN(R31:X31)</f>
        <v>1808.38315091196</v>
      </c>
    </row>
    <row r="32" customFormat="false" ht="15" hidden="false" customHeight="false" outlineLevel="0" collapsed="false">
      <c r="D32" s="2" t="n">
        <v>27</v>
      </c>
      <c r="E32" s="14" t="n">
        <f aca="false">IF(MOD(D32,$B$13)=0,$B$16,0)</f>
        <v>0</v>
      </c>
      <c r="F32" s="14" t="n">
        <f aca="false">$B$5/30</f>
        <v>133.333333333333</v>
      </c>
      <c r="G32" s="14" t="n">
        <f aca="false">$B$6/30</f>
        <v>30</v>
      </c>
      <c r="H32" s="14" t="n">
        <f aca="false">IF(D32=$B$11,$B$12,0)</f>
        <v>0</v>
      </c>
      <c r="I32" s="14" t="n">
        <f aca="false">I31+E32-F32-G32-H32</f>
        <v>10653.9760305914</v>
      </c>
      <c r="K32" s="2" t="n">
        <v>27</v>
      </c>
      <c r="L32" s="14" t="n">
        <f aca="true">$B$16+NORMINV(RAND(),0,SQRT($B$13*($B$7+$B$8^2))*$B$9*(1-$B$10))</f>
        <v>4711.27048393331</v>
      </c>
      <c r="M32" s="14" t="n">
        <f aca="true">$B$16+NORMINV(RAND(),0,SQRT($B$13*($B$7+$B$8^2))*$B$9*(1-$B$10))</f>
        <v>3959.82179544431</v>
      </c>
      <c r="N32" s="14" t="n">
        <f aca="true">$B$16+NORMINV(RAND(),0,SQRT($B$13*($B$7+$B$8^2))*$B$9*(1-$B$10))</f>
        <v>3832.97770608276</v>
      </c>
      <c r="O32" s="14" t="n">
        <f aca="true">$B$16+NORMINV(RAND(),0,SQRT($B$13*($B$7+$B$8^2))*$B$9*(1-$B$10))</f>
        <v>4223.56872725461</v>
      </c>
      <c r="P32" s="14" t="n">
        <f aca="true">$B$16+NORMINV(RAND(),0,SQRT($B$13*($B$7+$B$8^2))*$B$9*(1-$B$10))</f>
        <v>3963.42768243389</v>
      </c>
      <c r="Q32" s="14" t="n">
        <f aca="true">$B$16+NORMINV(RAND(),0,SQRT($B$13*($B$7+$B$8^2))*$B$9*(1-$B$10))</f>
        <v>4207.66632025768</v>
      </c>
      <c r="R32" s="14" t="n">
        <f aca="false">$B$4-13*($B$5+$B$6)/30-IF($B$11&lt;=13,$B$12,0)+0</f>
        <v>8876.66666666667</v>
      </c>
      <c r="S32" s="14" t="n">
        <f aca="false">$B$4-27*($B$5+$B$6)/30-IF($B$11&lt;=27,$B$12,0)+L32</f>
        <v>11301.2704839333</v>
      </c>
      <c r="T32" s="14" t="n">
        <f aca="false">$B$4-41*($B$5+$B$6)/30-IF($B$11&lt;=41,$B$12,0)+L32+M32</f>
        <v>1789.62561271095</v>
      </c>
      <c r="U32" s="14" t="n">
        <f aca="false">$B$4-55*($B$5+$B$6)/30-IF($B$11&lt;=55,$B$12,0)+L32+M32+N32</f>
        <v>3335.93665212705</v>
      </c>
      <c r="V32" s="14" t="n">
        <f aca="false">$B$4-69*($B$5+$B$6)/30-IF($B$11&lt;=69,$B$12,0)+L32+M32+N32+O32</f>
        <v>5272.83871271499</v>
      </c>
      <c r="W32" s="14" t="n">
        <f aca="false">$B$4-83*($B$5+$B$6)/30-IF($B$11&lt;=83,$B$12,0)+L32+M32+N32+O32+P32</f>
        <v>6949.59972848222</v>
      </c>
      <c r="X32" s="14" t="n">
        <f aca="false">$B$4-90*($B$5+$B$6)/30-IF($B$11&lt;=90,$B$12,0)+L32+M32+N32+O32+P32+Q32</f>
        <v>10013.9327154066</v>
      </c>
      <c r="AA32" s="14" t="n">
        <f aca="false">MIN(R32:X32)</f>
        <v>1789.62561271095</v>
      </c>
    </row>
    <row r="33" customFormat="false" ht="15" hidden="false" customHeight="false" outlineLevel="0" collapsed="false">
      <c r="D33" s="2" t="n">
        <v>28</v>
      </c>
      <c r="E33" s="14" t="n">
        <f aca="false">IF(MOD(D33,$B$13)=0,$B$16,0)</f>
        <v>4063.9760305914</v>
      </c>
      <c r="F33" s="14" t="n">
        <f aca="false">$B$5/30</f>
        <v>133.333333333333</v>
      </c>
      <c r="G33" s="14" t="n">
        <f aca="false">$B$6/30</f>
        <v>30</v>
      </c>
      <c r="H33" s="14" t="n">
        <f aca="false">IF(D33=$B$11,$B$12,0)</f>
        <v>0</v>
      </c>
      <c r="I33" s="14" t="n">
        <f aca="false">I32+E33-F33-G33-H33</f>
        <v>14554.6187278494</v>
      </c>
      <c r="K33" s="2" t="n">
        <v>28</v>
      </c>
      <c r="L33" s="14" t="n">
        <f aca="true">$B$16+NORMINV(RAND(),0,SQRT($B$13*($B$7+$B$8^2))*$B$9*(1-$B$10))</f>
        <v>3453.59107308537</v>
      </c>
      <c r="M33" s="14" t="n">
        <f aca="true">$B$16+NORMINV(RAND(),0,SQRT($B$13*($B$7+$B$8^2))*$B$9*(1-$B$10))</f>
        <v>3828.92773794792</v>
      </c>
      <c r="N33" s="14" t="n">
        <f aca="true">$B$16+NORMINV(RAND(),0,SQRT($B$13*($B$7+$B$8^2))*$B$9*(1-$B$10))</f>
        <v>3823.46219004606</v>
      </c>
      <c r="O33" s="14" t="n">
        <f aca="true">$B$16+NORMINV(RAND(),0,SQRT($B$13*($B$7+$B$8^2))*$B$9*(1-$B$10))</f>
        <v>3634.58146679952</v>
      </c>
      <c r="P33" s="14" t="n">
        <f aca="true">$B$16+NORMINV(RAND(),0,SQRT($B$13*($B$7+$B$8^2))*$B$9*(1-$B$10))</f>
        <v>4031.60496879466</v>
      </c>
      <c r="Q33" s="14" t="n">
        <f aca="true">$B$16+NORMINV(RAND(),0,SQRT($B$13*($B$7+$B$8^2))*$B$9*(1-$B$10))</f>
        <v>4231.42500305631</v>
      </c>
      <c r="R33" s="14" t="n">
        <f aca="false">$B$4-13*($B$5+$B$6)/30-IF($B$11&lt;=13,$B$12,0)+0</f>
        <v>8876.66666666667</v>
      </c>
      <c r="S33" s="14" t="n">
        <f aca="false">$B$4-27*($B$5+$B$6)/30-IF($B$11&lt;=27,$B$12,0)+L33</f>
        <v>10043.5910730854</v>
      </c>
      <c r="T33" s="14" t="n">
        <f aca="false">$B$4-41*($B$5+$B$6)/30-IF($B$11&lt;=41,$B$12,0)+L33+M33</f>
        <v>401.05214436662</v>
      </c>
      <c r="U33" s="14" t="n">
        <f aca="false">$B$4-55*($B$5+$B$6)/30-IF($B$11&lt;=55,$B$12,0)+L33+M33+N33</f>
        <v>1937.84766774601</v>
      </c>
      <c r="V33" s="14" t="n">
        <f aca="false">$B$4-69*($B$5+$B$6)/30-IF($B$11&lt;=69,$B$12,0)+L33+M33+N33+O33</f>
        <v>3285.76246787887</v>
      </c>
      <c r="W33" s="14" t="n">
        <f aca="false">$B$4-83*($B$5+$B$6)/30-IF($B$11&lt;=83,$B$12,0)+L33+M33+N33+O33+P33</f>
        <v>5030.70077000686</v>
      </c>
      <c r="X33" s="14" t="n">
        <f aca="false">$B$4-90*($B$5+$B$6)/30-IF($B$11&lt;=90,$B$12,0)+L33+M33+N33+O33+P33+Q33</f>
        <v>8118.79243972984</v>
      </c>
      <c r="AA33" s="14" t="n">
        <f aca="false">MIN(R33:X33)</f>
        <v>401.05214436662</v>
      </c>
    </row>
    <row r="34" customFormat="false" ht="15" hidden="false" customHeight="false" outlineLevel="0" collapsed="false">
      <c r="D34" s="2" t="n">
        <v>29</v>
      </c>
      <c r="E34" s="14" t="n">
        <f aca="false">IF(MOD(D34,$B$13)=0,$B$16,0)</f>
        <v>0</v>
      </c>
      <c r="F34" s="14" t="n">
        <f aca="false">$B$5/30</f>
        <v>133.333333333333</v>
      </c>
      <c r="G34" s="14" t="n">
        <f aca="false">$B$6/30</f>
        <v>30</v>
      </c>
      <c r="H34" s="14" t="n">
        <f aca="false">IF(D34=$B$11,$B$12,0)</f>
        <v>0</v>
      </c>
      <c r="I34" s="14" t="n">
        <f aca="false">I33+E34-F34-G34-H34</f>
        <v>14391.2853945161</v>
      </c>
      <c r="K34" s="2" t="n">
        <v>29</v>
      </c>
      <c r="L34" s="14" t="n">
        <f aca="true">$B$16+NORMINV(RAND(),0,SQRT($B$13*($B$7+$B$8^2))*$B$9*(1-$B$10))</f>
        <v>3750.19093820587</v>
      </c>
      <c r="M34" s="14" t="n">
        <f aca="true">$B$16+NORMINV(RAND(),0,SQRT($B$13*($B$7+$B$8^2))*$B$9*(1-$B$10))</f>
        <v>4391.30158034695</v>
      </c>
      <c r="N34" s="14" t="n">
        <f aca="true">$B$16+NORMINV(RAND(),0,SQRT($B$13*($B$7+$B$8^2))*$B$9*(1-$B$10))</f>
        <v>4074.96693184743</v>
      </c>
      <c r="O34" s="14" t="n">
        <f aca="true">$B$16+NORMINV(RAND(),0,SQRT($B$13*($B$7+$B$8^2))*$B$9*(1-$B$10))</f>
        <v>4370.07962696366</v>
      </c>
      <c r="P34" s="14" t="n">
        <f aca="true">$B$16+NORMINV(RAND(),0,SQRT($B$13*($B$7+$B$8^2))*$B$9*(1-$B$10))</f>
        <v>3166.24119886013</v>
      </c>
      <c r="Q34" s="14" t="n">
        <f aca="true">$B$16+NORMINV(RAND(),0,SQRT($B$13*($B$7+$B$8^2))*$B$9*(1-$B$10))</f>
        <v>4166.89812054128</v>
      </c>
      <c r="R34" s="14" t="n">
        <f aca="false">$B$4-13*($B$5+$B$6)/30-IF($B$11&lt;=13,$B$12,0)+0</f>
        <v>8876.66666666667</v>
      </c>
      <c r="S34" s="14" t="n">
        <f aca="false">$B$4-27*($B$5+$B$6)/30-IF($B$11&lt;=27,$B$12,0)+L34</f>
        <v>10340.1909382059</v>
      </c>
      <c r="T34" s="14" t="n">
        <f aca="false">$B$4-41*($B$5+$B$6)/30-IF($B$11&lt;=41,$B$12,0)+L34+M34</f>
        <v>1260.02585188615</v>
      </c>
      <c r="U34" s="14" t="n">
        <f aca="false">$B$4-55*($B$5+$B$6)/30-IF($B$11&lt;=55,$B$12,0)+L34+M34+N34</f>
        <v>3048.32611706691</v>
      </c>
      <c r="V34" s="14" t="n">
        <f aca="false">$B$4-69*($B$5+$B$6)/30-IF($B$11&lt;=69,$B$12,0)+L34+M34+N34+O34</f>
        <v>5131.7390773639</v>
      </c>
      <c r="W34" s="14" t="n">
        <f aca="false">$B$4-83*($B$5+$B$6)/30-IF($B$11&lt;=83,$B$12,0)+L34+M34+N34+O34+P34</f>
        <v>6011.31360955736</v>
      </c>
      <c r="X34" s="14" t="n">
        <f aca="false">$B$4-90*($B$5+$B$6)/30-IF($B$11&lt;=90,$B$12,0)+L34+M34+N34+O34+P34+Q34</f>
        <v>9034.8783967653</v>
      </c>
      <c r="AA34" s="14" t="n">
        <f aca="false">MIN(R34:X34)</f>
        <v>1260.02585188615</v>
      </c>
    </row>
    <row r="35" customFormat="false" ht="15" hidden="false" customHeight="false" outlineLevel="0" collapsed="false">
      <c r="D35" s="2" t="n">
        <v>30</v>
      </c>
      <c r="E35" s="14" t="n">
        <f aca="false">IF(MOD(D35,$B$13)=0,$B$16,0)</f>
        <v>0</v>
      </c>
      <c r="F35" s="14" t="n">
        <f aca="false">$B$5/30</f>
        <v>133.333333333333</v>
      </c>
      <c r="G35" s="14" t="n">
        <f aca="false">$B$6/30</f>
        <v>30</v>
      </c>
      <c r="H35" s="14" t="n">
        <f aca="false">IF(D35=$B$11,$B$12,0)</f>
        <v>0</v>
      </c>
      <c r="I35" s="14" t="n">
        <f aca="false">I34+E35-F35-G35-H35</f>
        <v>14227.9520611828</v>
      </c>
      <c r="K35" s="2" t="n">
        <v>30</v>
      </c>
      <c r="L35" s="14" t="n">
        <f aca="true">$B$16+NORMINV(RAND(),0,SQRT($B$13*($B$7+$B$8^2))*$B$9*(1-$B$10))</f>
        <v>3954.63733946747</v>
      </c>
      <c r="M35" s="14" t="n">
        <f aca="true">$B$16+NORMINV(RAND(),0,SQRT($B$13*($B$7+$B$8^2))*$B$9*(1-$B$10))</f>
        <v>4037.26564092222</v>
      </c>
      <c r="N35" s="14" t="n">
        <f aca="true">$B$16+NORMINV(RAND(),0,SQRT($B$13*($B$7+$B$8^2))*$B$9*(1-$B$10))</f>
        <v>3991.32724452509</v>
      </c>
      <c r="O35" s="14" t="n">
        <f aca="true">$B$16+NORMINV(RAND(),0,SQRT($B$13*($B$7+$B$8^2))*$B$9*(1-$B$10))</f>
        <v>4225.54475811425</v>
      </c>
      <c r="P35" s="14" t="n">
        <f aca="true">$B$16+NORMINV(RAND(),0,SQRT($B$13*($B$7+$B$8^2))*$B$9*(1-$B$10))</f>
        <v>3287.39948659934</v>
      </c>
      <c r="Q35" s="14" t="n">
        <f aca="true">$B$16+NORMINV(RAND(),0,SQRT($B$13*($B$7+$B$8^2))*$B$9*(1-$B$10))</f>
        <v>4051.40066659211</v>
      </c>
      <c r="R35" s="14" t="n">
        <f aca="false">$B$4-13*($B$5+$B$6)/30-IF($B$11&lt;=13,$B$12,0)+0</f>
        <v>8876.66666666667</v>
      </c>
      <c r="S35" s="14" t="n">
        <f aca="false">$B$4-27*($B$5+$B$6)/30-IF($B$11&lt;=27,$B$12,0)+L35</f>
        <v>10544.6373394675</v>
      </c>
      <c r="T35" s="14" t="n">
        <f aca="false">$B$4-41*($B$5+$B$6)/30-IF($B$11&lt;=41,$B$12,0)+L35+M35</f>
        <v>1110.43631372302</v>
      </c>
      <c r="U35" s="14" t="n">
        <f aca="false">$B$4-55*($B$5+$B$6)/30-IF($B$11&lt;=55,$B$12,0)+L35+M35+N35</f>
        <v>2815.09689158145</v>
      </c>
      <c r="V35" s="14" t="n">
        <f aca="false">$B$4-69*($B$5+$B$6)/30-IF($B$11&lt;=69,$B$12,0)+L35+M35+N35+O35</f>
        <v>4753.97498302903</v>
      </c>
      <c r="W35" s="14" t="n">
        <f aca="false">$B$4-83*($B$5+$B$6)/30-IF($B$11&lt;=83,$B$12,0)+L35+M35+N35+O35+P35</f>
        <v>5754.70780296171</v>
      </c>
      <c r="X35" s="14" t="n">
        <f aca="false">$B$4-90*($B$5+$B$6)/30-IF($B$11&lt;=90,$B$12,0)+L35+M35+N35+O35+P35+Q35</f>
        <v>8662.77513622048</v>
      </c>
      <c r="AA35" s="14" t="n">
        <f aca="false">MIN(R35:X35)</f>
        <v>1110.43631372302</v>
      </c>
    </row>
    <row r="36" customFormat="false" ht="15" hidden="false" customHeight="false" outlineLevel="0" collapsed="false">
      <c r="D36" s="2" t="n">
        <v>31</v>
      </c>
      <c r="E36" s="14" t="n">
        <f aca="false">IF(MOD(D36,$B$13)=0,$B$16,0)</f>
        <v>0</v>
      </c>
      <c r="F36" s="14" t="n">
        <f aca="false">$B$5/30</f>
        <v>133.333333333333</v>
      </c>
      <c r="G36" s="14" t="n">
        <f aca="false">$B$6/30</f>
        <v>30</v>
      </c>
      <c r="H36" s="14" t="n">
        <f aca="false">IF(D36=$B$11,$B$12,0)</f>
        <v>11184.8</v>
      </c>
      <c r="I36" s="14" t="n">
        <f aca="false">I35+E36-F36-G36-H36</f>
        <v>2879.81872784944</v>
      </c>
      <c r="K36" s="2" t="n">
        <v>31</v>
      </c>
      <c r="L36" s="14" t="n">
        <f aca="true">$B$16+NORMINV(RAND(),0,SQRT($B$13*($B$7+$B$8^2))*$B$9*(1-$B$10))</f>
        <v>3909.3350427944</v>
      </c>
      <c r="M36" s="14" t="n">
        <f aca="true">$B$16+NORMINV(RAND(),0,SQRT($B$13*($B$7+$B$8^2))*$B$9*(1-$B$10))</f>
        <v>3716.5177863379</v>
      </c>
      <c r="N36" s="14" t="n">
        <f aca="true">$B$16+NORMINV(RAND(),0,SQRT($B$13*($B$7+$B$8^2))*$B$9*(1-$B$10))</f>
        <v>4070.79663025104</v>
      </c>
      <c r="O36" s="14" t="n">
        <f aca="true">$B$16+NORMINV(RAND(),0,SQRT($B$13*($B$7+$B$8^2))*$B$9*(1-$B$10))</f>
        <v>4225.53851963549</v>
      </c>
      <c r="P36" s="14" t="n">
        <f aca="true">$B$16+NORMINV(RAND(),0,SQRT($B$13*($B$7+$B$8^2))*$B$9*(1-$B$10))</f>
        <v>3413.49481794391</v>
      </c>
      <c r="Q36" s="14" t="n">
        <f aca="true">$B$16+NORMINV(RAND(),0,SQRT($B$13*($B$7+$B$8^2))*$B$9*(1-$B$10))</f>
        <v>4512.71188610025</v>
      </c>
      <c r="R36" s="14" t="n">
        <f aca="false">$B$4-13*($B$5+$B$6)/30-IF($B$11&lt;=13,$B$12,0)+0</f>
        <v>8876.66666666667</v>
      </c>
      <c r="S36" s="14" t="n">
        <f aca="false">$B$4-27*($B$5+$B$6)/30-IF($B$11&lt;=27,$B$12,0)+L36</f>
        <v>10499.3350427944</v>
      </c>
      <c r="T36" s="14" t="n">
        <f aca="false">$B$4-41*($B$5+$B$6)/30-IF($B$11&lt;=41,$B$12,0)+L36+M36</f>
        <v>744.38616246563</v>
      </c>
      <c r="U36" s="14" t="n">
        <f aca="false">$B$4-55*($B$5+$B$6)/30-IF($B$11&lt;=55,$B$12,0)+L36+M36+N36</f>
        <v>2528.51612605001</v>
      </c>
      <c r="V36" s="14" t="n">
        <f aca="false">$B$4-69*($B$5+$B$6)/30-IF($B$11&lt;=69,$B$12,0)+L36+M36+N36+O36</f>
        <v>4467.38797901883</v>
      </c>
      <c r="W36" s="14" t="n">
        <f aca="false">$B$4-83*($B$5+$B$6)/30-IF($B$11&lt;=83,$B$12,0)+L36+M36+N36+O36+P36</f>
        <v>5594.21613029607</v>
      </c>
      <c r="X36" s="14" t="n">
        <f aca="false">$B$4-90*($B$5+$B$6)/30-IF($B$11&lt;=90,$B$12,0)+L36+M36+N36+O36+P36+Q36</f>
        <v>8963.59468306299</v>
      </c>
      <c r="AA36" s="14" t="n">
        <f aca="false">MIN(R36:X36)</f>
        <v>744.38616246563</v>
      </c>
    </row>
    <row r="37" customFormat="false" ht="15" hidden="false" customHeight="false" outlineLevel="0" collapsed="false">
      <c r="D37" s="2" t="n">
        <v>32</v>
      </c>
      <c r="E37" s="14" t="n">
        <f aca="false">IF(MOD(D37,$B$13)=0,$B$16,0)</f>
        <v>0</v>
      </c>
      <c r="F37" s="14" t="n">
        <f aca="false">$B$5/30</f>
        <v>133.333333333333</v>
      </c>
      <c r="G37" s="14" t="n">
        <f aca="false">$B$6/30</f>
        <v>30</v>
      </c>
      <c r="H37" s="14" t="n">
        <f aca="false">IF(D37=$B$11,$B$12,0)</f>
        <v>0</v>
      </c>
      <c r="I37" s="14" t="n">
        <f aca="false">I36+E37-F37-G37-H37</f>
        <v>2716.48539451611</v>
      </c>
      <c r="K37" s="2" t="n">
        <v>32</v>
      </c>
      <c r="L37" s="14" t="n">
        <f aca="true">$B$16+NORMINV(RAND(),0,SQRT($B$13*($B$7+$B$8^2))*$B$9*(1-$B$10))</f>
        <v>4093.08103391039</v>
      </c>
      <c r="M37" s="14" t="n">
        <f aca="true">$B$16+NORMINV(RAND(),0,SQRT($B$13*($B$7+$B$8^2))*$B$9*(1-$B$10))</f>
        <v>4154.95791641729</v>
      </c>
      <c r="N37" s="14" t="n">
        <f aca="true">$B$16+NORMINV(RAND(),0,SQRT($B$13*($B$7+$B$8^2))*$B$9*(1-$B$10))</f>
        <v>3925.10256291712</v>
      </c>
      <c r="O37" s="14" t="n">
        <f aca="true">$B$16+NORMINV(RAND(),0,SQRT($B$13*($B$7+$B$8^2))*$B$9*(1-$B$10))</f>
        <v>3623.57604873157</v>
      </c>
      <c r="P37" s="14" t="n">
        <f aca="true">$B$16+NORMINV(RAND(),0,SQRT($B$13*($B$7+$B$8^2))*$B$9*(1-$B$10))</f>
        <v>4332.78007601371</v>
      </c>
      <c r="Q37" s="14" t="n">
        <f aca="true">$B$16+NORMINV(RAND(),0,SQRT($B$13*($B$7+$B$8^2))*$B$9*(1-$B$10))</f>
        <v>3921.83387818844</v>
      </c>
      <c r="R37" s="14" t="n">
        <f aca="false">$B$4-13*($B$5+$B$6)/30-IF($B$11&lt;=13,$B$12,0)+0</f>
        <v>8876.66666666667</v>
      </c>
      <c r="S37" s="14" t="n">
        <f aca="false">$B$4-27*($B$5+$B$6)/30-IF($B$11&lt;=27,$B$12,0)+L37</f>
        <v>10683.0810339104</v>
      </c>
      <c r="T37" s="14" t="n">
        <f aca="false">$B$4-41*($B$5+$B$6)/30-IF($B$11&lt;=41,$B$12,0)+L37+M37</f>
        <v>1366.57228366101</v>
      </c>
      <c r="U37" s="14" t="n">
        <f aca="false">$B$4-55*($B$5+$B$6)/30-IF($B$11&lt;=55,$B$12,0)+L37+M37+N37</f>
        <v>3005.00817991146</v>
      </c>
      <c r="V37" s="14" t="n">
        <f aca="false">$B$4-69*($B$5+$B$6)/30-IF($B$11&lt;=69,$B$12,0)+L37+M37+N37+O37</f>
        <v>4341.91756197637</v>
      </c>
      <c r="W37" s="14" t="n">
        <f aca="false">$B$4-83*($B$5+$B$6)/30-IF($B$11&lt;=83,$B$12,0)+L37+M37+N37+O37+P37</f>
        <v>6388.03097132342</v>
      </c>
      <c r="X37" s="14" t="n">
        <f aca="false">$B$4-90*($B$5+$B$6)/30-IF($B$11&lt;=90,$B$12,0)+L37+M37+N37+O37+P37+Q37</f>
        <v>9166.53151617852</v>
      </c>
      <c r="AA37" s="14" t="n">
        <f aca="false">MIN(R37:X37)</f>
        <v>1366.57228366101</v>
      </c>
    </row>
    <row r="38" customFormat="false" ht="15" hidden="false" customHeight="false" outlineLevel="0" collapsed="false">
      <c r="D38" s="2" t="n">
        <v>33</v>
      </c>
      <c r="E38" s="14" t="n">
        <f aca="false">IF(MOD(D38,$B$13)=0,$B$16,0)</f>
        <v>0</v>
      </c>
      <c r="F38" s="14" t="n">
        <f aca="false">$B$5/30</f>
        <v>133.333333333333</v>
      </c>
      <c r="G38" s="14" t="n">
        <f aca="false">$B$6/30</f>
        <v>30</v>
      </c>
      <c r="H38" s="14" t="n">
        <f aca="false">IF(D38=$B$11,$B$12,0)</f>
        <v>0</v>
      </c>
      <c r="I38" s="14" t="n">
        <f aca="false">I37+E38-F38-G38-H38</f>
        <v>2553.15206118278</v>
      </c>
      <c r="K38" s="2" t="n">
        <v>33</v>
      </c>
      <c r="L38" s="14" t="n">
        <f aca="true">$B$16+NORMINV(RAND(),0,SQRT($B$13*($B$7+$B$8^2))*$B$9*(1-$B$10))</f>
        <v>3811.73072754834</v>
      </c>
      <c r="M38" s="14" t="n">
        <f aca="true">$B$16+NORMINV(RAND(),0,SQRT($B$13*($B$7+$B$8^2))*$B$9*(1-$B$10))</f>
        <v>4382.98947515906</v>
      </c>
      <c r="N38" s="14" t="n">
        <f aca="true">$B$16+NORMINV(RAND(),0,SQRT($B$13*($B$7+$B$8^2))*$B$9*(1-$B$10))</f>
        <v>3041.69438845606</v>
      </c>
      <c r="O38" s="14" t="n">
        <f aca="true">$B$16+NORMINV(RAND(),0,SQRT($B$13*($B$7+$B$8^2))*$B$9*(1-$B$10))</f>
        <v>4330.87743334704</v>
      </c>
      <c r="P38" s="14" t="n">
        <f aca="true">$B$16+NORMINV(RAND(),0,SQRT($B$13*($B$7+$B$8^2))*$B$9*(1-$B$10))</f>
        <v>3997.61739994901</v>
      </c>
      <c r="Q38" s="14" t="n">
        <f aca="true">$B$16+NORMINV(RAND(),0,SQRT($B$13*($B$7+$B$8^2))*$B$9*(1-$B$10))</f>
        <v>3745.23860460081</v>
      </c>
      <c r="R38" s="14" t="n">
        <f aca="false">$B$4-13*($B$5+$B$6)/30-IF($B$11&lt;=13,$B$12,0)+0</f>
        <v>8876.66666666667</v>
      </c>
      <c r="S38" s="14" t="n">
        <f aca="false">$B$4-27*($B$5+$B$6)/30-IF($B$11&lt;=27,$B$12,0)+L38</f>
        <v>10401.7307275483</v>
      </c>
      <c r="T38" s="14" t="n">
        <f aca="false">$B$4-41*($B$5+$B$6)/30-IF($B$11&lt;=41,$B$12,0)+L38+M38</f>
        <v>1313.25353604074</v>
      </c>
      <c r="U38" s="14" t="n">
        <f aca="false">$B$4-55*($B$5+$B$6)/30-IF($B$11&lt;=55,$B$12,0)+L38+M38+N38</f>
        <v>2068.28125783013</v>
      </c>
      <c r="V38" s="14" t="n">
        <f aca="false">$B$4-69*($B$5+$B$6)/30-IF($B$11&lt;=69,$B$12,0)+L38+M38+N38+O38</f>
        <v>4112.4920245105</v>
      </c>
      <c r="W38" s="14" t="n">
        <f aca="false">$B$4-83*($B$5+$B$6)/30-IF($B$11&lt;=83,$B$12,0)+L38+M38+N38+O38+P38</f>
        <v>5823.44275779283</v>
      </c>
      <c r="X38" s="14" t="n">
        <f aca="false">$B$4-90*($B$5+$B$6)/30-IF($B$11&lt;=90,$B$12,0)+L38+M38+N38+O38+P38+Q38</f>
        <v>8425.34802906032</v>
      </c>
      <c r="AA38" s="14" t="n">
        <f aca="false">MIN(R38:X38)</f>
        <v>1313.25353604074</v>
      </c>
    </row>
    <row r="39" customFormat="false" ht="15" hidden="false" customHeight="false" outlineLevel="0" collapsed="false">
      <c r="D39" s="2" t="n">
        <v>34</v>
      </c>
      <c r="E39" s="14" t="n">
        <f aca="false">IF(MOD(D39,$B$13)=0,$B$16,0)</f>
        <v>0</v>
      </c>
      <c r="F39" s="14" t="n">
        <f aca="false">$B$5/30</f>
        <v>133.333333333333</v>
      </c>
      <c r="G39" s="14" t="n">
        <f aca="false">$B$6/30</f>
        <v>30</v>
      </c>
      <c r="H39" s="14" t="n">
        <f aca="false">IF(D39=$B$11,$B$12,0)</f>
        <v>0</v>
      </c>
      <c r="I39" s="14" t="n">
        <f aca="false">I38+E39-F39-G39-H39</f>
        <v>2389.81872784944</v>
      </c>
      <c r="K39" s="2" t="n">
        <v>34</v>
      </c>
      <c r="L39" s="14" t="n">
        <f aca="true">$B$16+NORMINV(RAND(),0,SQRT($B$13*($B$7+$B$8^2))*$B$9*(1-$B$10))</f>
        <v>4255.46047257905</v>
      </c>
      <c r="M39" s="14" t="n">
        <f aca="true">$B$16+NORMINV(RAND(),0,SQRT($B$13*($B$7+$B$8^2))*$B$9*(1-$B$10))</f>
        <v>3833.55714878422</v>
      </c>
      <c r="N39" s="14" t="n">
        <f aca="true">$B$16+NORMINV(RAND(),0,SQRT($B$13*($B$7+$B$8^2))*$B$9*(1-$B$10))</f>
        <v>4203.39447231043</v>
      </c>
      <c r="O39" s="14" t="n">
        <f aca="true">$B$16+NORMINV(RAND(),0,SQRT($B$13*($B$7+$B$8^2))*$B$9*(1-$B$10))</f>
        <v>3927.02953905176</v>
      </c>
      <c r="P39" s="14" t="n">
        <f aca="true">$B$16+NORMINV(RAND(),0,SQRT($B$13*($B$7+$B$8^2))*$B$9*(1-$B$10))</f>
        <v>4551.7477037651</v>
      </c>
      <c r="Q39" s="14" t="n">
        <f aca="true">$B$16+NORMINV(RAND(),0,SQRT($B$13*($B$7+$B$8^2))*$B$9*(1-$B$10))</f>
        <v>3978.97711489321</v>
      </c>
      <c r="R39" s="14" t="n">
        <f aca="false">$B$4-13*($B$5+$B$6)/30-IF($B$11&lt;=13,$B$12,0)+0</f>
        <v>8876.66666666667</v>
      </c>
      <c r="S39" s="14" t="n">
        <f aca="false">$B$4-27*($B$5+$B$6)/30-IF($B$11&lt;=27,$B$12,0)+L39</f>
        <v>10845.460472579</v>
      </c>
      <c r="T39" s="14" t="n">
        <f aca="false">$B$4-41*($B$5+$B$6)/30-IF($B$11&lt;=41,$B$12,0)+L39+M39</f>
        <v>1207.5509546966</v>
      </c>
      <c r="U39" s="14" t="n">
        <f aca="false">$B$4-55*($B$5+$B$6)/30-IF($B$11&lt;=55,$B$12,0)+L39+M39+N39</f>
        <v>3124.27876034036</v>
      </c>
      <c r="V39" s="14" t="n">
        <f aca="false">$B$4-69*($B$5+$B$6)/30-IF($B$11&lt;=69,$B$12,0)+L39+M39+N39+O39</f>
        <v>4764.64163272546</v>
      </c>
      <c r="W39" s="14" t="n">
        <f aca="false">$B$4-83*($B$5+$B$6)/30-IF($B$11&lt;=83,$B$12,0)+L39+M39+N39+O39+P39</f>
        <v>7029.7226698239</v>
      </c>
      <c r="X39" s="14" t="n">
        <f aca="false">$B$4-90*($B$5+$B$6)/30-IF($B$11&lt;=90,$B$12,0)+L39+M39+N39+O39+P39+Q39</f>
        <v>9865.36645138378</v>
      </c>
      <c r="AA39" s="14" t="n">
        <f aca="false">MIN(R39:X39)</f>
        <v>1207.5509546966</v>
      </c>
    </row>
    <row r="40" customFormat="false" ht="15" hidden="false" customHeight="false" outlineLevel="0" collapsed="false">
      <c r="D40" s="2" t="n">
        <v>35</v>
      </c>
      <c r="E40" s="14" t="n">
        <f aca="false">IF(MOD(D40,$B$13)=0,$B$16,0)</f>
        <v>0</v>
      </c>
      <c r="F40" s="14" t="n">
        <f aca="false">$B$5/30</f>
        <v>133.333333333333</v>
      </c>
      <c r="G40" s="14" t="n">
        <f aca="false">$B$6/30</f>
        <v>30</v>
      </c>
      <c r="H40" s="14" t="n">
        <f aca="false">IF(D40=$B$11,$B$12,0)</f>
        <v>0</v>
      </c>
      <c r="I40" s="14" t="n">
        <f aca="false">I39+E40-F40-G40-H40</f>
        <v>2226.48539451611</v>
      </c>
      <c r="K40" s="2" t="n">
        <v>35</v>
      </c>
      <c r="L40" s="14" t="n">
        <f aca="true">$B$16+NORMINV(RAND(),0,SQRT($B$13*($B$7+$B$8^2))*$B$9*(1-$B$10))</f>
        <v>3978.67728503007</v>
      </c>
      <c r="M40" s="14" t="n">
        <f aca="true">$B$16+NORMINV(RAND(),0,SQRT($B$13*($B$7+$B$8^2))*$B$9*(1-$B$10))</f>
        <v>3971.48468244609</v>
      </c>
      <c r="N40" s="14" t="n">
        <f aca="true">$B$16+NORMINV(RAND(),0,SQRT($B$13*($B$7+$B$8^2))*$B$9*(1-$B$10))</f>
        <v>4217.05926804488</v>
      </c>
      <c r="O40" s="14" t="n">
        <f aca="true">$B$16+NORMINV(RAND(),0,SQRT($B$13*($B$7+$B$8^2))*$B$9*(1-$B$10))</f>
        <v>4366.24375140399</v>
      </c>
      <c r="P40" s="14" t="n">
        <f aca="true">$B$16+NORMINV(RAND(),0,SQRT($B$13*($B$7+$B$8^2))*$B$9*(1-$B$10))</f>
        <v>3382.69452695227</v>
      </c>
      <c r="Q40" s="14" t="n">
        <f aca="true">$B$16+NORMINV(RAND(),0,SQRT($B$13*($B$7+$B$8^2))*$B$9*(1-$B$10))</f>
        <v>4707.68328462183</v>
      </c>
      <c r="R40" s="14" t="n">
        <f aca="false">$B$4-13*($B$5+$B$6)/30-IF($B$11&lt;=13,$B$12,0)+0</f>
        <v>8876.66666666667</v>
      </c>
      <c r="S40" s="14" t="n">
        <f aca="false">$B$4-27*($B$5+$B$6)/30-IF($B$11&lt;=27,$B$12,0)+L40</f>
        <v>10568.6772850301</v>
      </c>
      <c r="T40" s="14" t="n">
        <f aca="false">$B$4-41*($B$5+$B$6)/30-IF($B$11&lt;=41,$B$12,0)+L40+M40</f>
        <v>1068.69530080949</v>
      </c>
      <c r="U40" s="14" t="n">
        <f aca="false">$B$4-55*($B$5+$B$6)/30-IF($B$11&lt;=55,$B$12,0)+L40+M40+N40</f>
        <v>2999.0879021877</v>
      </c>
      <c r="V40" s="14" t="n">
        <f aca="false">$B$4-69*($B$5+$B$6)/30-IF($B$11&lt;=69,$B$12,0)+L40+M40+N40+O40</f>
        <v>5078.66498692503</v>
      </c>
      <c r="W40" s="14" t="n">
        <f aca="false">$B$4-83*($B$5+$B$6)/30-IF($B$11&lt;=83,$B$12,0)+L40+M40+N40+O40+P40</f>
        <v>6174.69284721063</v>
      </c>
      <c r="X40" s="14" t="n">
        <f aca="false">$B$4-90*($B$5+$B$6)/30-IF($B$11&lt;=90,$B$12,0)+L40+M40+N40+O40+P40+Q40</f>
        <v>9739.04279849912</v>
      </c>
      <c r="AA40" s="14" t="n">
        <f aca="false">MIN(R40:X40)</f>
        <v>1068.69530080949</v>
      </c>
    </row>
    <row r="41" customFormat="false" ht="15" hidden="false" customHeight="false" outlineLevel="0" collapsed="false">
      <c r="D41" s="2" t="n">
        <v>36</v>
      </c>
      <c r="E41" s="14" t="n">
        <f aca="false">IF(MOD(D41,$B$13)=0,$B$16,0)</f>
        <v>0</v>
      </c>
      <c r="F41" s="14" t="n">
        <f aca="false">$B$5/30</f>
        <v>133.333333333333</v>
      </c>
      <c r="G41" s="14" t="n">
        <f aca="false">$B$6/30</f>
        <v>30</v>
      </c>
      <c r="H41" s="14" t="n">
        <f aca="false">IF(D41=$B$11,$B$12,0)</f>
        <v>0</v>
      </c>
      <c r="I41" s="14" t="n">
        <f aca="false">I40+E41-F41-G41-H41</f>
        <v>2063.15206118278</v>
      </c>
      <c r="K41" s="2" t="n">
        <v>36</v>
      </c>
      <c r="L41" s="14" t="n">
        <f aca="true">$B$16+NORMINV(RAND(),0,SQRT($B$13*($B$7+$B$8^2))*$B$9*(1-$B$10))</f>
        <v>3996.08526813215</v>
      </c>
      <c r="M41" s="14" t="n">
        <f aca="true">$B$16+NORMINV(RAND(),0,SQRT($B$13*($B$7+$B$8^2))*$B$9*(1-$B$10))</f>
        <v>3925.56377883026</v>
      </c>
      <c r="N41" s="14" t="n">
        <f aca="true">$B$16+NORMINV(RAND(),0,SQRT($B$13*($B$7+$B$8^2))*$B$9*(1-$B$10))</f>
        <v>4135.9961144894</v>
      </c>
      <c r="O41" s="14" t="n">
        <f aca="true">$B$16+NORMINV(RAND(),0,SQRT($B$13*($B$7+$B$8^2))*$B$9*(1-$B$10))</f>
        <v>4387.84927578999</v>
      </c>
      <c r="P41" s="14" t="n">
        <f aca="true">$B$16+NORMINV(RAND(),0,SQRT($B$13*($B$7+$B$8^2))*$B$9*(1-$B$10))</f>
        <v>3589.42274222627</v>
      </c>
      <c r="Q41" s="14" t="n">
        <f aca="true">$B$16+NORMINV(RAND(),0,SQRT($B$13*($B$7+$B$8^2))*$B$9*(1-$B$10))</f>
        <v>3799.23073138689</v>
      </c>
      <c r="R41" s="14" t="n">
        <f aca="false">$B$4-13*($B$5+$B$6)/30-IF($B$11&lt;=13,$B$12,0)+0</f>
        <v>8876.66666666667</v>
      </c>
      <c r="S41" s="14" t="n">
        <f aca="false">$B$4-27*($B$5+$B$6)/30-IF($B$11&lt;=27,$B$12,0)+L41</f>
        <v>10586.0852681322</v>
      </c>
      <c r="T41" s="14" t="n">
        <f aca="false">$B$4-41*($B$5+$B$6)/30-IF($B$11&lt;=41,$B$12,0)+L41+M41</f>
        <v>1040.18238029574</v>
      </c>
      <c r="U41" s="14" t="n">
        <f aca="false">$B$4-55*($B$5+$B$6)/30-IF($B$11&lt;=55,$B$12,0)+L41+M41+N41</f>
        <v>2889.51182811847</v>
      </c>
      <c r="V41" s="14" t="n">
        <f aca="false">$B$4-69*($B$5+$B$6)/30-IF($B$11&lt;=69,$B$12,0)+L41+M41+N41+O41</f>
        <v>4990.6944372418</v>
      </c>
      <c r="W41" s="14" t="n">
        <f aca="false">$B$4-83*($B$5+$B$6)/30-IF($B$11&lt;=83,$B$12,0)+L41+M41+N41+O41+P41</f>
        <v>6293.4505128014</v>
      </c>
      <c r="X41" s="14" t="n">
        <f aca="false">$B$4-90*($B$5+$B$6)/30-IF($B$11&lt;=90,$B$12,0)+L41+M41+N41+O41+P41+Q41</f>
        <v>8949.34791085496</v>
      </c>
      <c r="AA41" s="14" t="n">
        <f aca="false">MIN(R41:X41)</f>
        <v>1040.18238029574</v>
      </c>
    </row>
    <row r="42" customFormat="false" ht="15" hidden="false" customHeight="false" outlineLevel="0" collapsed="false">
      <c r="D42" s="2" t="n">
        <v>37</v>
      </c>
      <c r="E42" s="14" t="n">
        <f aca="false">IF(MOD(D42,$B$13)=0,$B$16,0)</f>
        <v>0</v>
      </c>
      <c r="F42" s="14" t="n">
        <f aca="false">$B$5/30</f>
        <v>133.333333333333</v>
      </c>
      <c r="G42" s="14" t="n">
        <f aca="false">$B$6/30</f>
        <v>30</v>
      </c>
      <c r="H42" s="14" t="n">
        <f aca="false">IF(D42=$B$11,$B$12,0)</f>
        <v>0</v>
      </c>
      <c r="I42" s="14" t="n">
        <f aca="false">I41+E42-F42-G42-H42</f>
        <v>1899.81872784944</v>
      </c>
      <c r="K42" s="2" t="n">
        <v>37</v>
      </c>
      <c r="L42" s="14" t="n">
        <f aca="true">$B$16+NORMINV(RAND(),0,SQRT($B$13*($B$7+$B$8^2))*$B$9*(1-$B$10))</f>
        <v>4394.32058181347</v>
      </c>
      <c r="M42" s="14" t="n">
        <f aca="true">$B$16+NORMINV(RAND(),0,SQRT($B$13*($B$7+$B$8^2))*$B$9*(1-$B$10))</f>
        <v>4519.09003780581</v>
      </c>
      <c r="N42" s="14" t="n">
        <f aca="true">$B$16+NORMINV(RAND(),0,SQRT($B$13*($B$7+$B$8^2))*$B$9*(1-$B$10))</f>
        <v>3907.94589861857</v>
      </c>
      <c r="O42" s="14" t="n">
        <f aca="true">$B$16+NORMINV(RAND(),0,SQRT($B$13*($B$7+$B$8^2))*$B$9*(1-$B$10))</f>
        <v>4027.02821205172</v>
      </c>
      <c r="P42" s="14" t="n">
        <f aca="true">$B$16+NORMINV(RAND(),0,SQRT($B$13*($B$7+$B$8^2))*$B$9*(1-$B$10))</f>
        <v>4377.80102558919</v>
      </c>
      <c r="Q42" s="14" t="n">
        <f aca="true">$B$16+NORMINV(RAND(),0,SQRT($B$13*($B$7+$B$8^2))*$B$9*(1-$B$10))</f>
        <v>3810.3677523667</v>
      </c>
      <c r="R42" s="14" t="n">
        <f aca="false">$B$4-13*($B$5+$B$6)/30-IF($B$11&lt;=13,$B$12,0)+0</f>
        <v>8876.66666666667</v>
      </c>
      <c r="S42" s="14" t="n">
        <f aca="false">$B$4-27*($B$5+$B$6)/30-IF($B$11&lt;=27,$B$12,0)+L42</f>
        <v>10984.3205818135</v>
      </c>
      <c r="T42" s="14" t="n">
        <f aca="false">$B$4-41*($B$5+$B$6)/30-IF($B$11&lt;=41,$B$12,0)+L42+M42</f>
        <v>2031.9439529526</v>
      </c>
      <c r="U42" s="14" t="n">
        <f aca="false">$B$4-55*($B$5+$B$6)/30-IF($B$11&lt;=55,$B$12,0)+L42+M42+N42</f>
        <v>3653.22318490451</v>
      </c>
      <c r="V42" s="14" t="n">
        <f aca="false">$B$4-69*($B$5+$B$6)/30-IF($B$11&lt;=69,$B$12,0)+L42+M42+N42+O42</f>
        <v>5393.58473028957</v>
      </c>
      <c r="W42" s="14" t="n">
        <f aca="false">$B$4-83*($B$5+$B$6)/30-IF($B$11&lt;=83,$B$12,0)+L42+M42+N42+O42+P42</f>
        <v>7484.71908921209</v>
      </c>
      <c r="X42" s="14" t="n">
        <f aca="false">$B$4-90*($B$5+$B$6)/30-IF($B$11&lt;=90,$B$12,0)+L42+M42+N42+O42+P42+Q42</f>
        <v>10151.7535082455</v>
      </c>
      <c r="AA42" s="14" t="n">
        <f aca="false">MIN(R42:X42)</f>
        <v>2031.9439529526</v>
      </c>
    </row>
    <row r="43" customFormat="false" ht="15" hidden="false" customHeight="false" outlineLevel="0" collapsed="false">
      <c r="D43" s="2" t="n">
        <v>38</v>
      </c>
      <c r="E43" s="14" t="n">
        <f aca="false">IF(MOD(D43,$B$13)=0,$B$16,0)</f>
        <v>0</v>
      </c>
      <c r="F43" s="14" t="n">
        <f aca="false">$B$5/30</f>
        <v>133.333333333333</v>
      </c>
      <c r="G43" s="14" t="n">
        <f aca="false">$B$6/30</f>
        <v>30</v>
      </c>
      <c r="H43" s="14" t="n">
        <f aca="false">IF(D43=$B$11,$B$12,0)</f>
        <v>0</v>
      </c>
      <c r="I43" s="14" t="n">
        <f aca="false">I42+E43-F43-G43-H43</f>
        <v>1736.48539451611</v>
      </c>
      <c r="K43" s="2" t="n">
        <v>38</v>
      </c>
      <c r="L43" s="14" t="n">
        <f aca="true">$B$16+NORMINV(RAND(),0,SQRT($B$13*($B$7+$B$8^2))*$B$9*(1-$B$10))</f>
        <v>3979.83744354674</v>
      </c>
      <c r="M43" s="14" t="n">
        <f aca="true">$B$16+NORMINV(RAND(),0,SQRT($B$13*($B$7+$B$8^2))*$B$9*(1-$B$10))</f>
        <v>4465.51987679624</v>
      </c>
      <c r="N43" s="14" t="n">
        <f aca="true">$B$16+NORMINV(RAND(),0,SQRT($B$13*($B$7+$B$8^2))*$B$9*(1-$B$10))</f>
        <v>4321.42699508084</v>
      </c>
      <c r="O43" s="14" t="n">
        <f aca="true">$B$16+NORMINV(RAND(),0,SQRT($B$13*($B$7+$B$8^2))*$B$9*(1-$B$10))</f>
        <v>4054.75792333278</v>
      </c>
      <c r="P43" s="14" t="n">
        <f aca="true">$B$16+NORMINV(RAND(),0,SQRT($B$13*($B$7+$B$8^2))*$B$9*(1-$B$10))</f>
        <v>4376.32648282814</v>
      </c>
      <c r="Q43" s="14" t="n">
        <f aca="true">$B$16+NORMINV(RAND(),0,SQRT($B$13*($B$7+$B$8^2))*$B$9*(1-$B$10))</f>
        <v>4255.33555146268</v>
      </c>
      <c r="R43" s="14" t="n">
        <f aca="false">$B$4-13*($B$5+$B$6)/30-IF($B$11&lt;=13,$B$12,0)+0</f>
        <v>8876.66666666667</v>
      </c>
      <c r="S43" s="14" t="n">
        <f aca="false">$B$4-27*($B$5+$B$6)/30-IF($B$11&lt;=27,$B$12,0)+L43</f>
        <v>10569.8374435467</v>
      </c>
      <c r="T43" s="14" t="n">
        <f aca="false">$B$4-41*($B$5+$B$6)/30-IF($B$11&lt;=41,$B$12,0)+L43+M43</f>
        <v>1563.89065367631</v>
      </c>
      <c r="U43" s="14" t="n">
        <f aca="false">$B$4-55*($B$5+$B$6)/30-IF($B$11&lt;=55,$B$12,0)+L43+M43+N43</f>
        <v>3598.65098209048</v>
      </c>
      <c r="V43" s="14" t="n">
        <f aca="false">$B$4-69*($B$5+$B$6)/30-IF($B$11&lt;=69,$B$12,0)+L43+M43+N43+O43</f>
        <v>5366.7422387566</v>
      </c>
      <c r="W43" s="14" t="n">
        <f aca="false">$B$4-83*($B$5+$B$6)/30-IF($B$11&lt;=83,$B$12,0)+L43+M43+N43+O43+P43</f>
        <v>7456.40205491807</v>
      </c>
      <c r="X43" s="14" t="n">
        <f aca="false">$B$4-90*($B$5+$B$6)/30-IF($B$11&lt;=90,$B$12,0)+L43+M43+N43+O43+P43+Q43</f>
        <v>10568.4042730474</v>
      </c>
      <c r="AA43" s="14" t="n">
        <f aca="false">MIN(R43:X43)</f>
        <v>1563.89065367631</v>
      </c>
    </row>
    <row r="44" customFormat="false" ht="15" hidden="false" customHeight="false" outlineLevel="0" collapsed="false">
      <c r="D44" s="2" t="n">
        <v>39</v>
      </c>
      <c r="E44" s="14" t="n">
        <f aca="false">IF(MOD(D44,$B$13)=0,$B$16,0)</f>
        <v>0</v>
      </c>
      <c r="F44" s="14" t="n">
        <f aca="false">$B$5/30</f>
        <v>133.333333333333</v>
      </c>
      <c r="G44" s="14" t="n">
        <f aca="false">$B$6/30</f>
        <v>30</v>
      </c>
      <c r="H44" s="14" t="n">
        <f aca="false">IF(D44=$B$11,$B$12,0)</f>
        <v>0</v>
      </c>
      <c r="I44" s="14" t="n">
        <f aca="false">I43+E44-F44-G44-H44</f>
        <v>1573.15206118278</v>
      </c>
      <c r="K44" s="2" t="n">
        <v>39</v>
      </c>
      <c r="L44" s="14" t="n">
        <f aca="true">$B$16+NORMINV(RAND(),0,SQRT($B$13*($B$7+$B$8^2))*$B$9*(1-$B$10))</f>
        <v>4197.69044261803</v>
      </c>
      <c r="M44" s="14" t="n">
        <f aca="true">$B$16+NORMINV(RAND(),0,SQRT($B$13*($B$7+$B$8^2))*$B$9*(1-$B$10))</f>
        <v>3633.76129263417</v>
      </c>
      <c r="N44" s="14" t="n">
        <f aca="true">$B$16+NORMINV(RAND(),0,SQRT($B$13*($B$7+$B$8^2))*$B$9*(1-$B$10))</f>
        <v>4110.15217402009</v>
      </c>
      <c r="O44" s="14" t="n">
        <f aca="true">$B$16+NORMINV(RAND(),0,SQRT($B$13*($B$7+$B$8^2))*$B$9*(1-$B$10))</f>
        <v>3532.33267044217</v>
      </c>
      <c r="P44" s="14" t="n">
        <f aca="true">$B$16+NORMINV(RAND(),0,SQRT($B$13*($B$7+$B$8^2))*$B$9*(1-$B$10))</f>
        <v>3960.28278109076</v>
      </c>
      <c r="Q44" s="14" t="n">
        <f aca="true">$B$16+NORMINV(RAND(),0,SQRT($B$13*($B$7+$B$8^2))*$B$9*(1-$B$10))</f>
        <v>3762.30969548943</v>
      </c>
      <c r="R44" s="14" t="n">
        <f aca="false">$B$4-13*($B$5+$B$6)/30-IF($B$11&lt;=13,$B$12,0)+0</f>
        <v>8876.66666666667</v>
      </c>
      <c r="S44" s="14" t="n">
        <f aca="false">$B$4-27*($B$5+$B$6)/30-IF($B$11&lt;=27,$B$12,0)+L44</f>
        <v>10787.690442618</v>
      </c>
      <c r="T44" s="14" t="n">
        <f aca="false">$B$4-41*($B$5+$B$6)/30-IF($B$11&lt;=41,$B$12,0)+L44+M44</f>
        <v>949.985068585531</v>
      </c>
      <c r="U44" s="14" t="n">
        <f aca="false">$B$4-55*($B$5+$B$6)/30-IF($B$11&lt;=55,$B$12,0)+L44+M44+N44</f>
        <v>2773.47057593896</v>
      </c>
      <c r="V44" s="14" t="n">
        <f aca="false">$B$4-69*($B$5+$B$6)/30-IF($B$11&lt;=69,$B$12,0)+L44+M44+N44+O44</f>
        <v>4019.13657971446</v>
      </c>
      <c r="W44" s="14" t="n">
        <f aca="false">$B$4-83*($B$5+$B$6)/30-IF($B$11&lt;=83,$B$12,0)+L44+M44+N44+O44+P44</f>
        <v>5692.75269413856</v>
      </c>
      <c r="X44" s="14" t="n">
        <f aca="false">$B$4-90*($B$5+$B$6)/30-IF($B$11&lt;=90,$B$12,0)+L44+M44+N44+O44+P44+Q44</f>
        <v>8311.72905629465</v>
      </c>
      <c r="AA44" s="14" t="n">
        <f aca="false">MIN(R44:X44)</f>
        <v>949.985068585531</v>
      </c>
    </row>
    <row r="45" customFormat="false" ht="15" hidden="false" customHeight="false" outlineLevel="0" collapsed="false">
      <c r="D45" s="2" t="n">
        <v>40</v>
      </c>
      <c r="E45" s="14" t="n">
        <f aca="false">IF(MOD(D45,$B$13)=0,$B$16,0)</f>
        <v>0</v>
      </c>
      <c r="F45" s="14" t="n">
        <f aca="false">$B$5/30</f>
        <v>133.333333333333</v>
      </c>
      <c r="G45" s="14" t="n">
        <f aca="false">$B$6/30</f>
        <v>30</v>
      </c>
      <c r="H45" s="14" t="n">
        <f aca="false">IF(D45=$B$11,$B$12,0)</f>
        <v>0</v>
      </c>
      <c r="I45" s="14" t="n">
        <f aca="false">I44+E45-F45-G45-H45</f>
        <v>1409.81872784944</v>
      </c>
      <c r="K45" s="2" t="n">
        <v>40</v>
      </c>
      <c r="L45" s="14" t="n">
        <f aca="true">$B$16+NORMINV(RAND(),0,SQRT($B$13*($B$7+$B$8^2))*$B$9*(1-$B$10))</f>
        <v>4022.46987375866</v>
      </c>
      <c r="M45" s="14" t="n">
        <f aca="true">$B$16+NORMINV(RAND(),0,SQRT($B$13*($B$7+$B$8^2))*$B$9*(1-$B$10))</f>
        <v>4033.16869452788</v>
      </c>
      <c r="N45" s="14" t="n">
        <f aca="true">$B$16+NORMINV(RAND(),0,SQRT($B$13*($B$7+$B$8^2))*$B$9*(1-$B$10))</f>
        <v>4263.04303006329</v>
      </c>
      <c r="O45" s="14" t="n">
        <f aca="true">$B$16+NORMINV(RAND(),0,SQRT($B$13*($B$7+$B$8^2))*$B$9*(1-$B$10))</f>
        <v>4143.19276472727</v>
      </c>
      <c r="P45" s="14" t="n">
        <f aca="true">$B$16+NORMINV(RAND(),0,SQRT($B$13*($B$7+$B$8^2))*$B$9*(1-$B$10))</f>
        <v>3700.47895230565</v>
      </c>
      <c r="Q45" s="14" t="n">
        <f aca="true">$B$16+NORMINV(RAND(),0,SQRT($B$13*($B$7+$B$8^2))*$B$9*(1-$B$10))</f>
        <v>4316.74794888718</v>
      </c>
      <c r="R45" s="14" t="n">
        <f aca="false">$B$4-13*($B$5+$B$6)/30-IF($B$11&lt;=13,$B$12,0)+0</f>
        <v>8876.66666666667</v>
      </c>
      <c r="S45" s="14" t="n">
        <f aca="false">$B$4-27*($B$5+$B$6)/30-IF($B$11&lt;=27,$B$12,0)+L45</f>
        <v>10612.4698737587</v>
      </c>
      <c r="T45" s="14" t="n">
        <f aca="false">$B$4-41*($B$5+$B$6)/30-IF($B$11&lt;=41,$B$12,0)+L45+M45</f>
        <v>1174.17190161987</v>
      </c>
      <c r="U45" s="14" t="n">
        <f aca="false">$B$4-55*($B$5+$B$6)/30-IF($B$11&lt;=55,$B$12,0)+L45+M45+N45</f>
        <v>3150.5482650165</v>
      </c>
      <c r="V45" s="14" t="n">
        <f aca="false">$B$4-69*($B$5+$B$6)/30-IF($B$11&lt;=69,$B$12,0)+L45+M45+N45+O45</f>
        <v>5007.0743630771</v>
      </c>
      <c r="W45" s="14" t="n">
        <f aca="false">$B$4-83*($B$5+$B$6)/30-IF($B$11&lt;=83,$B$12,0)+L45+M45+N45+O45+P45</f>
        <v>6420.88664871609</v>
      </c>
      <c r="X45" s="14" t="n">
        <f aca="false">$B$4-90*($B$5+$B$6)/30-IF($B$11&lt;=90,$B$12,0)+L45+M45+N45+O45+P45+Q45</f>
        <v>9594.30126426994</v>
      </c>
      <c r="AA45" s="14" t="n">
        <f aca="false">MIN(R45:X45)</f>
        <v>1174.17190161987</v>
      </c>
    </row>
    <row r="46" customFormat="false" ht="15" hidden="false" customHeight="false" outlineLevel="0" collapsed="false">
      <c r="D46" s="2" t="n">
        <v>41</v>
      </c>
      <c r="E46" s="14" t="n">
        <f aca="false">IF(MOD(D46,$B$13)=0,$B$16,0)</f>
        <v>0</v>
      </c>
      <c r="F46" s="14" t="n">
        <f aca="false">$B$5/30</f>
        <v>133.333333333333</v>
      </c>
      <c r="G46" s="14" t="n">
        <f aca="false">$B$6/30</f>
        <v>30</v>
      </c>
      <c r="H46" s="14" t="n">
        <f aca="false">IF(D46=$B$11,$B$12,0)</f>
        <v>0</v>
      </c>
      <c r="I46" s="14" t="n">
        <f aca="false">I45+E46-F46-G46-H46</f>
        <v>1246.48539451611</v>
      </c>
      <c r="K46" s="2" t="n">
        <v>41</v>
      </c>
      <c r="L46" s="14" t="n">
        <f aca="true">$B$16+NORMINV(RAND(),0,SQRT($B$13*($B$7+$B$8^2))*$B$9*(1-$B$10))</f>
        <v>3782.71010514069</v>
      </c>
      <c r="M46" s="14" t="n">
        <f aca="true">$B$16+NORMINV(RAND(),0,SQRT($B$13*($B$7+$B$8^2))*$B$9*(1-$B$10))</f>
        <v>4106.16259128249</v>
      </c>
      <c r="N46" s="14" t="n">
        <f aca="true">$B$16+NORMINV(RAND(),0,SQRT($B$13*($B$7+$B$8^2))*$B$9*(1-$B$10))</f>
        <v>3969.8886939436</v>
      </c>
      <c r="O46" s="14" t="n">
        <f aca="true">$B$16+NORMINV(RAND(),0,SQRT($B$13*($B$7+$B$8^2))*$B$9*(1-$B$10))</f>
        <v>3724.28827979072</v>
      </c>
      <c r="P46" s="14" t="n">
        <f aca="true">$B$16+NORMINV(RAND(),0,SQRT($B$13*($B$7+$B$8^2))*$B$9*(1-$B$10))</f>
        <v>4081.67140536232</v>
      </c>
      <c r="Q46" s="14" t="n">
        <f aca="true">$B$16+NORMINV(RAND(),0,SQRT($B$13*($B$7+$B$8^2))*$B$9*(1-$B$10))</f>
        <v>4202.64424067831</v>
      </c>
      <c r="R46" s="14" t="n">
        <f aca="false">$B$4-13*($B$5+$B$6)/30-IF($B$11&lt;=13,$B$12,0)+0</f>
        <v>8876.66666666667</v>
      </c>
      <c r="S46" s="14" t="n">
        <f aca="false">$B$4-27*($B$5+$B$6)/30-IF($B$11&lt;=27,$B$12,0)+L46</f>
        <v>10372.7101051407</v>
      </c>
      <c r="T46" s="14" t="n">
        <f aca="false">$B$4-41*($B$5+$B$6)/30-IF($B$11&lt;=41,$B$12,0)+L46+M46</f>
        <v>1007.40602975651</v>
      </c>
      <c r="U46" s="14" t="n">
        <f aca="false">$B$4-55*($B$5+$B$6)/30-IF($B$11&lt;=55,$B$12,0)+L46+M46+N46</f>
        <v>2690.62805703344</v>
      </c>
      <c r="V46" s="14" t="n">
        <f aca="false">$B$4-69*($B$5+$B$6)/30-IF($B$11&lt;=69,$B$12,0)+L46+M46+N46+O46</f>
        <v>4128.2496701575</v>
      </c>
      <c r="W46" s="14" t="n">
        <f aca="false">$B$4-83*($B$5+$B$6)/30-IF($B$11&lt;=83,$B$12,0)+L46+M46+N46+O46+P46</f>
        <v>5923.25440885316</v>
      </c>
      <c r="X46" s="14" t="n">
        <f aca="false">$B$4-90*($B$5+$B$6)/30-IF($B$11&lt;=90,$B$12,0)+L46+M46+N46+O46+P46+Q46</f>
        <v>8982.56531619814</v>
      </c>
      <c r="AA46" s="14" t="n">
        <f aca="false">MIN(R46:X46)</f>
        <v>1007.40602975651</v>
      </c>
    </row>
    <row r="47" customFormat="false" ht="15" hidden="false" customHeight="false" outlineLevel="0" collapsed="false">
      <c r="D47" s="2" t="n">
        <v>42</v>
      </c>
      <c r="E47" s="14" t="n">
        <f aca="false">IF(MOD(D47,$B$13)=0,$B$16,0)</f>
        <v>4063.9760305914</v>
      </c>
      <c r="F47" s="14" t="n">
        <f aca="false">$B$5/30</f>
        <v>133.333333333333</v>
      </c>
      <c r="G47" s="14" t="n">
        <f aca="false">$B$6/30</f>
        <v>30</v>
      </c>
      <c r="H47" s="14" t="n">
        <f aca="false">IF(D47=$B$11,$B$12,0)</f>
        <v>0</v>
      </c>
      <c r="I47" s="14" t="n">
        <f aca="false">I46+E47-F47-G47-H47</f>
        <v>5147.12809177418</v>
      </c>
      <c r="K47" s="2" t="n">
        <v>42</v>
      </c>
      <c r="L47" s="14" t="n">
        <f aca="true">$B$16+NORMINV(RAND(),0,SQRT($B$13*($B$7+$B$8^2))*$B$9*(1-$B$10))</f>
        <v>4550.1550354294</v>
      </c>
      <c r="M47" s="14" t="n">
        <f aca="true">$B$16+NORMINV(RAND(),0,SQRT($B$13*($B$7+$B$8^2))*$B$9*(1-$B$10))</f>
        <v>3976.4748649266</v>
      </c>
      <c r="N47" s="14" t="n">
        <f aca="true">$B$16+NORMINV(RAND(),0,SQRT($B$13*($B$7+$B$8^2))*$B$9*(1-$B$10))</f>
        <v>3824.6371899538</v>
      </c>
      <c r="O47" s="14" t="n">
        <f aca="true">$B$16+NORMINV(RAND(),0,SQRT($B$13*($B$7+$B$8^2))*$B$9*(1-$B$10))</f>
        <v>4059.01637822881</v>
      </c>
      <c r="P47" s="14" t="n">
        <f aca="true">$B$16+NORMINV(RAND(),0,SQRT($B$13*($B$7+$B$8^2))*$B$9*(1-$B$10))</f>
        <v>3691.19670764453</v>
      </c>
      <c r="Q47" s="14" t="n">
        <f aca="true">$B$16+NORMINV(RAND(),0,SQRT($B$13*($B$7+$B$8^2))*$B$9*(1-$B$10))</f>
        <v>3538.81832002509</v>
      </c>
      <c r="R47" s="14" t="n">
        <f aca="false">$B$4-13*($B$5+$B$6)/30-IF($B$11&lt;=13,$B$12,0)+0</f>
        <v>8876.66666666667</v>
      </c>
      <c r="S47" s="14" t="n">
        <f aca="false">$B$4-27*($B$5+$B$6)/30-IF($B$11&lt;=27,$B$12,0)+L47</f>
        <v>11140.1550354294</v>
      </c>
      <c r="T47" s="14" t="n">
        <f aca="false">$B$4-41*($B$5+$B$6)/30-IF($B$11&lt;=41,$B$12,0)+L47+M47</f>
        <v>1645.16323368933</v>
      </c>
      <c r="U47" s="14" t="n">
        <f aca="false">$B$4-55*($B$5+$B$6)/30-IF($B$11&lt;=55,$B$12,0)+L47+M47+N47</f>
        <v>3183.13375697646</v>
      </c>
      <c r="V47" s="14" t="n">
        <f aca="false">$B$4-69*($B$5+$B$6)/30-IF($B$11&lt;=69,$B$12,0)+L47+M47+N47+O47</f>
        <v>4955.4834685386</v>
      </c>
      <c r="W47" s="14" t="n">
        <f aca="false">$B$4-83*($B$5+$B$6)/30-IF($B$11&lt;=83,$B$12,0)+L47+M47+N47+O47+P47</f>
        <v>6360.01350951646</v>
      </c>
      <c r="X47" s="14" t="n">
        <f aca="false">$B$4-90*($B$5+$B$6)/30-IF($B$11&lt;=90,$B$12,0)+L47+M47+N47+O47+P47+Q47</f>
        <v>8755.49849620822</v>
      </c>
      <c r="AA47" s="14" t="n">
        <f aca="false">MIN(R47:X47)</f>
        <v>1645.16323368933</v>
      </c>
    </row>
    <row r="48" customFormat="false" ht="15" hidden="false" customHeight="false" outlineLevel="0" collapsed="false">
      <c r="D48" s="2" t="n">
        <v>43</v>
      </c>
      <c r="E48" s="14" t="n">
        <f aca="false">IF(MOD(D48,$B$13)=0,$B$16,0)</f>
        <v>0</v>
      </c>
      <c r="F48" s="14" t="n">
        <f aca="false">$B$5/30</f>
        <v>133.333333333333</v>
      </c>
      <c r="G48" s="14" t="n">
        <f aca="false">$B$6/30</f>
        <v>30</v>
      </c>
      <c r="H48" s="14" t="n">
        <f aca="false">IF(D48=$B$11,$B$12,0)</f>
        <v>0</v>
      </c>
      <c r="I48" s="14" t="n">
        <f aca="false">I47+E48-F48-G48-H48</f>
        <v>4983.79475844084</v>
      </c>
      <c r="K48" s="2" t="n">
        <v>43</v>
      </c>
      <c r="L48" s="14" t="n">
        <f aca="true">$B$16+NORMINV(RAND(),0,SQRT($B$13*($B$7+$B$8^2))*$B$9*(1-$B$10))</f>
        <v>3849.33583496197</v>
      </c>
      <c r="M48" s="14" t="n">
        <f aca="true">$B$16+NORMINV(RAND(),0,SQRT($B$13*($B$7+$B$8^2))*$B$9*(1-$B$10))</f>
        <v>3463.29379409115</v>
      </c>
      <c r="N48" s="14" t="n">
        <f aca="true">$B$16+NORMINV(RAND(),0,SQRT($B$13*($B$7+$B$8^2))*$B$9*(1-$B$10))</f>
        <v>4283.3658083814</v>
      </c>
      <c r="O48" s="14" t="n">
        <f aca="true">$B$16+NORMINV(RAND(),0,SQRT($B$13*($B$7+$B$8^2))*$B$9*(1-$B$10))</f>
        <v>4260.4902280172</v>
      </c>
      <c r="P48" s="14" t="n">
        <f aca="true">$B$16+NORMINV(RAND(),0,SQRT($B$13*($B$7+$B$8^2))*$B$9*(1-$B$10))</f>
        <v>3891.36751040257</v>
      </c>
      <c r="Q48" s="14" t="n">
        <f aca="true">$B$16+NORMINV(RAND(),0,SQRT($B$13*($B$7+$B$8^2))*$B$9*(1-$B$10))</f>
        <v>4137.59090046732</v>
      </c>
      <c r="R48" s="14" t="n">
        <f aca="false">$B$4-13*($B$5+$B$6)/30-IF($B$11&lt;=13,$B$12,0)+0</f>
        <v>8876.66666666667</v>
      </c>
      <c r="S48" s="14" t="n">
        <f aca="false">$B$4-27*($B$5+$B$6)/30-IF($B$11&lt;=27,$B$12,0)+L48</f>
        <v>10439.335834962</v>
      </c>
      <c r="T48" s="14" t="n">
        <f aca="false">$B$4-41*($B$5+$B$6)/30-IF($B$11&lt;=41,$B$12,0)+L48+M48</f>
        <v>431.16296238645</v>
      </c>
      <c r="U48" s="14" t="n">
        <f aca="false">$B$4-55*($B$5+$B$6)/30-IF($B$11&lt;=55,$B$12,0)+L48+M48+N48</f>
        <v>2427.86210410118</v>
      </c>
      <c r="V48" s="14" t="n">
        <f aca="false">$B$4-69*($B$5+$B$6)/30-IF($B$11&lt;=69,$B$12,0)+L48+M48+N48+O48</f>
        <v>4401.68566545171</v>
      </c>
      <c r="W48" s="14" t="n">
        <f aca="false">$B$4-83*($B$5+$B$6)/30-IF($B$11&lt;=83,$B$12,0)+L48+M48+N48+O48+P48</f>
        <v>6006.38650918762</v>
      </c>
      <c r="X48" s="14" t="n">
        <f aca="false">$B$4-90*($B$5+$B$6)/30-IF($B$11&lt;=90,$B$12,0)+L48+M48+N48+O48+P48+Q48</f>
        <v>9000.64407632161</v>
      </c>
      <c r="AA48" s="14" t="n">
        <f aca="false">MIN(R48:X48)</f>
        <v>431.16296238645</v>
      </c>
    </row>
    <row r="49" customFormat="false" ht="15" hidden="false" customHeight="false" outlineLevel="0" collapsed="false">
      <c r="D49" s="2" t="n">
        <v>44</v>
      </c>
      <c r="E49" s="14" t="n">
        <f aca="false">IF(MOD(D49,$B$13)=0,$B$16,0)</f>
        <v>0</v>
      </c>
      <c r="F49" s="14" t="n">
        <f aca="false">$B$5/30</f>
        <v>133.333333333333</v>
      </c>
      <c r="G49" s="14" t="n">
        <f aca="false">$B$6/30</f>
        <v>30</v>
      </c>
      <c r="H49" s="14" t="n">
        <f aca="false">IF(D49=$B$11,$B$12,0)</f>
        <v>0</v>
      </c>
      <c r="I49" s="14" t="n">
        <f aca="false">I48+E49-F49-G49-H49</f>
        <v>4820.46142510751</v>
      </c>
      <c r="K49" s="2" t="n">
        <v>44</v>
      </c>
      <c r="L49" s="14" t="n">
        <f aca="true">$B$16+NORMINV(RAND(),0,SQRT($B$13*($B$7+$B$8^2))*$B$9*(1-$B$10))</f>
        <v>3323.09635504145</v>
      </c>
      <c r="M49" s="14" t="n">
        <f aca="true">$B$16+NORMINV(RAND(),0,SQRT($B$13*($B$7+$B$8^2))*$B$9*(1-$B$10))</f>
        <v>3850.14601575395</v>
      </c>
      <c r="N49" s="14" t="n">
        <f aca="true">$B$16+NORMINV(RAND(),0,SQRT($B$13*($B$7+$B$8^2))*$B$9*(1-$B$10))</f>
        <v>4223.13666242592</v>
      </c>
      <c r="O49" s="14" t="n">
        <f aca="true">$B$16+NORMINV(RAND(),0,SQRT($B$13*($B$7+$B$8^2))*$B$9*(1-$B$10))</f>
        <v>3856.29911937099</v>
      </c>
      <c r="P49" s="14" t="n">
        <f aca="true">$B$16+NORMINV(RAND(),0,SQRT($B$13*($B$7+$B$8^2))*$B$9*(1-$B$10))</f>
        <v>3987.06943789383</v>
      </c>
      <c r="Q49" s="14" t="n">
        <f aca="true">$B$16+NORMINV(RAND(),0,SQRT($B$13*($B$7+$B$8^2))*$B$9*(1-$B$10))</f>
        <v>4257.09973907323</v>
      </c>
      <c r="R49" s="14" t="n">
        <f aca="false">$B$4-13*($B$5+$B$6)/30-IF($B$11&lt;=13,$B$12,0)+0</f>
        <v>8876.66666666667</v>
      </c>
      <c r="S49" s="14" t="n">
        <f aca="false">$B$4-27*($B$5+$B$6)/30-IF($B$11&lt;=27,$B$12,0)+L49</f>
        <v>9913.09635504145</v>
      </c>
      <c r="T49" s="14" t="n">
        <f aca="false">$B$4-41*($B$5+$B$6)/30-IF($B$11&lt;=41,$B$12,0)+L49+M49</f>
        <v>291.775704128735</v>
      </c>
      <c r="U49" s="14" t="n">
        <f aca="false">$B$4-55*($B$5+$B$6)/30-IF($B$11&lt;=55,$B$12,0)+L49+M49+N49</f>
        <v>2228.24569988799</v>
      </c>
      <c r="V49" s="14" t="n">
        <f aca="false">$B$4-69*($B$5+$B$6)/30-IF($B$11&lt;=69,$B$12,0)+L49+M49+N49+O49</f>
        <v>3797.87815259231</v>
      </c>
      <c r="W49" s="14" t="n">
        <f aca="false">$B$4-83*($B$5+$B$6)/30-IF($B$11&lt;=83,$B$12,0)+L49+M49+N49+O49+P49</f>
        <v>5498.28092381948</v>
      </c>
      <c r="X49" s="14" t="n">
        <f aca="false">$B$4-90*($B$5+$B$6)/30-IF($B$11&lt;=90,$B$12,0)+L49+M49+N49+O49+P49+Q49</f>
        <v>8612.04732955938</v>
      </c>
      <c r="AA49" s="14" t="n">
        <f aca="false">MIN(R49:X49)</f>
        <v>291.775704128735</v>
      </c>
    </row>
    <row r="50" customFormat="false" ht="15" hidden="false" customHeight="false" outlineLevel="0" collapsed="false">
      <c r="D50" s="2" t="n">
        <v>45</v>
      </c>
      <c r="E50" s="14" t="n">
        <f aca="false">IF(MOD(D50,$B$13)=0,$B$16,0)</f>
        <v>0</v>
      </c>
      <c r="F50" s="14" t="n">
        <f aca="false">$B$5/30</f>
        <v>133.333333333333</v>
      </c>
      <c r="G50" s="14" t="n">
        <f aca="false">$B$6/30</f>
        <v>30</v>
      </c>
      <c r="H50" s="14" t="n">
        <f aca="false">IF(D50=$B$11,$B$12,0)</f>
        <v>0</v>
      </c>
      <c r="I50" s="14" t="n">
        <f aca="false">I49+E50-F50-G50-H50</f>
        <v>4657.12809177418</v>
      </c>
      <c r="K50" s="2" t="n">
        <v>45</v>
      </c>
      <c r="L50" s="14" t="n">
        <f aca="true">$B$16+NORMINV(RAND(),0,SQRT($B$13*($B$7+$B$8^2))*$B$9*(1-$B$10))</f>
        <v>4099.82189882999</v>
      </c>
      <c r="M50" s="14" t="n">
        <f aca="true">$B$16+NORMINV(RAND(),0,SQRT($B$13*($B$7+$B$8^2))*$B$9*(1-$B$10))</f>
        <v>3910.58665726831</v>
      </c>
      <c r="N50" s="14" t="n">
        <f aca="true">$B$16+NORMINV(RAND(),0,SQRT($B$13*($B$7+$B$8^2))*$B$9*(1-$B$10))</f>
        <v>3977.34310801348</v>
      </c>
      <c r="O50" s="14" t="n">
        <f aca="true">$B$16+NORMINV(RAND(),0,SQRT($B$13*($B$7+$B$8^2))*$B$9*(1-$B$10))</f>
        <v>3644.82653093177</v>
      </c>
      <c r="P50" s="14" t="n">
        <f aca="true">$B$16+NORMINV(RAND(),0,SQRT($B$13*($B$7+$B$8^2))*$B$9*(1-$B$10))</f>
        <v>4281.52263701832</v>
      </c>
      <c r="Q50" s="14" t="n">
        <f aca="true">$B$16+NORMINV(RAND(),0,SQRT($B$13*($B$7+$B$8^2))*$B$9*(1-$B$10))</f>
        <v>3895.49198714027</v>
      </c>
      <c r="R50" s="14" t="n">
        <f aca="false">$B$4-13*($B$5+$B$6)/30-IF($B$11&lt;=13,$B$12,0)+0</f>
        <v>8876.66666666667</v>
      </c>
      <c r="S50" s="14" t="n">
        <f aca="false">$B$4-27*($B$5+$B$6)/30-IF($B$11&lt;=27,$B$12,0)+L50</f>
        <v>10689.82189883</v>
      </c>
      <c r="T50" s="14" t="n">
        <f aca="false">$B$4-41*($B$5+$B$6)/30-IF($B$11&lt;=41,$B$12,0)+L50+M50</f>
        <v>1128.94188943163</v>
      </c>
      <c r="U50" s="14" t="n">
        <f aca="false">$B$4-55*($B$5+$B$6)/30-IF($B$11&lt;=55,$B$12,0)+L50+M50+N50</f>
        <v>2819.61833077845</v>
      </c>
      <c r="V50" s="14" t="n">
        <f aca="false">$B$4-69*($B$5+$B$6)/30-IF($B$11&lt;=69,$B$12,0)+L50+M50+N50+O50</f>
        <v>4177.77819504355</v>
      </c>
      <c r="W50" s="14" t="n">
        <f aca="false">$B$4-83*($B$5+$B$6)/30-IF($B$11&lt;=83,$B$12,0)+L50+M50+N50+O50+P50</f>
        <v>6172.63416539521</v>
      </c>
      <c r="X50" s="14" t="n">
        <f aca="false">$B$4-90*($B$5+$B$6)/30-IF($B$11&lt;=90,$B$12,0)+L50+M50+N50+O50+P50+Q50</f>
        <v>8924.79281920214</v>
      </c>
      <c r="AA50" s="14" t="n">
        <f aca="false">MIN(R50:X50)</f>
        <v>1128.94188943163</v>
      </c>
    </row>
    <row r="51" customFormat="false" ht="15" hidden="false" customHeight="false" outlineLevel="0" collapsed="false">
      <c r="D51" s="2" t="n">
        <v>46</v>
      </c>
      <c r="E51" s="14" t="n">
        <f aca="false">IF(MOD(D51,$B$13)=0,$B$16,0)</f>
        <v>0</v>
      </c>
      <c r="F51" s="14" t="n">
        <f aca="false">$B$5/30</f>
        <v>133.333333333333</v>
      </c>
      <c r="G51" s="14" t="n">
        <f aca="false">$B$6/30</f>
        <v>30</v>
      </c>
      <c r="H51" s="14" t="n">
        <f aca="false">IF(D51=$B$11,$B$12,0)</f>
        <v>0</v>
      </c>
      <c r="I51" s="14" t="n">
        <f aca="false">I50+E51-F51-G51-H51</f>
        <v>4493.79475844085</v>
      </c>
      <c r="K51" s="2" t="n">
        <v>46</v>
      </c>
      <c r="L51" s="14" t="n">
        <f aca="true">$B$16+NORMINV(RAND(),0,SQRT($B$13*($B$7+$B$8^2))*$B$9*(1-$B$10))</f>
        <v>4930.92670567265</v>
      </c>
      <c r="M51" s="14" t="n">
        <f aca="true">$B$16+NORMINV(RAND(),0,SQRT($B$13*($B$7+$B$8^2))*$B$9*(1-$B$10))</f>
        <v>4566.63648628136</v>
      </c>
      <c r="N51" s="14" t="n">
        <f aca="true">$B$16+NORMINV(RAND(),0,SQRT($B$13*($B$7+$B$8^2))*$B$9*(1-$B$10))</f>
        <v>3812.81818999215</v>
      </c>
      <c r="O51" s="14" t="n">
        <f aca="true">$B$16+NORMINV(RAND(),0,SQRT($B$13*($B$7+$B$8^2))*$B$9*(1-$B$10))</f>
        <v>4617.71676469354</v>
      </c>
      <c r="P51" s="14" t="n">
        <f aca="true">$B$16+NORMINV(RAND(),0,SQRT($B$13*($B$7+$B$8^2))*$B$9*(1-$B$10))</f>
        <v>4069.46275930395</v>
      </c>
      <c r="Q51" s="14" t="n">
        <f aca="true">$B$16+NORMINV(RAND(),0,SQRT($B$13*($B$7+$B$8^2))*$B$9*(1-$B$10))</f>
        <v>4125.53378651991</v>
      </c>
      <c r="R51" s="14" t="n">
        <f aca="false">$B$4-13*($B$5+$B$6)/30-IF($B$11&lt;=13,$B$12,0)+0</f>
        <v>8876.66666666667</v>
      </c>
      <c r="S51" s="14" t="n">
        <f aca="false">$B$4-27*($B$5+$B$6)/30-IF($B$11&lt;=27,$B$12,0)+L51</f>
        <v>11520.9267056726</v>
      </c>
      <c r="T51" s="14" t="n">
        <f aca="false">$B$4-41*($B$5+$B$6)/30-IF($B$11&lt;=41,$B$12,0)+L51+M51</f>
        <v>2616.09652528734</v>
      </c>
      <c r="U51" s="14" t="n">
        <f aca="false">$B$4-55*($B$5+$B$6)/30-IF($B$11&lt;=55,$B$12,0)+L51+M51+N51</f>
        <v>4142.24804861282</v>
      </c>
      <c r="V51" s="14" t="n">
        <f aca="false">$B$4-69*($B$5+$B$6)/30-IF($B$11&lt;=69,$B$12,0)+L51+M51+N51+O51</f>
        <v>6473.2981466397</v>
      </c>
      <c r="W51" s="14" t="n">
        <f aca="false">$B$4-83*($B$5+$B$6)/30-IF($B$11&lt;=83,$B$12,0)+L51+M51+N51+O51+P51</f>
        <v>8256.09423927698</v>
      </c>
      <c r="X51" s="14" t="n">
        <f aca="false">$B$4-90*($B$5+$B$6)/30-IF($B$11&lt;=90,$B$12,0)+L51+M51+N51+O51+P51+Q51</f>
        <v>11238.2946924636</v>
      </c>
      <c r="AA51" s="14" t="n">
        <f aca="false">MIN(R51:X51)</f>
        <v>2616.09652528734</v>
      </c>
    </row>
    <row r="52" customFormat="false" ht="15" hidden="false" customHeight="false" outlineLevel="0" collapsed="false">
      <c r="D52" s="2" t="n">
        <v>47</v>
      </c>
      <c r="E52" s="14" t="n">
        <f aca="false">IF(MOD(D52,$B$13)=0,$B$16,0)</f>
        <v>0</v>
      </c>
      <c r="F52" s="14" t="n">
        <f aca="false">$B$5/30</f>
        <v>133.333333333333</v>
      </c>
      <c r="G52" s="14" t="n">
        <f aca="false">$B$6/30</f>
        <v>30</v>
      </c>
      <c r="H52" s="14" t="n">
        <f aca="false">IF(D52=$B$11,$B$12,0)</f>
        <v>0</v>
      </c>
      <c r="I52" s="14" t="n">
        <f aca="false">I51+E52-F52-G52-H52</f>
        <v>4330.46142510751</v>
      </c>
      <c r="K52" s="2" t="n">
        <v>47</v>
      </c>
      <c r="L52" s="14" t="n">
        <f aca="true">$B$16+NORMINV(RAND(),0,SQRT($B$13*($B$7+$B$8^2))*$B$9*(1-$B$10))</f>
        <v>4482.43306959557</v>
      </c>
      <c r="M52" s="14" t="n">
        <f aca="true">$B$16+NORMINV(RAND(),0,SQRT($B$13*($B$7+$B$8^2))*$B$9*(1-$B$10))</f>
        <v>4089.63074787667</v>
      </c>
      <c r="N52" s="14" t="n">
        <f aca="true">$B$16+NORMINV(RAND(),0,SQRT($B$13*($B$7+$B$8^2))*$B$9*(1-$B$10))</f>
        <v>3644.40365609625</v>
      </c>
      <c r="O52" s="14" t="n">
        <f aca="true">$B$16+NORMINV(RAND(),0,SQRT($B$13*($B$7+$B$8^2))*$B$9*(1-$B$10))</f>
        <v>5163.10162200041</v>
      </c>
      <c r="P52" s="14" t="n">
        <f aca="true">$B$16+NORMINV(RAND(),0,SQRT($B$13*($B$7+$B$8^2))*$B$9*(1-$B$10))</f>
        <v>3964.05088108691</v>
      </c>
      <c r="Q52" s="14" t="n">
        <f aca="true">$B$16+NORMINV(RAND(),0,SQRT($B$13*($B$7+$B$8^2))*$B$9*(1-$B$10))</f>
        <v>4050.41131499028</v>
      </c>
      <c r="R52" s="14" t="n">
        <f aca="false">$B$4-13*($B$5+$B$6)/30-IF($B$11&lt;=13,$B$12,0)+0</f>
        <v>8876.66666666667</v>
      </c>
      <c r="S52" s="14" t="n">
        <f aca="false">$B$4-27*($B$5+$B$6)/30-IF($B$11&lt;=27,$B$12,0)+L52</f>
        <v>11072.4330695956</v>
      </c>
      <c r="T52" s="14" t="n">
        <f aca="false">$B$4-41*($B$5+$B$6)/30-IF($B$11&lt;=41,$B$12,0)+L52+M52</f>
        <v>1690.59715080557</v>
      </c>
      <c r="U52" s="14" t="n">
        <f aca="false">$B$4-55*($B$5+$B$6)/30-IF($B$11&lt;=55,$B$12,0)+L52+M52+N52</f>
        <v>3048.33414023516</v>
      </c>
      <c r="V52" s="14" t="n">
        <f aca="false">$B$4-69*($B$5+$B$6)/30-IF($B$11&lt;=69,$B$12,0)+L52+M52+N52+O52</f>
        <v>5924.7690955689</v>
      </c>
      <c r="W52" s="14" t="n">
        <f aca="false">$B$4-83*($B$5+$B$6)/30-IF($B$11&lt;=83,$B$12,0)+L52+M52+N52+O52+P52</f>
        <v>7602.15330998914</v>
      </c>
      <c r="X52" s="14" t="n">
        <f aca="false">$B$4-90*($B$5+$B$6)/30-IF($B$11&lt;=90,$B$12,0)+L52+M52+N52+O52+P52+Q52</f>
        <v>10509.2312916461</v>
      </c>
      <c r="AA52" s="14" t="n">
        <f aca="false">MIN(R52:X52)</f>
        <v>1690.59715080557</v>
      </c>
    </row>
    <row r="53" customFormat="false" ht="15" hidden="false" customHeight="false" outlineLevel="0" collapsed="false">
      <c r="D53" s="2" t="n">
        <v>48</v>
      </c>
      <c r="E53" s="14" t="n">
        <f aca="false">IF(MOD(D53,$B$13)=0,$B$16,0)</f>
        <v>0</v>
      </c>
      <c r="F53" s="14" t="n">
        <f aca="false">$B$5/30</f>
        <v>133.333333333333</v>
      </c>
      <c r="G53" s="14" t="n">
        <f aca="false">$B$6/30</f>
        <v>30</v>
      </c>
      <c r="H53" s="14" t="n">
        <f aca="false">IF(D53=$B$11,$B$12,0)</f>
        <v>0</v>
      </c>
      <c r="I53" s="14" t="n">
        <f aca="false">I52+E53-F53-G53-H53</f>
        <v>4167.12809177418</v>
      </c>
      <c r="K53" s="2" t="n">
        <v>48</v>
      </c>
      <c r="L53" s="14" t="n">
        <f aca="true">$B$16+NORMINV(RAND(),0,SQRT($B$13*($B$7+$B$8^2))*$B$9*(1-$B$10))</f>
        <v>4238.10862659198</v>
      </c>
      <c r="M53" s="14" t="n">
        <f aca="true">$B$16+NORMINV(RAND(),0,SQRT($B$13*($B$7+$B$8^2))*$B$9*(1-$B$10))</f>
        <v>3751.39781702553</v>
      </c>
      <c r="N53" s="14" t="n">
        <f aca="true">$B$16+NORMINV(RAND(),0,SQRT($B$13*($B$7+$B$8^2))*$B$9*(1-$B$10))</f>
        <v>3797.62021038767</v>
      </c>
      <c r="O53" s="14" t="n">
        <f aca="true">$B$16+NORMINV(RAND(),0,SQRT($B$13*($B$7+$B$8^2))*$B$9*(1-$B$10))</f>
        <v>3456.52845670607</v>
      </c>
      <c r="P53" s="14" t="n">
        <f aca="true">$B$16+NORMINV(RAND(),0,SQRT($B$13*($B$7+$B$8^2))*$B$9*(1-$B$10))</f>
        <v>4212.5027008928</v>
      </c>
      <c r="Q53" s="14" t="n">
        <f aca="true">$B$16+NORMINV(RAND(),0,SQRT($B$13*($B$7+$B$8^2))*$B$9*(1-$B$10))</f>
        <v>4325.50862182963</v>
      </c>
      <c r="R53" s="14" t="n">
        <f aca="false">$B$4-13*($B$5+$B$6)/30-IF($B$11&lt;=13,$B$12,0)+0</f>
        <v>8876.66666666667</v>
      </c>
      <c r="S53" s="14" t="n">
        <f aca="false">$B$4-27*($B$5+$B$6)/30-IF($B$11&lt;=27,$B$12,0)+L53</f>
        <v>10828.108626592</v>
      </c>
      <c r="T53" s="14" t="n">
        <f aca="false">$B$4-41*($B$5+$B$6)/30-IF($B$11&lt;=41,$B$12,0)+L53+M53</f>
        <v>1108.03977695084</v>
      </c>
      <c r="U53" s="14" t="n">
        <f aca="false">$B$4-55*($B$5+$B$6)/30-IF($B$11&lt;=55,$B$12,0)+L53+M53+N53</f>
        <v>2618.99332067184</v>
      </c>
      <c r="V53" s="14" t="n">
        <f aca="false">$B$4-69*($B$5+$B$6)/30-IF($B$11&lt;=69,$B$12,0)+L53+M53+N53+O53</f>
        <v>3788.85511071124</v>
      </c>
      <c r="W53" s="14" t="n">
        <f aca="false">$B$4-83*($B$5+$B$6)/30-IF($B$11&lt;=83,$B$12,0)+L53+M53+N53+O53+P53</f>
        <v>5714.69114493737</v>
      </c>
      <c r="X53" s="14" t="n">
        <f aca="false">$B$4-90*($B$5+$B$6)/30-IF($B$11&lt;=90,$B$12,0)+L53+M53+N53+O53+P53+Q53</f>
        <v>8896.86643343366</v>
      </c>
      <c r="AA53" s="14" t="n">
        <f aca="false">MIN(R53:X53)</f>
        <v>1108.03977695084</v>
      </c>
    </row>
    <row r="54" customFormat="false" ht="15" hidden="false" customHeight="false" outlineLevel="0" collapsed="false">
      <c r="D54" s="2" t="n">
        <v>49</v>
      </c>
      <c r="E54" s="14" t="n">
        <f aca="false">IF(MOD(D54,$B$13)=0,$B$16,0)</f>
        <v>0</v>
      </c>
      <c r="F54" s="14" t="n">
        <f aca="false">$B$5/30</f>
        <v>133.333333333333</v>
      </c>
      <c r="G54" s="14" t="n">
        <f aca="false">$B$6/30</f>
        <v>30</v>
      </c>
      <c r="H54" s="14" t="n">
        <f aca="false">IF(D54=$B$11,$B$12,0)</f>
        <v>0</v>
      </c>
      <c r="I54" s="14" t="n">
        <f aca="false">I53+E54-F54-G54-H54</f>
        <v>4003.79475844085</v>
      </c>
      <c r="K54" s="2" t="n">
        <v>49</v>
      </c>
      <c r="L54" s="14" t="n">
        <f aca="true">$B$16+NORMINV(RAND(),0,SQRT($B$13*($B$7+$B$8^2))*$B$9*(1-$B$10))</f>
        <v>3933.65683853524</v>
      </c>
      <c r="M54" s="14" t="n">
        <f aca="true">$B$16+NORMINV(RAND(),0,SQRT($B$13*($B$7+$B$8^2))*$B$9*(1-$B$10))</f>
        <v>3834.11276228253</v>
      </c>
      <c r="N54" s="14" t="n">
        <f aca="true">$B$16+NORMINV(RAND(),0,SQRT($B$13*($B$7+$B$8^2))*$B$9*(1-$B$10))</f>
        <v>3225.57439298409</v>
      </c>
      <c r="O54" s="14" t="n">
        <f aca="true">$B$16+NORMINV(RAND(),0,SQRT($B$13*($B$7+$B$8^2))*$B$9*(1-$B$10))</f>
        <v>3640.2540015189</v>
      </c>
      <c r="P54" s="14" t="n">
        <f aca="true">$B$16+NORMINV(RAND(),0,SQRT($B$13*($B$7+$B$8^2))*$B$9*(1-$B$10))</f>
        <v>4236.25301310025</v>
      </c>
      <c r="Q54" s="14" t="n">
        <f aca="true">$B$16+NORMINV(RAND(),0,SQRT($B$13*($B$7+$B$8^2))*$B$9*(1-$B$10))</f>
        <v>3778.64825135616</v>
      </c>
      <c r="R54" s="14" t="n">
        <f aca="false">$B$4-13*($B$5+$B$6)/30-IF($B$11&lt;=13,$B$12,0)+0</f>
        <v>8876.66666666667</v>
      </c>
      <c r="S54" s="14" t="n">
        <f aca="false">$B$4-27*($B$5+$B$6)/30-IF($B$11&lt;=27,$B$12,0)+L54</f>
        <v>10523.6568385352</v>
      </c>
      <c r="T54" s="14" t="n">
        <f aca="false">$B$4-41*($B$5+$B$6)/30-IF($B$11&lt;=41,$B$12,0)+L54+M54</f>
        <v>886.3029341511</v>
      </c>
      <c r="U54" s="14" t="n">
        <f aca="false">$B$4-55*($B$5+$B$6)/30-IF($B$11&lt;=55,$B$12,0)+L54+M54+N54</f>
        <v>1825.21066046853</v>
      </c>
      <c r="V54" s="14" t="n">
        <f aca="false">$B$4-69*($B$5+$B$6)/30-IF($B$11&lt;=69,$B$12,0)+L54+M54+N54+O54</f>
        <v>3178.79799532076</v>
      </c>
      <c r="W54" s="14" t="n">
        <f aca="false">$B$4-83*($B$5+$B$6)/30-IF($B$11&lt;=83,$B$12,0)+L54+M54+N54+O54+P54</f>
        <v>5128.38434175435</v>
      </c>
      <c r="X54" s="14" t="n">
        <f aca="false">$B$4-90*($B$5+$B$6)/30-IF($B$11&lt;=90,$B$12,0)+L54+M54+N54+O54+P54+Q54</f>
        <v>7763.69925977718</v>
      </c>
      <c r="AA54" s="14" t="n">
        <f aca="false">MIN(R54:X54)</f>
        <v>886.3029341511</v>
      </c>
    </row>
    <row r="55" customFormat="false" ht="15" hidden="false" customHeight="false" outlineLevel="0" collapsed="false">
      <c r="D55" s="2" t="n">
        <v>50</v>
      </c>
      <c r="E55" s="14" t="n">
        <f aca="false">IF(MOD(D55,$B$13)=0,$B$16,0)</f>
        <v>0</v>
      </c>
      <c r="F55" s="14" t="n">
        <f aca="false">$B$5/30</f>
        <v>133.333333333333</v>
      </c>
      <c r="G55" s="14" t="n">
        <f aca="false">$B$6/30</f>
        <v>30</v>
      </c>
      <c r="H55" s="14" t="n">
        <f aca="false">IF(D55=$B$11,$B$12,0)</f>
        <v>0</v>
      </c>
      <c r="I55" s="14" t="n">
        <f aca="false">I54+E55-F55-G55-H55</f>
        <v>3840.46142510751</v>
      </c>
      <c r="K55" s="2" t="n">
        <v>50</v>
      </c>
      <c r="L55" s="14" t="n">
        <f aca="true">$B$16+NORMINV(RAND(),0,SQRT($B$13*($B$7+$B$8^2))*$B$9*(1-$B$10))</f>
        <v>4269.47603434123</v>
      </c>
      <c r="M55" s="14" t="n">
        <f aca="true">$B$16+NORMINV(RAND(),0,SQRT($B$13*($B$7+$B$8^2))*$B$9*(1-$B$10))</f>
        <v>4238.74029168818</v>
      </c>
      <c r="N55" s="14" t="n">
        <f aca="true">$B$16+NORMINV(RAND(),0,SQRT($B$13*($B$7+$B$8^2))*$B$9*(1-$B$10))</f>
        <v>3233.84885563206</v>
      </c>
      <c r="O55" s="14" t="n">
        <f aca="true">$B$16+NORMINV(RAND(),0,SQRT($B$13*($B$7+$B$8^2))*$B$9*(1-$B$10))</f>
        <v>3777.96337041051</v>
      </c>
      <c r="P55" s="14" t="n">
        <f aca="true">$B$16+NORMINV(RAND(),0,SQRT($B$13*($B$7+$B$8^2))*$B$9*(1-$B$10))</f>
        <v>4330.78751801451</v>
      </c>
      <c r="Q55" s="14" t="n">
        <f aca="true">$B$16+NORMINV(RAND(),0,SQRT($B$13*($B$7+$B$8^2))*$B$9*(1-$B$10))</f>
        <v>4150.66836730823</v>
      </c>
      <c r="R55" s="14" t="n">
        <f aca="false">$B$4-13*($B$5+$B$6)/30-IF($B$11&lt;=13,$B$12,0)+0</f>
        <v>8876.66666666667</v>
      </c>
      <c r="S55" s="14" t="n">
        <f aca="false">$B$4-27*($B$5+$B$6)/30-IF($B$11&lt;=27,$B$12,0)+L55</f>
        <v>10859.4760343412</v>
      </c>
      <c r="T55" s="14" t="n">
        <f aca="false">$B$4-41*($B$5+$B$6)/30-IF($B$11&lt;=41,$B$12,0)+L55+M55</f>
        <v>1626.74965936274</v>
      </c>
      <c r="U55" s="14" t="n">
        <f aca="false">$B$4-55*($B$5+$B$6)/30-IF($B$11&lt;=55,$B$12,0)+L55+M55+N55</f>
        <v>2573.93184832813</v>
      </c>
      <c r="V55" s="14" t="n">
        <f aca="false">$B$4-69*($B$5+$B$6)/30-IF($B$11&lt;=69,$B$12,0)+L55+M55+N55+O55</f>
        <v>4065.22855207198</v>
      </c>
      <c r="W55" s="14" t="n">
        <f aca="false">$B$4-83*($B$5+$B$6)/30-IF($B$11&lt;=83,$B$12,0)+L55+M55+N55+O55+P55</f>
        <v>6109.34940341983</v>
      </c>
      <c r="X55" s="14" t="n">
        <f aca="false">$B$4-90*($B$5+$B$6)/30-IF($B$11&lt;=90,$B$12,0)+L55+M55+N55+O55+P55+Q55</f>
        <v>9116.68443739472</v>
      </c>
      <c r="AA55" s="14" t="n">
        <f aca="false">MIN(R55:X55)</f>
        <v>1626.74965936274</v>
      </c>
    </row>
    <row r="56" customFormat="false" ht="15" hidden="false" customHeight="false" outlineLevel="0" collapsed="false">
      <c r="D56" s="2" t="n">
        <v>51</v>
      </c>
      <c r="E56" s="14" t="n">
        <f aca="false">IF(MOD(D56,$B$13)=0,$B$16,0)</f>
        <v>0</v>
      </c>
      <c r="F56" s="14" t="n">
        <f aca="false">$B$5/30</f>
        <v>133.333333333333</v>
      </c>
      <c r="G56" s="14" t="n">
        <f aca="false">$B$6/30</f>
        <v>30</v>
      </c>
      <c r="H56" s="14" t="n">
        <f aca="false">IF(D56=$B$11,$B$12,0)</f>
        <v>0</v>
      </c>
      <c r="I56" s="14" t="n">
        <f aca="false">I55+E56-F56-G56-H56</f>
        <v>3677.12809177418</v>
      </c>
      <c r="K56" s="2" t="n">
        <v>51</v>
      </c>
      <c r="L56" s="14" t="n">
        <f aca="true">$B$16+NORMINV(RAND(),0,SQRT($B$13*($B$7+$B$8^2))*$B$9*(1-$B$10))</f>
        <v>4163.39960323211</v>
      </c>
      <c r="M56" s="14" t="n">
        <f aca="true">$B$16+NORMINV(RAND(),0,SQRT($B$13*($B$7+$B$8^2))*$B$9*(1-$B$10))</f>
        <v>4168.16953025582</v>
      </c>
      <c r="N56" s="14" t="n">
        <f aca="true">$B$16+NORMINV(RAND(),0,SQRT($B$13*($B$7+$B$8^2))*$B$9*(1-$B$10))</f>
        <v>4011.2363955149</v>
      </c>
      <c r="O56" s="14" t="n">
        <f aca="true">$B$16+NORMINV(RAND(),0,SQRT($B$13*($B$7+$B$8^2))*$B$9*(1-$B$10))</f>
        <v>3926.58931965222</v>
      </c>
      <c r="P56" s="14" t="n">
        <f aca="true">$B$16+NORMINV(RAND(),0,SQRT($B$13*($B$7+$B$8^2))*$B$9*(1-$B$10))</f>
        <v>3456.90829160206</v>
      </c>
      <c r="Q56" s="14" t="n">
        <f aca="true">$B$16+NORMINV(RAND(),0,SQRT($B$13*($B$7+$B$8^2))*$B$9*(1-$B$10))</f>
        <v>3946.68273663238</v>
      </c>
      <c r="R56" s="14" t="n">
        <f aca="false">$B$4-13*($B$5+$B$6)/30-IF($B$11&lt;=13,$B$12,0)+0</f>
        <v>8876.66666666667</v>
      </c>
      <c r="S56" s="14" t="n">
        <f aca="false">$B$4-27*($B$5+$B$6)/30-IF($B$11&lt;=27,$B$12,0)+L56</f>
        <v>10753.3996032321</v>
      </c>
      <c r="T56" s="14" t="n">
        <f aca="false">$B$4-41*($B$5+$B$6)/30-IF($B$11&lt;=41,$B$12,0)+L56+M56</f>
        <v>1450.10246682126</v>
      </c>
      <c r="U56" s="14" t="n">
        <f aca="false">$B$4-55*($B$5+$B$6)/30-IF($B$11&lt;=55,$B$12,0)+L56+M56+N56</f>
        <v>3174.67219566949</v>
      </c>
      <c r="V56" s="14" t="n">
        <f aca="false">$B$4-69*($B$5+$B$6)/30-IF($B$11&lt;=69,$B$12,0)+L56+M56+N56+O56</f>
        <v>4814.59484865504</v>
      </c>
      <c r="W56" s="14" t="n">
        <f aca="false">$B$4-83*($B$5+$B$6)/30-IF($B$11&lt;=83,$B$12,0)+L56+M56+N56+O56+P56</f>
        <v>5984.83647359043</v>
      </c>
      <c r="X56" s="14" t="n">
        <f aca="false">$B$4-90*($B$5+$B$6)/30-IF($B$11&lt;=90,$B$12,0)+L56+M56+N56+O56+P56+Q56</f>
        <v>8788.18587688947</v>
      </c>
      <c r="AA56" s="14" t="n">
        <f aca="false">MIN(R56:X56)</f>
        <v>1450.10246682126</v>
      </c>
    </row>
    <row r="57" customFormat="false" ht="15" hidden="false" customHeight="false" outlineLevel="0" collapsed="false">
      <c r="D57" s="2" t="n">
        <v>52</v>
      </c>
      <c r="E57" s="14" t="n">
        <f aca="false">IF(MOD(D57,$B$13)=0,$B$16,0)</f>
        <v>0</v>
      </c>
      <c r="F57" s="14" t="n">
        <f aca="false">$B$5/30</f>
        <v>133.333333333333</v>
      </c>
      <c r="G57" s="14" t="n">
        <f aca="false">$B$6/30</f>
        <v>30</v>
      </c>
      <c r="H57" s="14" t="n">
        <f aca="false">IF(D57=$B$11,$B$12,0)</f>
        <v>0</v>
      </c>
      <c r="I57" s="14" t="n">
        <f aca="false">I56+E57-F57-G57-H57</f>
        <v>3513.79475844085</v>
      </c>
      <c r="K57" s="2" t="n">
        <v>52</v>
      </c>
      <c r="L57" s="14" t="n">
        <f aca="true">$B$16+NORMINV(RAND(),0,SQRT($B$13*($B$7+$B$8^2))*$B$9*(1-$B$10))</f>
        <v>3841.06962794893</v>
      </c>
      <c r="M57" s="14" t="n">
        <f aca="true">$B$16+NORMINV(RAND(),0,SQRT($B$13*($B$7+$B$8^2))*$B$9*(1-$B$10))</f>
        <v>4393.53871654322</v>
      </c>
      <c r="N57" s="14" t="n">
        <f aca="true">$B$16+NORMINV(RAND(),0,SQRT($B$13*($B$7+$B$8^2))*$B$9*(1-$B$10))</f>
        <v>4097.17962556681</v>
      </c>
      <c r="O57" s="14" t="n">
        <f aca="true">$B$16+NORMINV(RAND(),0,SQRT($B$13*($B$7+$B$8^2))*$B$9*(1-$B$10))</f>
        <v>3683.35409961717</v>
      </c>
      <c r="P57" s="14" t="n">
        <f aca="true">$B$16+NORMINV(RAND(),0,SQRT($B$13*($B$7+$B$8^2))*$B$9*(1-$B$10))</f>
        <v>4596.52203225499</v>
      </c>
      <c r="Q57" s="14" t="n">
        <f aca="true">$B$16+NORMINV(RAND(),0,SQRT($B$13*($B$7+$B$8^2))*$B$9*(1-$B$10))</f>
        <v>3616.88381221298</v>
      </c>
      <c r="R57" s="14" t="n">
        <f aca="false">$B$4-13*($B$5+$B$6)/30-IF($B$11&lt;=13,$B$12,0)+0</f>
        <v>8876.66666666667</v>
      </c>
      <c r="S57" s="14" t="n">
        <f aca="false">$B$4-27*($B$5+$B$6)/30-IF($B$11&lt;=27,$B$12,0)+L57</f>
        <v>10431.0696279489</v>
      </c>
      <c r="T57" s="14" t="n">
        <f aca="false">$B$4-41*($B$5+$B$6)/30-IF($B$11&lt;=41,$B$12,0)+L57+M57</f>
        <v>1353.14167782548</v>
      </c>
      <c r="U57" s="14" t="n">
        <f aca="false">$B$4-55*($B$5+$B$6)/30-IF($B$11&lt;=55,$B$12,0)+L57+M57+N57</f>
        <v>3163.65463672563</v>
      </c>
      <c r="V57" s="14" t="n">
        <f aca="false">$B$4-69*($B$5+$B$6)/30-IF($B$11&lt;=69,$B$12,0)+L57+M57+N57+O57</f>
        <v>4560.34206967614</v>
      </c>
      <c r="W57" s="14" t="n">
        <f aca="false">$B$4-83*($B$5+$B$6)/30-IF($B$11&lt;=83,$B$12,0)+L57+M57+N57+O57+P57</f>
        <v>6870.19743526447</v>
      </c>
      <c r="X57" s="14" t="n">
        <f aca="false">$B$4-90*($B$5+$B$6)/30-IF($B$11&lt;=90,$B$12,0)+L57+M57+N57+O57+P57+Q57</f>
        <v>9343.74791414411</v>
      </c>
      <c r="AA57" s="14" t="n">
        <f aca="false">MIN(R57:X57)</f>
        <v>1353.14167782548</v>
      </c>
    </row>
    <row r="58" customFormat="false" ht="15" hidden="false" customHeight="false" outlineLevel="0" collapsed="false">
      <c r="D58" s="2" t="n">
        <v>53</v>
      </c>
      <c r="E58" s="14" t="n">
        <f aca="false">IF(MOD(D58,$B$13)=0,$B$16,0)</f>
        <v>0</v>
      </c>
      <c r="F58" s="14" t="n">
        <f aca="false">$B$5/30</f>
        <v>133.333333333333</v>
      </c>
      <c r="G58" s="14" t="n">
        <f aca="false">$B$6/30</f>
        <v>30</v>
      </c>
      <c r="H58" s="14" t="n">
        <f aca="false">IF(D58=$B$11,$B$12,0)</f>
        <v>0</v>
      </c>
      <c r="I58" s="14" t="n">
        <f aca="false">I57+E58-F58-G58-H58</f>
        <v>3350.46142510751</v>
      </c>
      <c r="K58" s="2" t="n">
        <v>53</v>
      </c>
      <c r="L58" s="14" t="n">
        <f aca="true">$B$16+NORMINV(RAND(),0,SQRT($B$13*($B$7+$B$8^2))*$B$9*(1-$B$10))</f>
        <v>4013.17498005868</v>
      </c>
      <c r="M58" s="14" t="n">
        <f aca="true">$B$16+NORMINV(RAND(),0,SQRT($B$13*($B$7+$B$8^2))*$B$9*(1-$B$10))</f>
        <v>3614.19843761238</v>
      </c>
      <c r="N58" s="14" t="n">
        <f aca="true">$B$16+NORMINV(RAND(),0,SQRT($B$13*($B$7+$B$8^2))*$B$9*(1-$B$10))</f>
        <v>4763.98266011097</v>
      </c>
      <c r="O58" s="14" t="n">
        <f aca="true">$B$16+NORMINV(RAND(),0,SQRT($B$13*($B$7+$B$8^2))*$B$9*(1-$B$10))</f>
        <v>4043.32580010446</v>
      </c>
      <c r="P58" s="14" t="n">
        <f aca="true">$B$16+NORMINV(RAND(),0,SQRT($B$13*($B$7+$B$8^2))*$B$9*(1-$B$10))</f>
        <v>4365.06709018691</v>
      </c>
      <c r="Q58" s="14" t="n">
        <f aca="true">$B$16+NORMINV(RAND(),0,SQRT($B$13*($B$7+$B$8^2))*$B$9*(1-$B$10))</f>
        <v>4435.00016476011</v>
      </c>
      <c r="R58" s="14" t="n">
        <f aca="false">$B$4-13*($B$5+$B$6)/30-IF($B$11&lt;=13,$B$12,0)+0</f>
        <v>8876.66666666667</v>
      </c>
      <c r="S58" s="14" t="n">
        <f aca="false">$B$4-27*($B$5+$B$6)/30-IF($B$11&lt;=27,$B$12,0)+L58</f>
        <v>10603.1749800587</v>
      </c>
      <c r="T58" s="14" t="n">
        <f aca="false">$B$4-41*($B$5+$B$6)/30-IF($B$11&lt;=41,$B$12,0)+L58+M58</f>
        <v>745.9067510044</v>
      </c>
      <c r="U58" s="14" t="n">
        <f aca="false">$B$4-55*($B$5+$B$6)/30-IF($B$11&lt;=55,$B$12,0)+L58+M58+N58</f>
        <v>3223.22274444871</v>
      </c>
      <c r="V58" s="14" t="n">
        <f aca="false">$B$4-69*($B$5+$B$6)/30-IF($B$11&lt;=69,$B$12,0)+L58+M58+N58+O58</f>
        <v>4979.8818778865</v>
      </c>
      <c r="W58" s="14" t="n">
        <f aca="false">$B$4-83*($B$5+$B$6)/30-IF($B$11&lt;=83,$B$12,0)+L58+M58+N58+O58+P58</f>
        <v>7058.28230140674</v>
      </c>
      <c r="X58" s="14" t="n">
        <f aca="false">$B$4-90*($B$5+$B$6)/30-IF($B$11&lt;=90,$B$12,0)+L58+M58+N58+O58+P58+Q58</f>
        <v>10349.9491328335</v>
      </c>
      <c r="AA58" s="14" t="n">
        <f aca="false">MIN(R58:X58)</f>
        <v>745.9067510044</v>
      </c>
    </row>
    <row r="59" customFormat="false" ht="15" hidden="false" customHeight="false" outlineLevel="0" collapsed="false">
      <c r="D59" s="2" t="n">
        <v>54</v>
      </c>
      <c r="E59" s="14" t="n">
        <f aca="false">IF(MOD(D59,$B$13)=0,$B$16,0)</f>
        <v>0</v>
      </c>
      <c r="F59" s="14" t="n">
        <f aca="false">$B$5/30</f>
        <v>133.333333333333</v>
      </c>
      <c r="G59" s="14" t="n">
        <f aca="false">$B$6/30</f>
        <v>30</v>
      </c>
      <c r="H59" s="14" t="n">
        <f aca="false">IF(D59=$B$11,$B$12,0)</f>
        <v>0</v>
      </c>
      <c r="I59" s="14" t="n">
        <f aca="false">I58+E59-F59-G59-H59</f>
        <v>3187.12809177418</v>
      </c>
      <c r="K59" s="2" t="n">
        <v>54</v>
      </c>
      <c r="L59" s="14" t="n">
        <f aca="true">$B$16+NORMINV(RAND(),0,SQRT($B$13*($B$7+$B$8^2))*$B$9*(1-$B$10))</f>
        <v>4115.74102647077</v>
      </c>
      <c r="M59" s="14" t="n">
        <f aca="true">$B$16+NORMINV(RAND(),0,SQRT($B$13*($B$7+$B$8^2))*$B$9*(1-$B$10))</f>
        <v>4467.11765679896</v>
      </c>
      <c r="N59" s="14" t="n">
        <f aca="true">$B$16+NORMINV(RAND(),0,SQRT($B$13*($B$7+$B$8^2))*$B$9*(1-$B$10))</f>
        <v>3374.62299202888</v>
      </c>
      <c r="O59" s="14" t="n">
        <f aca="true">$B$16+NORMINV(RAND(),0,SQRT($B$13*($B$7+$B$8^2))*$B$9*(1-$B$10))</f>
        <v>4498.66431258697</v>
      </c>
      <c r="P59" s="14" t="n">
        <f aca="true">$B$16+NORMINV(RAND(),0,SQRT($B$13*($B$7+$B$8^2))*$B$9*(1-$B$10))</f>
        <v>3776.22228625397</v>
      </c>
      <c r="Q59" s="14" t="n">
        <f aca="true">$B$16+NORMINV(RAND(),0,SQRT($B$13*($B$7+$B$8^2))*$B$9*(1-$B$10))</f>
        <v>4068.45363103791</v>
      </c>
      <c r="R59" s="14" t="n">
        <f aca="false">$B$4-13*($B$5+$B$6)/30-IF($B$11&lt;=13,$B$12,0)+0</f>
        <v>8876.66666666667</v>
      </c>
      <c r="S59" s="14" t="n">
        <f aca="false">$B$4-27*($B$5+$B$6)/30-IF($B$11&lt;=27,$B$12,0)+L59</f>
        <v>10705.7410264708</v>
      </c>
      <c r="T59" s="14" t="n">
        <f aca="false">$B$4-41*($B$5+$B$6)/30-IF($B$11&lt;=41,$B$12,0)+L59+M59</f>
        <v>1701.39201660306</v>
      </c>
      <c r="U59" s="14" t="n">
        <f aca="false">$B$4-55*($B$5+$B$6)/30-IF($B$11&lt;=55,$B$12,0)+L59+M59+N59</f>
        <v>2789.34834196527</v>
      </c>
      <c r="V59" s="14" t="n">
        <f aca="false">$B$4-69*($B$5+$B$6)/30-IF($B$11&lt;=69,$B$12,0)+L59+M59+N59+O59</f>
        <v>5001.34598788557</v>
      </c>
      <c r="W59" s="14" t="n">
        <f aca="false">$B$4-83*($B$5+$B$6)/30-IF($B$11&lt;=83,$B$12,0)+L59+M59+N59+O59+P59</f>
        <v>6490.90160747288</v>
      </c>
      <c r="X59" s="14" t="n">
        <f aca="false">$B$4-90*($B$5+$B$6)/30-IF($B$11&lt;=90,$B$12,0)+L59+M59+N59+O59+P59+Q59</f>
        <v>9416.02190517746</v>
      </c>
      <c r="AA59" s="14" t="n">
        <f aca="false">MIN(R59:X59)</f>
        <v>1701.39201660306</v>
      </c>
    </row>
    <row r="60" customFormat="false" ht="15" hidden="false" customHeight="false" outlineLevel="0" collapsed="false">
      <c r="D60" s="2" t="n">
        <v>55</v>
      </c>
      <c r="E60" s="14" t="n">
        <f aca="false">IF(MOD(D60,$B$13)=0,$B$16,0)</f>
        <v>0</v>
      </c>
      <c r="F60" s="14" t="n">
        <f aca="false">$B$5/30</f>
        <v>133.333333333333</v>
      </c>
      <c r="G60" s="14" t="n">
        <f aca="false">$B$6/30</f>
        <v>30</v>
      </c>
      <c r="H60" s="14" t="n">
        <f aca="false">IF(D60=$B$11,$B$12,0)</f>
        <v>0</v>
      </c>
      <c r="I60" s="14" t="n">
        <f aca="false">I59+E60-F60-G60-H60</f>
        <v>3023.79475844084</v>
      </c>
      <c r="K60" s="2" t="n">
        <v>55</v>
      </c>
      <c r="L60" s="14" t="n">
        <f aca="true">$B$16+NORMINV(RAND(),0,SQRT($B$13*($B$7+$B$8^2))*$B$9*(1-$B$10))</f>
        <v>4122.91077072266</v>
      </c>
      <c r="M60" s="14" t="n">
        <f aca="true">$B$16+NORMINV(RAND(),0,SQRT($B$13*($B$7+$B$8^2))*$B$9*(1-$B$10))</f>
        <v>4310.21147768441</v>
      </c>
      <c r="N60" s="14" t="n">
        <f aca="true">$B$16+NORMINV(RAND(),0,SQRT($B$13*($B$7+$B$8^2))*$B$9*(1-$B$10))</f>
        <v>3124.28373522177</v>
      </c>
      <c r="O60" s="14" t="n">
        <f aca="true">$B$16+NORMINV(RAND(),0,SQRT($B$13*($B$7+$B$8^2))*$B$9*(1-$B$10))</f>
        <v>3327.06739346914</v>
      </c>
      <c r="P60" s="14" t="n">
        <f aca="true">$B$16+NORMINV(RAND(),0,SQRT($B$13*($B$7+$B$8^2))*$B$9*(1-$B$10))</f>
        <v>3909.84086781604</v>
      </c>
      <c r="Q60" s="14" t="n">
        <f aca="true">$B$16+NORMINV(RAND(),0,SQRT($B$13*($B$7+$B$8^2))*$B$9*(1-$B$10))</f>
        <v>3663.72266896166</v>
      </c>
      <c r="R60" s="14" t="n">
        <f aca="false">$B$4-13*($B$5+$B$6)/30-IF($B$11&lt;=13,$B$12,0)+0</f>
        <v>8876.66666666667</v>
      </c>
      <c r="S60" s="14" t="n">
        <f aca="false">$B$4-27*($B$5+$B$6)/30-IF($B$11&lt;=27,$B$12,0)+L60</f>
        <v>10712.9107707227</v>
      </c>
      <c r="T60" s="14" t="n">
        <f aca="false">$B$4-41*($B$5+$B$6)/30-IF($B$11&lt;=41,$B$12,0)+L60+M60</f>
        <v>1551.65558174039</v>
      </c>
      <c r="U60" s="14" t="n">
        <f aca="false">$B$4-55*($B$5+$B$6)/30-IF($B$11&lt;=55,$B$12,0)+L60+M60+N60</f>
        <v>2389.2726502955</v>
      </c>
      <c r="V60" s="14" t="n">
        <f aca="false">$B$4-69*($B$5+$B$6)/30-IF($B$11&lt;=69,$B$12,0)+L60+M60+N60+O60</f>
        <v>3429.67337709796</v>
      </c>
      <c r="W60" s="14" t="n">
        <f aca="false">$B$4-83*($B$5+$B$6)/30-IF($B$11&lt;=83,$B$12,0)+L60+M60+N60+O60+P60</f>
        <v>5052.84757824734</v>
      </c>
      <c r="X60" s="14" t="n">
        <f aca="false">$B$4-90*($B$5+$B$6)/30-IF($B$11&lt;=90,$B$12,0)+L60+M60+N60+O60+P60+Q60</f>
        <v>7573.23691387567</v>
      </c>
      <c r="AA60" s="14" t="n">
        <f aca="false">MIN(R60:X60)</f>
        <v>1551.65558174039</v>
      </c>
    </row>
    <row r="61" customFormat="false" ht="15" hidden="false" customHeight="false" outlineLevel="0" collapsed="false">
      <c r="D61" s="2" t="n">
        <v>56</v>
      </c>
      <c r="E61" s="14" t="n">
        <f aca="false">IF(MOD(D61,$B$13)=0,$B$16,0)</f>
        <v>4063.9760305914</v>
      </c>
      <c r="F61" s="14" t="n">
        <f aca="false">$B$5/30</f>
        <v>133.333333333333</v>
      </c>
      <c r="G61" s="14" t="n">
        <f aca="false">$B$6/30</f>
        <v>30</v>
      </c>
      <c r="H61" s="14" t="n">
        <f aca="false">IF(D61=$B$11,$B$12,0)</f>
        <v>0</v>
      </c>
      <c r="I61" s="14" t="n">
        <f aca="false">I60+E61-F61-G61-H61</f>
        <v>6924.43745569891</v>
      </c>
      <c r="K61" s="2" t="n">
        <v>56</v>
      </c>
      <c r="L61" s="14" t="n">
        <f aca="true">$B$16+NORMINV(RAND(),0,SQRT($B$13*($B$7+$B$8^2))*$B$9*(1-$B$10))</f>
        <v>3690.67554414824</v>
      </c>
      <c r="M61" s="14" t="n">
        <f aca="true">$B$16+NORMINV(RAND(),0,SQRT($B$13*($B$7+$B$8^2))*$B$9*(1-$B$10))</f>
        <v>4074.33996880245</v>
      </c>
      <c r="N61" s="14" t="n">
        <f aca="true">$B$16+NORMINV(RAND(),0,SQRT($B$13*($B$7+$B$8^2))*$B$9*(1-$B$10))</f>
        <v>4460.35917269039</v>
      </c>
      <c r="O61" s="14" t="n">
        <f aca="true">$B$16+NORMINV(RAND(),0,SQRT($B$13*($B$7+$B$8^2))*$B$9*(1-$B$10))</f>
        <v>4457.81944138683</v>
      </c>
      <c r="P61" s="14" t="n">
        <f aca="true">$B$16+NORMINV(RAND(),0,SQRT($B$13*($B$7+$B$8^2))*$B$9*(1-$B$10))</f>
        <v>3989.95657969707</v>
      </c>
      <c r="Q61" s="14" t="n">
        <f aca="true">$B$16+NORMINV(RAND(),0,SQRT($B$13*($B$7+$B$8^2))*$B$9*(1-$B$10))</f>
        <v>4179.63344547765</v>
      </c>
      <c r="R61" s="14" t="n">
        <f aca="false">$B$4-13*($B$5+$B$6)/30-IF($B$11&lt;=13,$B$12,0)+0</f>
        <v>8876.66666666667</v>
      </c>
      <c r="S61" s="14" t="n">
        <f aca="false">$B$4-27*($B$5+$B$6)/30-IF($B$11&lt;=27,$B$12,0)+L61</f>
        <v>10280.6755441482</v>
      </c>
      <c r="T61" s="14" t="n">
        <f aca="false">$B$4-41*($B$5+$B$6)/30-IF($B$11&lt;=41,$B$12,0)+L61+M61</f>
        <v>883.548846284019</v>
      </c>
      <c r="U61" s="14" t="n">
        <f aca="false">$B$4-55*($B$5+$B$6)/30-IF($B$11&lt;=55,$B$12,0)+L61+M61+N61</f>
        <v>3057.24135230775</v>
      </c>
      <c r="V61" s="14" t="n">
        <f aca="false">$B$4-69*($B$5+$B$6)/30-IF($B$11&lt;=69,$B$12,0)+L61+M61+N61+O61</f>
        <v>5228.39412702791</v>
      </c>
      <c r="W61" s="14" t="n">
        <f aca="false">$B$4-83*($B$5+$B$6)/30-IF($B$11&lt;=83,$B$12,0)+L61+M61+N61+O61+P61</f>
        <v>6931.68404005832</v>
      </c>
      <c r="X61" s="14" t="n">
        <f aca="false">$B$4-90*($B$5+$B$6)/30-IF($B$11&lt;=90,$B$12,0)+L61+M61+N61+O61+P61+Q61</f>
        <v>9967.98415220263</v>
      </c>
      <c r="AA61" s="14" t="n">
        <f aca="false">MIN(R61:X61)</f>
        <v>883.548846284019</v>
      </c>
    </row>
    <row r="62" customFormat="false" ht="15" hidden="false" customHeight="false" outlineLevel="0" collapsed="false">
      <c r="D62" s="2" t="n">
        <v>57</v>
      </c>
      <c r="E62" s="14" t="n">
        <f aca="false">IF(MOD(D62,$B$13)=0,$B$16,0)</f>
        <v>0</v>
      </c>
      <c r="F62" s="14" t="n">
        <f aca="false">$B$5/30</f>
        <v>133.333333333333</v>
      </c>
      <c r="G62" s="14" t="n">
        <f aca="false">$B$6/30</f>
        <v>30</v>
      </c>
      <c r="H62" s="14" t="n">
        <f aca="false">IF(D62=$B$11,$B$12,0)</f>
        <v>0</v>
      </c>
      <c r="I62" s="14" t="n">
        <f aca="false">I61+E62-F62-G62-H62</f>
        <v>6761.10412236558</v>
      </c>
      <c r="K62" s="2" t="n">
        <v>57</v>
      </c>
      <c r="L62" s="14" t="n">
        <f aca="true">$B$16+NORMINV(RAND(),0,SQRT($B$13*($B$7+$B$8^2))*$B$9*(1-$B$10))</f>
        <v>4040.70692992569</v>
      </c>
      <c r="M62" s="14" t="n">
        <f aca="true">$B$16+NORMINV(RAND(),0,SQRT($B$13*($B$7+$B$8^2))*$B$9*(1-$B$10))</f>
        <v>3608.49645060336</v>
      </c>
      <c r="N62" s="14" t="n">
        <f aca="true">$B$16+NORMINV(RAND(),0,SQRT($B$13*($B$7+$B$8^2))*$B$9*(1-$B$10))</f>
        <v>3969.967252265</v>
      </c>
      <c r="O62" s="14" t="n">
        <f aca="true">$B$16+NORMINV(RAND(),0,SQRT($B$13*($B$7+$B$8^2))*$B$9*(1-$B$10))</f>
        <v>4033.3324042902</v>
      </c>
      <c r="P62" s="14" t="n">
        <f aca="true">$B$16+NORMINV(RAND(),0,SQRT($B$13*($B$7+$B$8^2))*$B$9*(1-$B$10))</f>
        <v>3933.83441506146</v>
      </c>
      <c r="Q62" s="14" t="n">
        <f aca="true">$B$16+NORMINV(RAND(),0,SQRT($B$13*($B$7+$B$8^2))*$B$9*(1-$B$10))</f>
        <v>4180.16966615816</v>
      </c>
      <c r="R62" s="14" t="n">
        <f aca="false">$B$4-13*($B$5+$B$6)/30-IF($B$11&lt;=13,$B$12,0)+0</f>
        <v>8876.66666666667</v>
      </c>
      <c r="S62" s="14" t="n">
        <f aca="false">$B$4-27*($B$5+$B$6)/30-IF($B$11&lt;=27,$B$12,0)+L62</f>
        <v>10630.7069299257</v>
      </c>
      <c r="T62" s="14" t="n">
        <f aca="false">$B$4-41*($B$5+$B$6)/30-IF($B$11&lt;=41,$B$12,0)+L62+M62</f>
        <v>767.736713862386</v>
      </c>
      <c r="U62" s="14" t="n">
        <f aca="false">$B$4-55*($B$5+$B$6)/30-IF($B$11&lt;=55,$B$12,0)+L62+M62+N62</f>
        <v>2451.03729946072</v>
      </c>
      <c r="V62" s="14" t="n">
        <f aca="false">$B$4-69*($B$5+$B$6)/30-IF($B$11&lt;=69,$B$12,0)+L62+M62+N62+O62</f>
        <v>4197.70303708426</v>
      </c>
      <c r="W62" s="14" t="n">
        <f aca="false">$B$4-83*($B$5+$B$6)/30-IF($B$11&lt;=83,$B$12,0)+L62+M62+N62+O62+P62</f>
        <v>5844.87078547905</v>
      </c>
      <c r="X62" s="14" t="n">
        <f aca="false">$B$4-90*($B$5+$B$6)/30-IF($B$11&lt;=90,$B$12,0)+L62+M62+N62+O62+P62+Q62</f>
        <v>8881.70711830388</v>
      </c>
      <c r="AA62" s="14" t="n">
        <f aca="false">MIN(R62:X62)</f>
        <v>767.736713862386</v>
      </c>
    </row>
    <row r="63" customFormat="false" ht="15" hidden="false" customHeight="false" outlineLevel="0" collapsed="false">
      <c r="D63" s="2" t="n">
        <v>58</v>
      </c>
      <c r="E63" s="14" t="n">
        <f aca="false">IF(MOD(D63,$B$13)=0,$B$16,0)</f>
        <v>0</v>
      </c>
      <c r="F63" s="14" t="n">
        <f aca="false">$B$5/30</f>
        <v>133.333333333333</v>
      </c>
      <c r="G63" s="14" t="n">
        <f aca="false">$B$6/30</f>
        <v>30</v>
      </c>
      <c r="H63" s="14" t="n">
        <f aca="false">IF(D63=$B$11,$B$12,0)</f>
        <v>0</v>
      </c>
      <c r="I63" s="14" t="n">
        <f aca="false">I62+E63-F63-G63-H63</f>
        <v>6597.77078903224</v>
      </c>
      <c r="K63" s="2" t="n">
        <v>58</v>
      </c>
      <c r="L63" s="14" t="n">
        <f aca="true">$B$16+NORMINV(RAND(),0,SQRT($B$13*($B$7+$B$8^2))*$B$9*(1-$B$10))</f>
        <v>4342.29903086409</v>
      </c>
      <c r="M63" s="14" t="n">
        <f aca="true">$B$16+NORMINV(RAND(),0,SQRT($B$13*($B$7+$B$8^2))*$B$9*(1-$B$10))</f>
        <v>4077.48159284709</v>
      </c>
      <c r="N63" s="14" t="n">
        <f aca="true">$B$16+NORMINV(RAND(),0,SQRT($B$13*($B$7+$B$8^2))*$B$9*(1-$B$10))</f>
        <v>3638.18639084456</v>
      </c>
      <c r="O63" s="14" t="n">
        <f aca="true">$B$16+NORMINV(RAND(),0,SQRT($B$13*($B$7+$B$8^2))*$B$9*(1-$B$10))</f>
        <v>3639.29795470358</v>
      </c>
      <c r="P63" s="14" t="n">
        <f aca="true">$B$16+NORMINV(RAND(),0,SQRT($B$13*($B$7+$B$8^2))*$B$9*(1-$B$10))</f>
        <v>4344.74026340293</v>
      </c>
      <c r="Q63" s="14" t="n">
        <f aca="true">$B$16+NORMINV(RAND(),0,SQRT($B$13*($B$7+$B$8^2))*$B$9*(1-$B$10))</f>
        <v>4463.7518408562</v>
      </c>
      <c r="R63" s="14" t="n">
        <f aca="false">$B$4-13*($B$5+$B$6)/30-IF($B$11&lt;=13,$B$12,0)+0</f>
        <v>8876.66666666667</v>
      </c>
      <c r="S63" s="14" t="n">
        <f aca="false">$B$4-27*($B$5+$B$6)/30-IF($B$11&lt;=27,$B$12,0)+L63</f>
        <v>10932.2990308641</v>
      </c>
      <c r="T63" s="14" t="n">
        <f aca="false">$B$4-41*($B$5+$B$6)/30-IF($B$11&lt;=41,$B$12,0)+L63+M63</f>
        <v>1538.31395704452</v>
      </c>
      <c r="U63" s="14" t="n">
        <f aca="false">$B$4-55*($B$5+$B$6)/30-IF($B$11&lt;=55,$B$12,0)+L63+M63+N63</f>
        <v>2889.83368122241</v>
      </c>
      <c r="V63" s="14" t="n">
        <f aca="false">$B$4-69*($B$5+$B$6)/30-IF($B$11&lt;=69,$B$12,0)+L63+M63+N63+O63</f>
        <v>4242.46496925933</v>
      </c>
      <c r="W63" s="14" t="n">
        <f aca="false">$B$4-83*($B$5+$B$6)/30-IF($B$11&lt;=83,$B$12,0)+L63+M63+N63+O63+P63</f>
        <v>6300.53856599559</v>
      </c>
      <c r="X63" s="14" t="n">
        <f aca="false">$B$4-90*($B$5+$B$6)/30-IF($B$11&lt;=90,$B$12,0)+L63+M63+N63+O63+P63+Q63</f>
        <v>9620.95707351845</v>
      </c>
      <c r="AA63" s="14" t="n">
        <f aca="false">MIN(R63:X63)</f>
        <v>1538.31395704452</v>
      </c>
    </row>
    <row r="64" customFormat="false" ht="15" hidden="false" customHeight="false" outlineLevel="0" collapsed="false">
      <c r="D64" s="2" t="n">
        <v>59</v>
      </c>
      <c r="E64" s="14" t="n">
        <f aca="false">IF(MOD(D64,$B$13)=0,$B$16,0)</f>
        <v>0</v>
      </c>
      <c r="F64" s="14" t="n">
        <f aca="false">$B$5/30</f>
        <v>133.333333333333</v>
      </c>
      <c r="G64" s="14" t="n">
        <f aca="false">$B$6/30</f>
        <v>30</v>
      </c>
      <c r="H64" s="14" t="n">
        <f aca="false">IF(D64=$B$11,$B$12,0)</f>
        <v>0</v>
      </c>
      <c r="I64" s="14" t="n">
        <f aca="false">I63+E64-F64-G64-H64</f>
        <v>6434.43745569891</v>
      </c>
      <c r="K64" s="2" t="n">
        <v>59</v>
      </c>
      <c r="L64" s="14" t="n">
        <f aca="true">$B$16+NORMINV(RAND(),0,SQRT($B$13*($B$7+$B$8^2))*$B$9*(1-$B$10))</f>
        <v>4666.63129201748</v>
      </c>
      <c r="M64" s="14" t="n">
        <f aca="true">$B$16+NORMINV(RAND(),0,SQRT($B$13*($B$7+$B$8^2))*$B$9*(1-$B$10))</f>
        <v>4944.85291249804</v>
      </c>
      <c r="N64" s="14" t="n">
        <f aca="true">$B$16+NORMINV(RAND(),0,SQRT($B$13*($B$7+$B$8^2))*$B$9*(1-$B$10))</f>
        <v>4444.25924816422</v>
      </c>
      <c r="O64" s="14" t="n">
        <f aca="true">$B$16+NORMINV(RAND(),0,SQRT($B$13*($B$7+$B$8^2))*$B$9*(1-$B$10))</f>
        <v>4064.07195856966</v>
      </c>
      <c r="P64" s="14" t="n">
        <f aca="true">$B$16+NORMINV(RAND(),0,SQRT($B$13*($B$7+$B$8^2))*$B$9*(1-$B$10))</f>
        <v>4165.54651492069</v>
      </c>
      <c r="Q64" s="14" t="n">
        <f aca="true">$B$16+NORMINV(RAND(),0,SQRT($B$13*($B$7+$B$8^2))*$B$9*(1-$B$10))</f>
        <v>4023.18227400647</v>
      </c>
      <c r="R64" s="14" t="n">
        <f aca="false">$B$4-13*($B$5+$B$6)/30-IF($B$11&lt;=13,$B$12,0)+0</f>
        <v>8876.66666666667</v>
      </c>
      <c r="S64" s="14" t="n">
        <f aca="false">$B$4-27*($B$5+$B$6)/30-IF($B$11&lt;=27,$B$12,0)+L64</f>
        <v>11256.6312920175</v>
      </c>
      <c r="T64" s="14" t="n">
        <f aca="false">$B$4-41*($B$5+$B$6)/30-IF($B$11&lt;=41,$B$12,0)+L64+M64</f>
        <v>2730.01753784884</v>
      </c>
      <c r="U64" s="14" t="n">
        <f aca="false">$B$4-55*($B$5+$B$6)/30-IF($B$11&lt;=55,$B$12,0)+L64+M64+N64</f>
        <v>4887.6101193464</v>
      </c>
      <c r="V64" s="14" t="n">
        <f aca="false">$B$4-69*($B$5+$B$6)/30-IF($B$11&lt;=69,$B$12,0)+L64+M64+N64+O64</f>
        <v>6665.01541124939</v>
      </c>
      <c r="W64" s="14" t="n">
        <f aca="false">$B$4-83*($B$5+$B$6)/30-IF($B$11&lt;=83,$B$12,0)+L64+M64+N64+O64+P64</f>
        <v>8543.89525950342</v>
      </c>
      <c r="X64" s="14" t="n">
        <f aca="false">$B$4-90*($B$5+$B$6)/30-IF($B$11&lt;=90,$B$12,0)+L64+M64+N64+O64+P64+Q64</f>
        <v>11423.7442001766</v>
      </c>
      <c r="AA64" s="14" t="n">
        <f aca="false">MIN(R64:X64)</f>
        <v>2730.01753784884</v>
      </c>
    </row>
    <row r="65" customFormat="false" ht="15" hidden="false" customHeight="false" outlineLevel="0" collapsed="false">
      <c r="D65" s="2" t="n">
        <v>60</v>
      </c>
      <c r="E65" s="14" t="n">
        <f aca="false">IF(MOD(D65,$B$13)=0,$B$16,0)</f>
        <v>0</v>
      </c>
      <c r="F65" s="14" t="n">
        <f aca="false">$B$5/30</f>
        <v>133.333333333333</v>
      </c>
      <c r="G65" s="14" t="n">
        <f aca="false">$B$6/30</f>
        <v>30</v>
      </c>
      <c r="H65" s="14" t="n">
        <f aca="false">IF(D65=$B$11,$B$12,0)</f>
        <v>0</v>
      </c>
      <c r="I65" s="14" t="n">
        <f aca="false">I64+E65-F65-G65-H65</f>
        <v>6271.10412236558</v>
      </c>
      <c r="K65" s="2" t="n">
        <v>60</v>
      </c>
      <c r="L65" s="14" t="n">
        <f aca="true">$B$16+NORMINV(RAND(),0,SQRT($B$13*($B$7+$B$8^2))*$B$9*(1-$B$10))</f>
        <v>3445.60227455588</v>
      </c>
      <c r="M65" s="14" t="n">
        <f aca="true">$B$16+NORMINV(RAND(),0,SQRT($B$13*($B$7+$B$8^2))*$B$9*(1-$B$10))</f>
        <v>3620.87877022369</v>
      </c>
      <c r="N65" s="14" t="n">
        <f aca="true">$B$16+NORMINV(RAND(),0,SQRT($B$13*($B$7+$B$8^2))*$B$9*(1-$B$10))</f>
        <v>4410.32259280351</v>
      </c>
      <c r="O65" s="14" t="n">
        <f aca="true">$B$16+NORMINV(RAND(),0,SQRT($B$13*($B$7+$B$8^2))*$B$9*(1-$B$10))</f>
        <v>3849.35310865659</v>
      </c>
      <c r="P65" s="14" t="n">
        <f aca="true">$B$16+NORMINV(RAND(),0,SQRT($B$13*($B$7+$B$8^2))*$B$9*(1-$B$10))</f>
        <v>4245.73388778099</v>
      </c>
      <c r="Q65" s="14" t="n">
        <f aca="true">$B$16+NORMINV(RAND(),0,SQRT($B$13*($B$7+$B$8^2))*$B$9*(1-$B$10))</f>
        <v>4063.21824371233</v>
      </c>
      <c r="R65" s="14" t="n">
        <f aca="false">$B$4-13*($B$5+$B$6)/30-IF($B$11&lt;=13,$B$12,0)+0</f>
        <v>8876.66666666667</v>
      </c>
      <c r="S65" s="14" t="n">
        <f aca="false">$B$4-27*($B$5+$B$6)/30-IF($B$11&lt;=27,$B$12,0)+L65</f>
        <v>10035.6022745559</v>
      </c>
      <c r="T65" s="14" t="n">
        <f aca="false">$B$4-41*($B$5+$B$6)/30-IF($B$11&lt;=41,$B$12,0)+L65+M65</f>
        <v>185.014378112895</v>
      </c>
      <c r="U65" s="14" t="n">
        <f aca="false">$B$4-55*($B$5+$B$6)/30-IF($B$11&lt;=55,$B$12,0)+L65+M65+N65</f>
        <v>2308.67030424974</v>
      </c>
      <c r="V65" s="14" t="n">
        <f aca="false">$B$4-69*($B$5+$B$6)/30-IF($B$11&lt;=69,$B$12,0)+L65+M65+N65+O65</f>
        <v>3871.35674623966</v>
      </c>
      <c r="W65" s="14" t="n">
        <f aca="false">$B$4-83*($B$5+$B$6)/30-IF($B$11&lt;=83,$B$12,0)+L65+M65+N65+O65+P65</f>
        <v>5830.42396735398</v>
      </c>
      <c r="X65" s="14" t="n">
        <f aca="false">$B$4-90*($B$5+$B$6)/30-IF($B$11&lt;=90,$B$12,0)+L65+M65+N65+O65+P65+Q65</f>
        <v>8750.30887773297</v>
      </c>
      <c r="AA65" s="14" t="n">
        <f aca="false">MIN(R65:X65)</f>
        <v>185.014378112895</v>
      </c>
    </row>
    <row r="66" customFormat="false" ht="15" hidden="false" customHeight="false" outlineLevel="0" collapsed="false">
      <c r="D66" s="2" t="n">
        <v>61</v>
      </c>
      <c r="E66" s="14" t="n">
        <f aca="false">IF(MOD(D66,$B$13)=0,$B$16,0)</f>
        <v>0</v>
      </c>
      <c r="F66" s="14" t="n">
        <f aca="false">$B$5/30</f>
        <v>133.333333333333</v>
      </c>
      <c r="G66" s="14" t="n">
        <f aca="false">$B$6/30</f>
        <v>30</v>
      </c>
      <c r="H66" s="14" t="n">
        <f aca="false">IF(D66=$B$11,$B$12,0)</f>
        <v>0</v>
      </c>
      <c r="I66" s="14" t="n">
        <f aca="false">I65+E66-F66-G66-H66</f>
        <v>6107.77078903225</v>
      </c>
      <c r="K66" s="2" t="n">
        <v>61</v>
      </c>
      <c r="L66" s="14" t="n">
        <f aca="true">$B$16+NORMINV(RAND(),0,SQRT($B$13*($B$7+$B$8^2))*$B$9*(1-$B$10))</f>
        <v>4334.89852970944</v>
      </c>
      <c r="M66" s="14" t="n">
        <f aca="true">$B$16+NORMINV(RAND(),0,SQRT($B$13*($B$7+$B$8^2))*$B$9*(1-$B$10))</f>
        <v>3748.22465169329</v>
      </c>
      <c r="N66" s="14" t="n">
        <f aca="true">$B$16+NORMINV(RAND(),0,SQRT($B$13*($B$7+$B$8^2))*$B$9*(1-$B$10))</f>
        <v>3967.59552050447</v>
      </c>
      <c r="O66" s="14" t="n">
        <f aca="true">$B$16+NORMINV(RAND(),0,SQRT($B$13*($B$7+$B$8^2))*$B$9*(1-$B$10))</f>
        <v>3035.00596344087</v>
      </c>
      <c r="P66" s="14" t="n">
        <f aca="true">$B$16+NORMINV(RAND(),0,SQRT($B$13*($B$7+$B$8^2))*$B$9*(1-$B$10))</f>
        <v>4388.65338481069</v>
      </c>
      <c r="Q66" s="14" t="n">
        <f aca="true">$B$16+NORMINV(RAND(),0,SQRT($B$13*($B$7+$B$8^2))*$B$9*(1-$B$10))</f>
        <v>3897.53058948191</v>
      </c>
      <c r="R66" s="14" t="n">
        <f aca="false">$B$4-13*($B$5+$B$6)/30-IF($B$11&lt;=13,$B$12,0)+0</f>
        <v>8876.66666666667</v>
      </c>
      <c r="S66" s="14" t="n">
        <f aca="false">$B$4-27*($B$5+$B$6)/30-IF($B$11&lt;=27,$B$12,0)+L66</f>
        <v>10924.8985297094</v>
      </c>
      <c r="T66" s="14" t="n">
        <f aca="false">$B$4-41*($B$5+$B$6)/30-IF($B$11&lt;=41,$B$12,0)+L66+M66</f>
        <v>1201.65651473607</v>
      </c>
      <c r="U66" s="14" t="n">
        <f aca="false">$B$4-55*($B$5+$B$6)/30-IF($B$11&lt;=55,$B$12,0)+L66+M66+N66</f>
        <v>2882.58536857387</v>
      </c>
      <c r="V66" s="14" t="n">
        <f aca="false">$B$4-69*($B$5+$B$6)/30-IF($B$11&lt;=69,$B$12,0)+L66+M66+N66+O66</f>
        <v>3630.92466534807</v>
      </c>
      <c r="W66" s="14" t="n">
        <f aca="false">$B$4-83*($B$5+$B$6)/30-IF($B$11&lt;=83,$B$12,0)+L66+M66+N66+O66+P66</f>
        <v>5732.9113834921</v>
      </c>
      <c r="X66" s="14" t="n">
        <f aca="false">$B$4-90*($B$5+$B$6)/30-IF($B$11&lt;=90,$B$12,0)+L66+M66+N66+O66+P66+Q66</f>
        <v>8487.10863964068</v>
      </c>
      <c r="AA66" s="14" t="n">
        <f aca="false">MIN(R66:X66)</f>
        <v>1201.65651473607</v>
      </c>
    </row>
    <row r="67" customFormat="false" ht="15" hidden="false" customHeight="false" outlineLevel="0" collapsed="false">
      <c r="D67" s="2" t="n">
        <v>62</v>
      </c>
      <c r="E67" s="14" t="n">
        <f aca="false">IF(MOD(D67,$B$13)=0,$B$16,0)</f>
        <v>0</v>
      </c>
      <c r="F67" s="14" t="n">
        <f aca="false">$B$5/30</f>
        <v>133.333333333333</v>
      </c>
      <c r="G67" s="14" t="n">
        <f aca="false">$B$6/30</f>
        <v>30</v>
      </c>
      <c r="H67" s="14" t="n">
        <f aca="false">IF(D67=$B$11,$B$12,0)</f>
        <v>0</v>
      </c>
      <c r="I67" s="14" t="n">
        <f aca="false">I66+E67-F67-G67-H67</f>
        <v>5944.43745569891</v>
      </c>
      <c r="K67" s="2" t="n">
        <v>62</v>
      </c>
      <c r="L67" s="14" t="n">
        <f aca="true">$B$16+NORMINV(RAND(),0,SQRT($B$13*($B$7+$B$8^2))*$B$9*(1-$B$10))</f>
        <v>3556.4488260867</v>
      </c>
      <c r="M67" s="14" t="n">
        <f aca="true">$B$16+NORMINV(RAND(),0,SQRT($B$13*($B$7+$B$8^2))*$B$9*(1-$B$10))</f>
        <v>4087.78817859364</v>
      </c>
      <c r="N67" s="14" t="n">
        <f aca="true">$B$16+NORMINV(RAND(),0,SQRT($B$13*($B$7+$B$8^2))*$B$9*(1-$B$10))</f>
        <v>3597.13289033445</v>
      </c>
      <c r="O67" s="14" t="n">
        <f aca="true">$B$16+NORMINV(RAND(),0,SQRT($B$13*($B$7+$B$8^2))*$B$9*(1-$B$10))</f>
        <v>4022.32929595108</v>
      </c>
      <c r="P67" s="14" t="n">
        <f aca="true">$B$16+NORMINV(RAND(),0,SQRT($B$13*($B$7+$B$8^2))*$B$9*(1-$B$10))</f>
        <v>4627.31772763914</v>
      </c>
      <c r="Q67" s="14" t="n">
        <f aca="true">$B$16+NORMINV(RAND(),0,SQRT($B$13*($B$7+$B$8^2))*$B$9*(1-$B$10))</f>
        <v>4150.16360784352</v>
      </c>
      <c r="R67" s="14" t="n">
        <f aca="false">$B$4-13*($B$5+$B$6)/30-IF($B$11&lt;=13,$B$12,0)+0</f>
        <v>8876.66666666667</v>
      </c>
      <c r="S67" s="14" t="n">
        <f aca="false">$B$4-27*($B$5+$B$6)/30-IF($B$11&lt;=27,$B$12,0)+L67</f>
        <v>10146.4488260867</v>
      </c>
      <c r="T67" s="14" t="n">
        <f aca="false">$B$4-41*($B$5+$B$6)/30-IF($B$11&lt;=41,$B$12,0)+L67+M67</f>
        <v>762.770338013664</v>
      </c>
      <c r="U67" s="14" t="n">
        <f aca="false">$B$4-55*($B$5+$B$6)/30-IF($B$11&lt;=55,$B$12,0)+L67+M67+N67</f>
        <v>2073.23656168145</v>
      </c>
      <c r="V67" s="14" t="n">
        <f aca="false">$B$4-69*($B$5+$B$6)/30-IF($B$11&lt;=69,$B$12,0)+L67+M67+N67+O67</f>
        <v>3808.89919096587</v>
      </c>
      <c r="W67" s="14" t="n">
        <f aca="false">$B$4-83*($B$5+$B$6)/30-IF($B$11&lt;=83,$B$12,0)+L67+M67+N67+O67+P67</f>
        <v>6149.55025193834</v>
      </c>
      <c r="X67" s="14" t="n">
        <f aca="false">$B$4-90*($B$5+$B$6)/30-IF($B$11&lt;=90,$B$12,0)+L67+M67+N67+O67+P67+Q67</f>
        <v>9156.38052644853</v>
      </c>
      <c r="AA67" s="14" t="n">
        <f aca="false">MIN(R67:X67)</f>
        <v>762.770338013664</v>
      </c>
    </row>
    <row r="68" customFormat="false" ht="15" hidden="false" customHeight="false" outlineLevel="0" collapsed="false">
      <c r="D68" s="2" t="n">
        <v>63</v>
      </c>
      <c r="E68" s="14" t="n">
        <f aca="false">IF(MOD(D68,$B$13)=0,$B$16,0)</f>
        <v>0</v>
      </c>
      <c r="F68" s="14" t="n">
        <f aca="false">$B$5/30</f>
        <v>133.333333333333</v>
      </c>
      <c r="G68" s="14" t="n">
        <f aca="false">$B$6/30</f>
        <v>30</v>
      </c>
      <c r="H68" s="14" t="n">
        <f aca="false">IF(D68=$B$11,$B$12,0)</f>
        <v>0</v>
      </c>
      <c r="I68" s="14" t="n">
        <f aca="false">I67+E68-F68-G68-H68</f>
        <v>5781.10412236558</v>
      </c>
      <c r="K68" s="2" t="n">
        <v>63</v>
      </c>
      <c r="L68" s="14" t="n">
        <f aca="true">$B$16+NORMINV(RAND(),0,SQRT($B$13*($B$7+$B$8^2))*$B$9*(1-$B$10))</f>
        <v>4150.60993214106</v>
      </c>
      <c r="M68" s="14" t="n">
        <f aca="true">$B$16+NORMINV(RAND(),0,SQRT($B$13*($B$7+$B$8^2))*$B$9*(1-$B$10))</f>
        <v>4395.58258819576</v>
      </c>
      <c r="N68" s="14" t="n">
        <f aca="true">$B$16+NORMINV(RAND(),0,SQRT($B$13*($B$7+$B$8^2))*$B$9*(1-$B$10))</f>
        <v>3972.7990679693</v>
      </c>
      <c r="O68" s="14" t="n">
        <f aca="true">$B$16+NORMINV(RAND(),0,SQRT($B$13*($B$7+$B$8^2))*$B$9*(1-$B$10))</f>
        <v>4317.89797837963</v>
      </c>
      <c r="P68" s="14" t="n">
        <f aca="true">$B$16+NORMINV(RAND(),0,SQRT($B$13*($B$7+$B$8^2))*$B$9*(1-$B$10))</f>
        <v>3914.75866736291</v>
      </c>
      <c r="Q68" s="14" t="n">
        <f aca="true">$B$16+NORMINV(RAND(),0,SQRT($B$13*($B$7+$B$8^2))*$B$9*(1-$B$10))</f>
        <v>4003.55141699736</v>
      </c>
      <c r="R68" s="14" t="n">
        <f aca="false">$B$4-13*($B$5+$B$6)/30-IF($B$11&lt;=13,$B$12,0)+0</f>
        <v>8876.66666666667</v>
      </c>
      <c r="S68" s="14" t="n">
        <f aca="false">$B$4-27*($B$5+$B$6)/30-IF($B$11&lt;=27,$B$12,0)+L68</f>
        <v>10740.6099321411</v>
      </c>
      <c r="T68" s="14" t="n">
        <f aca="false">$B$4-41*($B$5+$B$6)/30-IF($B$11&lt;=41,$B$12,0)+L68+M68</f>
        <v>1664.72585367014</v>
      </c>
      <c r="U68" s="14" t="n">
        <f aca="false">$B$4-55*($B$5+$B$6)/30-IF($B$11&lt;=55,$B$12,0)+L68+M68+N68</f>
        <v>3350.85825497278</v>
      </c>
      <c r="V68" s="14" t="n">
        <f aca="false">$B$4-69*($B$5+$B$6)/30-IF($B$11&lt;=69,$B$12,0)+L68+M68+N68+O68</f>
        <v>5382.08956668574</v>
      </c>
      <c r="W68" s="14" t="n">
        <f aca="false">$B$4-83*($B$5+$B$6)/30-IF($B$11&lt;=83,$B$12,0)+L68+M68+N68+O68+P68</f>
        <v>7010.18156738198</v>
      </c>
      <c r="X68" s="14" t="n">
        <f aca="false">$B$4-90*($B$5+$B$6)/30-IF($B$11&lt;=90,$B$12,0)+L68+M68+N68+O68+P68+Q68</f>
        <v>9870.39965104601</v>
      </c>
      <c r="AA68" s="14" t="n">
        <f aca="false">MIN(R68:X68)</f>
        <v>1664.72585367014</v>
      </c>
    </row>
    <row r="69" customFormat="false" ht="15" hidden="false" customHeight="false" outlineLevel="0" collapsed="false">
      <c r="D69" s="2" t="n">
        <v>64</v>
      </c>
      <c r="E69" s="14" t="n">
        <f aca="false">IF(MOD(D69,$B$13)=0,$B$16,0)</f>
        <v>0</v>
      </c>
      <c r="F69" s="14" t="n">
        <f aca="false">$B$5/30</f>
        <v>133.333333333333</v>
      </c>
      <c r="G69" s="14" t="n">
        <f aca="false">$B$6/30</f>
        <v>30</v>
      </c>
      <c r="H69" s="14" t="n">
        <f aca="false">IF(D69=$B$11,$B$12,0)</f>
        <v>0</v>
      </c>
      <c r="I69" s="14" t="n">
        <f aca="false">I68+E69-F69-G69-H69</f>
        <v>5617.77078903225</v>
      </c>
      <c r="K69" s="2" t="n">
        <v>64</v>
      </c>
      <c r="L69" s="14" t="n">
        <f aca="true">$B$16+NORMINV(RAND(),0,SQRT($B$13*($B$7+$B$8^2))*$B$9*(1-$B$10))</f>
        <v>3996.18700009735</v>
      </c>
      <c r="M69" s="14" t="n">
        <f aca="true">$B$16+NORMINV(RAND(),0,SQRT($B$13*($B$7+$B$8^2))*$B$9*(1-$B$10))</f>
        <v>3977.86232629583</v>
      </c>
      <c r="N69" s="14" t="n">
        <f aca="true">$B$16+NORMINV(RAND(),0,SQRT($B$13*($B$7+$B$8^2))*$B$9*(1-$B$10))</f>
        <v>3792.72409674882</v>
      </c>
      <c r="O69" s="14" t="n">
        <f aca="true">$B$16+NORMINV(RAND(),0,SQRT($B$13*($B$7+$B$8^2))*$B$9*(1-$B$10))</f>
        <v>4104.96224809928</v>
      </c>
      <c r="P69" s="14" t="n">
        <f aca="true">$B$16+NORMINV(RAND(),0,SQRT($B$13*($B$7+$B$8^2))*$B$9*(1-$B$10))</f>
        <v>3639.70448651642</v>
      </c>
      <c r="Q69" s="14" t="n">
        <f aca="true">$B$16+NORMINV(RAND(),0,SQRT($B$13*($B$7+$B$8^2))*$B$9*(1-$B$10))</f>
        <v>4409.01162168507</v>
      </c>
      <c r="R69" s="14" t="n">
        <f aca="false">$B$4-13*($B$5+$B$6)/30-IF($B$11&lt;=13,$B$12,0)+0</f>
        <v>8876.66666666667</v>
      </c>
      <c r="S69" s="14" t="n">
        <f aca="false">$B$4-27*($B$5+$B$6)/30-IF($B$11&lt;=27,$B$12,0)+L69</f>
        <v>10586.1870000973</v>
      </c>
      <c r="T69" s="14" t="n">
        <f aca="false">$B$4-41*($B$5+$B$6)/30-IF($B$11&lt;=41,$B$12,0)+L69+M69</f>
        <v>1092.58265972651</v>
      </c>
      <c r="U69" s="14" t="n">
        <f aca="false">$B$4-55*($B$5+$B$6)/30-IF($B$11&lt;=55,$B$12,0)+L69+M69+N69</f>
        <v>2598.64008980866</v>
      </c>
      <c r="V69" s="14" t="n">
        <f aca="false">$B$4-69*($B$5+$B$6)/30-IF($B$11&lt;=69,$B$12,0)+L69+M69+N69+O69</f>
        <v>4416.93567124128</v>
      </c>
      <c r="W69" s="14" t="n">
        <f aca="false">$B$4-83*($B$5+$B$6)/30-IF($B$11&lt;=83,$B$12,0)+L69+M69+N69+O69+P69</f>
        <v>5769.97349109103</v>
      </c>
      <c r="X69" s="14" t="n">
        <f aca="false">$B$4-90*($B$5+$B$6)/30-IF($B$11&lt;=90,$B$12,0)+L69+M69+N69+O69+P69+Q69</f>
        <v>9035.65177944276</v>
      </c>
      <c r="AA69" s="14" t="n">
        <f aca="false">MIN(R69:X69)</f>
        <v>1092.58265972651</v>
      </c>
    </row>
    <row r="70" customFormat="false" ht="15" hidden="false" customHeight="false" outlineLevel="0" collapsed="false">
      <c r="D70" s="2" t="n">
        <v>65</v>
      </c>
      <c r="E70" s="14" t="n">
        <f aca="false">IF(MOD(D70,$B$13)=0,$B$16,0)</f>
        <v>0</v>
      </c>
      <c r="F70" s="14" t="n">
        <f aca="false">$B$5/30</f>
        <v>133.333333333333</v>
      </c>
      <c r="G70" s="14" t="n">
        <f aca="false">$B$6/30</f>
        <v>30</v>
      </c>
      <c r="H70" s="14" t="n">
        <f aca="false">IF(D70=$B$11,$B$12,0)</f>
        <v>0</v>
      </c>
      <c r="I70" s="14" t="n">
        <f aca="false">I69+E70-F70-G70-H70</f>
        <v>5454.43745569891</v>
      </c>
      <c r="K70" s="2" t="n">
        <v>65</v>
      </c>
      <c r="L70" s="14" t="n">
        <f aca="true">$B$16+NORMINV(RAND(),0,SQRT($B$13*($B$7+$B$8^2))*$B$9*(1-$B$10))</f>
        <v>4013.35579747306</v>
      </c>
      <c r="M70" s="14" t="n">
        <f aca="true">$B$16+NORMINV(RAND(),0,SQRT($B$13*($B$7+$B$8^2))*$B$9*(1-$B$10))</f>
        <v>4675.79130218294</v>
      </c>
      <c r="N70" s="14" t="n">
        <f aca="true">$B$16+NORMINV(RAND(),0,SQRT($B$13*($B$7+$B$8^2))*$B$9*(1-$B$10))</f>
        <v>4186.5826006038</v>
      </c>
      <c r="O70" s="14" t="n">
        <f aca="true">$B$16+NORMINV(RAND(),0,SQRT($B$13*($B$7+$B$8^2))*$B$9*(1-$B$10))</f>
        <v>4544.32065958411</v>
      </c>
      <c r="P70" s="14" t="n">
        <f aca="true">$B$16+NORMINV(RAND(),0,SQRT($B$13*($B$7+$B$8^2))*$B$9*(1-$B$10))</f>
        <v>3987.19988743577</v>
      </c>
      <c r="Q70" s="14" t="n">
        <f aca="true">$B$16+NORMINV(RAND(),0,SQRT($B$13*($B$7+$B$8^2))*$B$9*(1-$B$10))</f>
        <v>3637.9489664928</v>
      </c>
      <c r="R70" s="14" t="n">
        <f aca="false">$B$4-13*($B$5+$B$6)/30-IF($B$11&lt;=13,$B$12,0)+0</f>
        <v>8876.66666666667</v>
      </c>
      <c r="S70" s="14" t="n">
        <f aca="false">$B$4-27*($B$5+$B$6)/30-IF($B$11&lt;=27,$B$12,0)+L70</f>
        <v>10603.3557974731</v>
      </c>
      <c r="T70" s="14" t="n">
        <f aca="false">$B$4-41*($B$5+$B$6)/30-IF($B$11&lt;=41,$B$12,0)+L70+M70</f>
        <v>1807.68043298933</v>
      </c>
      <c r="U70" s="14" t="n">
        <f aca="false">$B$4-55*($B$5+$B$6)/30-IF($B$11&lt;=55,$B$12,0)+L70+M70+N70</f>
        <v>3707.59636692647</v>
      </c>
      <c r="V70" s="14" t="n">
        <f aca="false">$B$4-69*($B$5+$B$6)/30-IF($B$11&lt;=69,$B$12,0)+L70+M70+N70+O70</f>
        <v>5965.25035984391</v>
      </c>
      <c r="W70" s="14" t="n">
        <f aca="false">$B$4-83*($B$5+$B$6)/30-IF($B$11&lt;=83,$B$12,0)+L70+M70+N70+O70+P70</f>
        <v>7665.78358061302</v>
      </c>
      <c r="X70" s="14" t="n">
        <f aca="false">$B$4-90*($B$5+$B$6)/30-IF($B$11&lt;=90,$B$12,0)+L70+M70+N70+O70+P70+Q70</f>
        <v>10160.3992137725</v>
      </c>
      <c r="AA70" s="14" t="n">
        <f aca="false">MIN(R70:X70)</f>
        <v>1807.68043298933</v>
      </c>
    </row>
    <row r="71" customFormat="false" ht="15" hidden="false" customHeight="false" outlineLevel="0" collapsed="false">
      <c r="D71" s="2" t="n">
        <v>66</v>
      </c>
      <c r="E71" s="14" t="n">
        <f aca="false">IF(MOD(D71,$B$13)=0,$B$16,0)</f>
        <v>0</v>
      </c>
      <c r="F71" s="14" t="n">
        <f aca="false">$B$5/30</f>
        <v>133.333333333333</v>
      </c>
      <c r="G71" s="14" t="n">
        <f aca="false">$B$6/30</f>
        <v>30</v>
      </c>
      <c r="H71" s="14" t="n">
        <f aca="false">IF(D71=$B$11,$B$12,0)</f>
        <v>0</v>
      </c>
      <c r="I71" s="14" t="n">
        <f aca="false">I70+E71-F71-G71-H71</f>
        <v>5291.10412236558</v>
      </c>
      <c r="K71" s="2" t="n">
        <v>66</v>
      </c>
      <c r="L71" s="14" t="n">
        <f aca="true">$B$16+NORMINV(RAND(),0,SQRT($B$13*($B$7+$B$8^2))*$B$9*(1-$B$10))</f>
        <v>3614.33628551398</v>
      </c>
      <c r="M71" s="14" t="n">
        <f aca="true">$B$16+NORMINV(RAND(),0,SQRT($B$13*($B$7+$B$8^2))*$B$9*(1-$B$10))</f>
        <v>4483.17037787851</v>
      </c>
      <c r="N71" s="14" t="n">
        <f aca="true">$B$16+NORMINV(RAND(),0,SQRT($B$13*($B$7+$B$8^2))*$B$9*(1-$B$10))</f>
        <v>3699.2525193686</v>
      </c>
      <c r="O71" s="14" t="n">
        <f aca="true">$B$16+NORMINV(RAND(),0,SQRT($B$13*($B$7+$B$8^2))*$B$9*(1-$B$10))</f>
        <v>3464.49407264744</v>
      </c>
      <c r="P71" s="14" t="n">
        <f aca="true">$B$16+NORMINV(RAND(),0,SQRT($B$13*($B$7+$B$8^2))*$B$9*(1-$B$10))</f>
        <v>4809.73683732301</v>
      </c>
      <c r="Q71" s="14" t="n">
        <f aca="true">$B$16+NORMINV(RAND(),0,SQRT($B$13*($B$7+$B$8^2))*$B$9*(1-$B$10))</f>
        <v>4069.62608965655</v>
      </c>
      <c r="R71" s="14" t="n">
        <f aca="false">$B$4-13*($B$5+$B$6)/30-IF($B$11&lt;=13,$B$12,0)+0</f>
        <v>8876.66666666667</v>
      </c>
      <c r="S71" s="14" t="n">
        <f aca="false">$B$4-27*($B$5+$B$6)/30-IF($B$11&lt;=27,$B$12,0)+L71</f>
        <v>10204.336285514</v>
      </c>
      <c r="T71" s="14" t="n">
        <f aca="false">$B$4-41*($B$5+$B$6)/30-IF($B$11&lt;=41,$B$12,0)+L71+M71</f>
        <v>1216.03999672582</v>
      </c>
      <c r="U71" s="14" t="n">
        <f aca="false">$B$4-55*($B$5+$B$6)/30-IF($B$11&lt;=55,$B$12,0)+L71+M71+N71</f>
        <v>2628.62584942775</v>
      </c>
      <c r="V71" s="14" t="n">
        <f aca="false">$B$4-69*($B$5+$B$6)/30-IF($B$11&lt;=69,$B$12,0)+L71+M71+N71+O71</f>
        <v>3806.45325540853</v>
      </c>
      <c r="W71" s="14" t="n">
        <f aca="false">$B$4-83*($B$5+$B$6)/30-IF($B$11&lt;=83,$B$12,0)+L71+M71+N71+O71+P71</f>
        <v>6329.52342606487</v>
      </c>
      <c r="X71" s="14" t="n">
        <f aca="false">$B$4-90*($B$5+$B$6)/30-IF($B$11&lt;=90,$B$12,0)+L71+M71+N71+O71+P71+Q71</f>
        <v>9255.81618238808</v>
      </c>
      <c r="AA71" s="14" t="n">
        <f aca="false">MIN(R71:X71)</f>
        <v>1216.03999672582</v>
      </c>
    </row>
    <row r="72" customFormat="false" ht="15" hidden="false" customHeight="false" outlineLevel="0" collapsed="false">
      <c r="D72" s="2" t="n">
        <v>67</v>
      </c>
      <c r="E72" s="14" t="n">
        <f aca="false">IF(MOD(D72,$B$13)=0,$B$16,0)</f>
        <v>0</v>
      </c>
      <c r="F72" s="14" t="n">
        <f aca="false">$B$5/30</f>
        <v>133.333333333333</v>
      </c>
      <c r="G72" s="14" t="n">
        <f aca="false">$B$6/30</f>
        <v>30</v>
      </c>
      <c r="H72" s="14" t="n">
        <f aca="false">IF(D72=$B$11,$B$12,0)</f>
        <v>0</v>
      </c>
      <c r="I72" s="14" t="n">
        <f aca="false">I71+E72-F72-G72-H72</f>
        <v>5127.77078903225</v>
      </c>
      <c r="K72" s="2" t="n">
        <v>67</v>
      </c>
      <c r="L72" s="14" t="n">
        <f aca="true">$B$16+NORMINV(RAND(),0,SQRT($B$13*($B$7+$B$8^2))*$B$9*(1-$B$10))</f>
        <v>4538.10617269409</v>
      </c>
      <c r="M72" s="14" t="n">
        <f aca="true">$B$16+NORMINV(RAND(),0,SQRT($B$13*($B$7+$B$8^2))*$B$9*(1-$B$10))</f>
        <v>3851.31589858953</v>
      </c>
      <c r="N72" s="14" t="n">
        <f aca="true">$B$16+NORMINV(RAND(),0,SQRT($B$13*($B$7+$B$8^2))*$B$9*(1-$B$10))</f>
        <v>4403.68546894038</v>
      </c>
      <c r="O72" s="14" t="n">
        <f aca="true">$B$16+NORMINV(RAND(),0,SQRT($B$13*($B$7+$B$8^2))*$B$9*(1-$B$10))</f>
        <v>4223.70539663243</v>
      </c>
      <c r="P72" s="14" t="n">
        <f aca="true">$B$16+NORMINV(RAND(),0,SQRT($B$13*($B$7+$B$8^2))*$B$9*(1-$B$10))</f>
        <v>4117.58919124477</v>
      </c>
      <c r="Q72" s="14" t="n">
        <f aca="true">$B$16+NORMINV(RAND(),0,SQRT($B$13*($B$7+$B$8^2))*$B$9*(1-$B$10))</f>
        <v>3706.21238569672</v>
      </c>
      <c r="R72" s="14" t="n">
        <f aca="false">$B$4-13*($B$5+$B$6)/30-IF($B$11&lt;=13,$B$12,0)+0</f>
        <v>8876.66666666667</v>
      </c>
      <c r="S72" s="14" t="n">
        <f aca="false">$B$4-27*($B$5+$B$6)/30-IF($B$11&lt;=27,$B$12,0)+L72</f>
        <v>11128.1061726941</v>
      </c>
      <c r="T72" s="14" t="n">
        <f aca="false">$B$4-41*($B$5+$B$6)/30-IF($B$11&lt;=41,$B$12,0)+L72+M72</f>
        <v>1507.95540461695</v>
      </c>
      <c r="U72" s="14" t="n">
        <f aca="false">$B$4-55*($B$5+$B$6)/30-IF($B$11&lt;=55,$B$12,0)+L72+M72+N72</f>
        <v>3624.97420689066</v>
      </c>
      <c r="V72" s="14" t="n">
        <f aca="false">$B$4-69*($B$5+$B$6)/30-IF($B$11&lt;=69,$B$12,0)+L72+M72+N72+O72</f>
        <v>5562.01293685643</v>
      </c>
      <c r="W72" s="14" t="n">
        <f aca="false">$B$4-83*($B$5+$B$6)/30-IF($B$11&lt;=83,$B$12,0)+L72+M72+N72+O72+P72</f>
        <v>7392.93546143453</v>
      </c>
      <c r="X72" s="14" t="n">
        <f aca="false">$B$4-90*($B$5+$B$6)/30-IF($B$11&lt;=90,$B$12,0)+L72+M72+N72+O72+P72+Q72</f>
        <v>9955.81451379792</v>
      </c>
      <c r="AA72" s="14" t="n">
        <f aca="false">MIN(R72:X72)</f>
        <v>1507.95540461695</v>
      </c>
    </row>
    <row r="73" customFormat="false" ht="15" hidden="false" customHeight="false" outlineLevel="0" collapsed="false">
      <c r="D73" s="2" t="n">
        <v>68</v>
      </c>
      <c r="E73" s="14" t="n">
        <f aca="false">IF(MOD(D73,$B$13)=0,$B$16,0)</f>
        <v>0</v>
      </c>
      <c r="F73" s="14" t="n">
        <f aca="false">$B$5/30</f>
        <v>133.333333333333</v>
      </c>
      <c r="G73" s="14" t="n">
        <f aca="false">$B$6/30</f>
        <v>30</v>
      </c>
      <c r="H73" s="14" t="n">
        <f aca="false">IF(D73=$B$11,$B$12,0)</f>
        <v>0</v>
      </c>
      <c r="I73" s="14" t="n">
        <f aca="false">I72+E73-F73-G73-H73</f>
        <v>4964.43745569891</v>
      </c>
      <c r="K73" s="2" t="n">
        <v>68</v>
      </c>
      <c r="L73" s="14" t="n">
        <f aca="true">$B$16+NORMINV(RAND(),0,SQRT($B$13*($B$7+$B$8^2))*$B$9*(1-$B$10))</f>
        <v>3989.73304194194</v>
      </c>
      <c r="M73" s="14" t="n">
        <f aca="true">$B$16+NORMINV(RAND(),0,SQRT($B$13*($B$7+$B$8^2))*$B$9*(1-$B$10))</f>
        <v>3861.11185296758</v>
      </c>
      <c r="N73" s="14" t="n">
        <f aca="true">$B$16+NORMINV(RAND(),0,SQRT($B$13*($B$7+$B$8^2))*$B$9*(1-$B$10))</f>
        <v>3930.87228848036</v>
      </c>
      <c r="O73" s="14" t="n">
        <f aca="true">$B$16+NORMINV(RAND(),0,SQRT($B$13*($B$7+$B$8^2))*$B$9*(1-$B$10))</f>
        <v>4556.76295813043</v>
      </c>
      <c r="P73" s="14" t="n">
        <f aca="true">$B$16+NORMINV(RAND(),0,SQRT($B$13*($B$7+$B$8^2))*$B$9*(1-$B$10))</f>
        <v>4106.93674266659</v>
      </c>
      <c r="Q73" s="14" t="n">
        <f aca="true">$B$16+NORMINV(RAND(),0,SQRT($B$13*($B$7+$B$8^2))*$B$9*(1-$B$10))</f>
        <v>3816.08623725299</v>
      </c>
      <c r="R73" s="14" t="n">
        <f aca="false">$B$4-13*($B$5+$B$6)/30-IF($B$11&lt;=13,$B$12,0)+0</f>
        <v>8876.66666666667</v>
      </c>
      <c r="S73" s="14" t="n">
        <f aca="false">$B$4-27*($B$5+$B$6)/30-IF($B$11&lt;=27,$B$12,0)+L73</f>
        <v>10579.7330419419</v>
      </c>
      <c r="T73" s="14" t="n">
        <f aca="false">$B$4-41*($B$5+$B$6)/30-IF($B$11&lt;=41,$B$12,0)+L73+M73</f>
        <v>969.378228242845</v>
      </c>
      <c r="U73" s="14" t="n">
        <f aca="false">$B$4-55*($B$5+$B$6)/30-IF($B$11&lt;=55,$B$12,0)+L73+M73+N73</f>
        <v>2613.58385005654</v>
      </c>
      <c r="V73" s="14" t="n">
        <f aca="false">$B$4-69*($B$5+$B$6)/30-IF($B$11&lt;=69,$B$12,0)+L73+M73+N73+O73</f>
        <v>4883.6801415203</v>
      </c>
      <c r="W73" s="14" t="n">
        <f aca="false">$B$4-83*($B$5+$B$6)/30-IF($B$11&lt;=83,$B$12,0)+L73+M73+N73+O73+P73</f>
        <v>6703.95021752022</v>
      </c>
      <c r="X73" s="14" t="n">
        <f aca="false">$B$4-90*($B$5+$B$6)/30-IF($B$11&lt;=90,$B$12,0)+L73+M73+N73+O73+P73+Q73</f>
        <v>9376.70312143988</v>
      </c>
      <c r="AA73" s="14" t="n">
        <f aca="false">MIN(R73:X73)</f>
        <v>969.378228242845</v>
      </c>
    </row>
    <row r="74" customFormat="false" ht="15" hidden="false" customHeight="false" outlineLevel="0" collapsed="false">
      <c r="D74" s="2" t="n">
        <v>69</v>
      </c>
      <c r="E74" s="14" t="n">
        <f aca="false">IF(MOD(D74,$B$13)=0,$B$16,0)</f>
        <v>0</v>
      </c>
      <c r="F74" s="14" t="n">
        <f aca="false">$B$5/30</f>
        <v>133.333333333333</v>
      </c>
      <c r="G74" s="14" t="n">
        <f aca="false">$B$6/30</f>
        <v>30</v>
      </c>
      <c r="H74" s="14" t="n">
        <f aca="false">IF(D74=$B$11,$B$12,0)</f>
        <v>0</v>
      </c>
      <c r="I74" s="14" t="n">
        <f aca="false">I73+E74-F74-G74-H74</f>
        <v>4801.10412236558</v>
      </c>
      <c r="K74" s="2" t="n">
        <v>69</v>
      </c>
      <c r="L74" s="14" t="n">
        <f aca="true">$B$16+NORMINV(RAND(),0,SQRT($B$13*($B$7+$B$8^2))*$B$9*(1-$B$10))</f>
        <v>4368.27779681468</v>
      </c>
      <c r="M74" s="14" t="n">
        <f aca="true">$B$16+NORMINV(RAND(),0,SQRT($B$13*($B$7+$B$8^2))*$B$9*(1-$B$10))</f>
        <v>3974.79216546131</v>
      </c>
      <c r="N74" s="14" t="n">
        <f aca="true">$B$16+NORMINV(RAND(),0,SQRT($B$13*($B$7+$B$8^2))*$B$9*(1-$B$10))</f>
        <v>4197.06113153775</v>
      </c>
      <c r="O74" s="14" t="n">
        <f aca="true">$B$16+NORMINV(RAND(),0,SQRT($B$13*($B$7+$B$8^2))*$B$9*(1-$B$10))</f>
        <v>3779.90648883688</v>
      </c>
      <c r="P74" s="14" t="n">
        <f aca="true">$B$16+NORMINV(RAND(),0,SQRT($B$13*($B$7+$B$8^2))*$B$9*(1-$B$10))</f>
        <v>3985.68615116186</v>
      </c>
      <c r="Q74" s="14" t="n">
        <f aca="true">$B$16+NORMINV(RAND(),0,SQRT($B$13*($B$7+$B$8^2))*$B$9*(1-$B$10))</f>
        <v>4226.6009036208</v>
      </c>
      <c r="R74" s="14" t="n">
        <f aca="false">$B$4-13*($B$5+$B$6)/30-IF($B$11&lt;=13,$B$12,0)+0</f>
        <v>8876.66666666667</v>
      </c>
      <c r="S74" s="14" t="n">
        <f aca="false">$B$4-27*($B$5+$B$6)/30-IF($B$11&lt;=27,$B$12,0)+L74</f>
        <v>10958.2777968147</v>
      </c>
      <c r="T74" s="14" t="n">
        <f aca="false">$B$4-41*($B$5+$B$6)/30-IF($B$11&lt;=41,$B$12,0)+L74+M74</f>
        <v>1461.60329560932</v>
      </c>
      <c r="U74" s="14" t="n">
        <f aca="false">$B$4-55*($B$5+$B$6)/30-IF($B$11&lt;=55,$B$12,0)+L74+M74+N74</f>
        <v>3371.9977604804</v>
      </c>
      <c r="V74" s="14" t="n">
        <f aca="false">$B$4-69*($B$5+$B$6)/30-IF($B$11&lt;=69,$B$12,0)+L74+M74+N74+O74</f>
        <v>4865.23758265061</v>
      </c>
      <c r="W74" s="14" t="n">
        <f aca="false">$B$4-83*($B$5+$B$6)/30-IF($B$11&lt;=83,$B$12,0)+L74+M74+N74+O74+P74</f>
        <v>6564.2570671458</v>
      </c>
      <c r="X74" s="14" t="n">
        <f aca="false">$B$4-90*($B$5+$B$6)/30-IF($B$11&lt;=90,$B$12,0)+L74+M74+N74+O74+P74+Q74</f>
        <v>9647.52463743327</v>
      </c>
      <c r="AA74" s="14" t="n">
        <f aca="false">MIN(R74:X74)</f>
        <v>1461.60329560932</v>
      </c>
    </row>
    <row r="75" customFormat="false" ht="15" hidden="false" customHeight="false" outlineLevel="0" collapsed="false">
      <c r="D75" s="2" t="n">
        <v>70</v>
      </c>
      <c r="E75" s="14" t="n">
        <f aca="false">IF(MOD(D75,$B$13)=0,$B$16,0)</f>
        <v>4063.9760305914</v>
      </c>
      <c r="F75" s="14" t="n">
        <f aca="false">$B$5/30</f>
        <v>133.333333333333</v>
      </c>
      <c r="G75" s="14" t="n">
        <f aca="false">$B$6/30</f>
        <v>30</v>
      </c>
      <c r="H75" s="14" t="n">
        <f aca="false">IF(D75=$B$11,$B$12,0)</f>
        <v>0</v>
      </c>
      <c r="I75" s="14" t="n">
        <f aca="false">I74+E75-F75-G75-H75</f>
        <v>8701.74681962365</v>
      </c>
      <c r="K75" s="2" t="n">
        <v>70</v>
      </c>
      <c r="L75" s="14" t="n">
        <f aca="true">$B$16+NORMINV(RAND(),0,SQRT($B$13*($B$7+$B$8^2))*$B$9*(1-$B$10))</f>
        <v>3795.30923603548</v>
      </c>
      <c r="M75" s="14" t="n">
        <f aca="true">$B$16+NORMINV(RAND(),0,SQRT($B$13*($B$7+$B$8^2))*$B$9*(1-$B$10))</f>
        <v>3630.17247067501</v>
      </c>
      <c r="N75" s="14" t="n">
        <f aca="true">$B$16+NORMINV(RAND(),0,SQRT($B$13*($B$7+$B$8^2))*$B$9*(1-$B$10))</f>
        <v>4116.32713799541</v>
      </c>
      <c r="O75" s="14" t="n">
        <f aca="true">$B$16+NORMINV(RAND(),0,SQRT($B$13*($B$7+$B$8^2))*$B$9*(1-$B$10))</f>
        <v>3916.3356720484</v>
      </c>
      <c r="P75" s="14" t="n">
        <f aca="true">$B$16+NORMINV(RAND(),0,SQRT($B$13*($B$7+$B$8^2))*$B$9*(1-$B$10))</f>
        <v>3687.16231020041</v>
      </c>
      <c r="Q75" s="14" t="n">
        <f aca="true">$B$16+NORMINV(RAND(),0,SQRT($B$13*($B$7+$B$8^2))*$B$9*(1-$B$10))</f>
        <v>3913.55323851342</v>
      </c>
      <c r="R75" s="14" t="n">
        <f aca="false">$B$4-13*($B$5+$B$6)/30-IF($B$11&lt;=13,$B$12,0)+0</f>
        <v>8876.66666666667</v>
      </c>
      <c r="S75" s="14" t="n">
        <f aca="false">$B$4-27*($B$5+$B$6)/30-IF($B$11&lt;=27,$B$12,0)+L75</f>
        <v>10385.3092360355</v>
      </c>
      <c r="T75" s="14" t="n">
        <f aca="false">$B$4-41*($B$5+$B$6)/30-IF($B$11&lt;=41,$B$12,0)+L75+M75</f>
        <v>544.015040043814</v>
      </c>
      <c r="U75" s="14" t="n">
        <f aca="false">$B$4-55*($B$5+$B$6)/30-IF($B$11&lt;=55,$B$12,0)+L75+M75+N75</f>
        <v>2373.67551137255</v>
      </c>
      <c r="V75" s="14" t="n">
        <f aca="false">$B$4-69*($B$5+$B$6)/30-IF($B$11&lt;=69,$B$12,0)+L75+M75+N75+O75</f>
        <v>4003.34451675429</v>
      </c>
      <c r="W75" s="14" t="n">
        <f aca="false">$B$4-83*($B$5+$B$6)/30-IF($B$11&lt;=83,$B$12,0)+L75+M75+N75+O75+P75</f>
        <v>5403.84016028803</v>
      </c>
      <c r="X75" s="14" t="n">
        <f aca="false">$B$4-90*($B$5+$B$6)/30-IF($B$11&lt;=90,$B$12,0)+L75+M75+N75+O75+P75+Q75</f>
        <v>8174.06006546812</v>
      </c>
      <c r="AA75" s="14" t="n">
        <f aca="false">MIN(R75:X75)</f>
        <v>544.015040043814</v>
      </c>
    </row>
    <row r="76" customFormat="false" ht="15" hidden="false" customHeight="false" outlineLevel="0" collapsed="false">
      <c r="D76" s="2" t="n">
        <v>71</v>
      </c>
      <c r="E76" s="14" t="n">
        <f aca="false">IF(MOD(D76,$B$13)=0,$B$16,0)</f>
        <v>0</v>
      </c>
      <c r="F76" s="14" t="n">
        <f aca="false">$B$5/30</f>
        <v>133.333333333333</v>
      </c>
      <c r="G76" s="14" t="n">
        <f aca="false">$B$6/30</f>
        <v>30</v>
      </c>
      <c r="H76" s="14" t="n">
        <f aca="false">IF(D76=$B$11,$B$12,0)</f>
        <v>0</v>
      </c>
      <c r="I76" s="14" t="n">
        <f aca="false">I75+E76-F76-G76-H76</f>
        <v>8538.41348629031</v>
      </c>
      <c r="K76" s="2" t="n">
        <v>71</v>
      </c>
      <c r="L76" s="14" t="n">
        <f aca="true">$B$16+NORMINV(RAND(),0,SQRT($B$13*($B$7+$B$8^2))*$B$9*(1-$B$10))</f>
        <v>4018.72024227667</v>
      </c>
      <c r="M76" s="14" t="n">
        <f aca="true">$B$16+NORMINV(RAND(),0,SQRT($B$13*($B$7+$B$8^2))*$B$9*(1-$B$10))</f>
        <v>4166.52910890391</v>
      </c>
      <c r="N76" s="14" t="n">
        <f aca="true">$B$16+NORMINV(RAND(),0,SQRT($B$13*($B$7+$B$8^2))*$B$9*(1-$B$10))</f>
        <v>3634.13459193435</v>
      </c>
      <c r="O76" s="14" t="n">
        <f aca="true">$B$16+NORMINV(RAND(),0,SQRT($B$13*($B$7+$B$8^2))*$B$9*(1-$B$10))</f>
        <v>3662.5388924104</v>
      </c>
      <c r="P76" s="14" t="n">
        <f aca="true">$B$16+NORMINV(RAND(),0,SQRT($B$13*($B$7+$B$8^2))*$B$9*(1-$B$10))</f>
        <v>4215.21265799339</v>
      </c>
      <c r="Q76" s="14" t="n">
        <f aca="true">$B$16+NORMINV(RAND(),0,SQRT($B$13*($B$7+$B$8^2))*$B$9*(1-$B$10))</f>
        <v>4998.43517965922</v>
      </c>
      <c r="R76" s="14" t="n">
        <f aca="false">$B$4-13*($B$5+$B$6)/30-IF($B$11&lt;=13,$B$12,0)+0</f>
        <v>8876.66666666667</v>
      </c>
      <c r="S76" s="14" t="n">
        <f aca="false">$B$4-27*($B$5+$B$6)/30-IF($B$11&lt;=27,$B$12,0)+L76</f>
        <v>10608.7202422767</v>
      </c>
      <c r="T76" s="14" t="n">
        <f aca="false">$B$4-41*($B$5+$B$6)/30-IF($B$11&lt;=41,$B$12,0)+L76+M76</f>
        <v>1303.78268451391</v>
      </c>
      <c r="U76" s="14" t="n">
        <f aca="false">$B$4-55*($B$5+$B$6)/30-IF($B$11&lt;=55,$B$12,0)+L76+M76+N76</f>
        <v>2651.25060978159</v>
      </c>
      <c r="V76" s="14" t="n">
        <f aca="false">$B$4-69*($B$5+$B$6)/30-IF($B$11&lt;=69,$B$12,0)+L76+M76+N76+O76</f>
        <v>4027.12283552533</v>
      </c>
      <c r="W76" s="14" t="n">
        <f aca="false">$B$4-83*($B$5+$B$6)/30-IF($B$11&lt;=83,$B$12,0)+L76+M76+N76+O76+P76</f>
        <v>5955.66882685205</v>
      </c>
      <c r="X76" s="14" t="n">
        <f aca="false">$B$4-90*($B$5+$B$6)/30-IF($B$11&lt;=90,$B$12,0)+L76+M76+N76+O76+P76+Q76</f>
        <v>9810.77067317794</v>
      </c>
      <c r="AA76" s="14" t="n">
        <f aca="false">MIN(R76:X76)</f>
        <v>1303.78268451391</v>
      </c>
    </row>
    <row r="77" customFormat="false" ht="15" hidden="false" customHeight="false" outlineLevel="0" collapsed="false">
      <c r="D77" s="2" t="n">
        <v>72</v>
      </c>
      <c r="E77" s="14" t="n">
        <f aca="false">IF(MOD(D77,$B$13)=0,$B$16,0)</f>
        <v>0</v>
      </c>
      <c r="F77" s="14" t="n">
        <f aca="false">$B$5/30</f>
        <v>133.333333333333</v>
      </c>
      <c r="G77" s="14" t="n">
        <f aca="false">$B$6/30</f>
        <v>30</v>
      </c>
      <c r="H77" s="14" t="n">
        <f aca="false">IF(D77=$B$11,$B$12,0)</f>
        <v>0</v>
      </c>
      <c r="I77" s="14" t="n">
        <f aca="false">I76+E77-F77-G77-H77</f>
        <v>8375.08015295698</v>
      </c>
      <c r="K77" s="2" t="n">
        <v>72</v>
      </c>
      <c r="L77" s="14" t="n">
        <f aca="true">$B$16+NORMINV(RAND(),0,SQRT($B$13*($B$7+$B$8^2))*$B$9*(1-$B$10))</f>
        <v>4303.22178489094</v>
      </c>
      <c r="M77" s="14" t="n">
        <f aca="true">$B$16+NORMINV(RAND(),0,SQRT($B$13*($B$7+$B$8^2))*$B$9*(1-$B$10))</f>
        <v>4756.53679789678</v>
      </c>
      <c r="N77" s="14" t="n">
        <f aca="true">$B$16+NORMINV(RAND(),0,SQRT($B$13*($B$7+$B$8^2))*$B$9*(1-$B$10))</f>
        <v>4060.15022210152</v>
      </c>
      <c r="O77" s="14" t="n">
        <f aca="true">$B$16+NORMINV(RAND(),0,SQRT($B$13*($B$7+$B$8^2))*$B$9*(1-$B$10))</f>
        <v>4323.98221396749</v>
      </c>
      <c r="P77" s="14" t="n">
        <f aca="true">$B$16+NORMINV(RAND(),0,SQRT($B$13*($B$7+$B$8^2))*$B$9*(1-$B$10))</f>
        <v>3758.20051481239</v>
      </c>
      <c r="Q77" s="14" t="n">
        <f aca="true">$B$16+NORMINV(RAND(),0,SQRT($B$13*($B$7+$B$8^2))*$B$9*(1-$B$10))</f>
        <v>3621.94954091294</v>
      </c>
      <c r="R77" s="14" t="n">
        <f aca="false">$B$4-13*($B$5+$B$6)/30-IF($B$11&lt;=13,$B$12,0)+0</f>
        <v>8876.66666666667</v>
      </c>
      <c r="S77" s="14" t="n">
        <f aca="false">$B$4-27*($B$5+$B$6)/30-IF($B$11&lt;=27,$B$12,0)+L77</f>
        <v>10893.2217848909</v>
      </c>
      <c r="T77" s="14" t="n">
        <f aca="false">$B$4-41*($B$5+$B$6)/30-IF($B$11&lt;=41,$B$12,0)+L77+M77</f>
        <v>2178.29191612106</v>
      </c>
      <c r="U77" s="14" t="n">
        <f aca="false">$B$4-55*($B$5+$B$6)/30-IF($B$11&lt;=55,$B$12,0)+L77+M77+N77</f>
        <v>3951.7754715559</v>
      </c>
      <c r="V77" s="14" t="n">
        <f aca="false">$B$4-69*($B$5+$B$6)/30-IF($B$11&lt;=69,$B$12,0)+L77+M77+N77+O77</f>
        <v>5989.09101885673</v>
      </c>
      <c r="W77" s="14" t="n">
        <f aca="false">$B$4-83*($B$5+$B$6)/30-IF($B$11&lt;=83,$B$12,0)+L77+M77+N77+O77+P77</f>
        <v>7460.62486700246</v>
      </c>
      <c r="X77" s="14" t="n">
        <f aca="false">$B$4-90*($B$5+$B$6)/30-IF($B$11&lt;=90,$B$12,0)+L77+M77+N77+O77+P77+Q77</f>
        <v>9939.24107458207</v>
      </c>
      <c r="AA77" s="14" t="n">
        <f aca="false">MIN(R77:X77)</f>
        <v>2178.29191612106</v>
      </c>
    </row>
    <row r="78" customFormat="false" ht="15" hidden="false" customHeight="false" outlineLevel="0" collapsed="false">
      <c r="D78" s="2" t="n">
        <v>73</v>
      </c>
      <c r="E78" s="14" t="n">
        <f aca="false">IF(MOD(D78,$B$13)=0,$B$16,0)</f>
        <v>0</v>
      </c>
      <c r="F78" s="14" t="n">
        <f aca="false">$B$5/30</f>
        <v>133.333333333333</v>
      </c>
      <c r="G78" s="14" t="n">
        <f aca="false">$B$6/30</f>
        <v>30</v>
      </c>
      <c r="H78" s="14" t="n">
        <f aca="false">IF(D78=$B$11,$B$12,0)</f>
        <v>0</v>
      </c>
      <c r="I78" s="14" t="n">
        <f aca="false">I77+E78-F78-G78-H78</f>
        <v>8211.74681962364</v>
      </c>
      <c r="K78" s="2" t="n">
        <v>73</v>
      </c>
      <c r="L78" s="14" t="n">
        <f aca="true">$B$16+NORMINV(RAND(),0,SQRT($B$13*($B$7+$B$8^2))*$B$9*(1-$B$10))</f>
        <v>3641.77668676653</v>
      </c>
      <c r="M78" s="14" t="n">
        <f aca="true">$B$16+NORMINV(RAND(),0,SQRT($B$13*($B$7+$B$8^2))*$B$9*(1-$B$10))</f>
        <v>3566.93892060013</v>
      </c>
      <c r="N78" s="14" t="n">
        <f aca="true">$B$16+NORMINV(RAND(),0,SQRT($B$13*($B$7+$B$8^2))*$B$9*(1-$B$10))</f>
        <v>3724.84880287423</v>
      </c>
      <c r="O78" s="14" t="n">
        <f aca="true">$B$16+NORMINV(RAND(),0,SQRT($B$13*($B$7+$B$8^2))*$B$9*(1-$B$10))</f>
        <v>4015.93504455996</v>
      </c>
      <c r="P78" s="14" t="n">
        <f aca="true">$B$16+NORMINV(RAND(),0,SQRT($B$13*($B$7+$B$8^2))*$B$9*(1-$B$10))</f>
        <v>3919.92786879963</v>
      </c>
      <c r="Q78" s="14" t="n">
        <f aca="true">$B$16+NORMINV(RAND(),0,SQRT($B$13*($B$7+$B$8^2))*$B$9*(1-$B$10))</f>
        <v>4165.07749627701</v>
      </c>
      <c r="R78" s="14" t="n">
        <f aca="false">$B$4-13*($B$5+$B$6)/30-IF($B$11&lt;=13,$B$12,0)+0</f>
        <v>8876.66666666667</v>
      </c>
      <c r="S78" s="14" t="n">
        <f aca="false">$B$4-27*($B$5+$B$6)/30-IF($B$11&lt;=27,$B$12,0)+L78</f>
        <v>10231.7766867665</v>
      </c>
      <c r="T78" s="14" t="n">
        <f aca="false">$B$4-41*($B$5+$B$6)/30-IF($B$11&lt;=41,$B$12,0)+L78+M78</f>
        <v>327.248940699996</v>
      </c>
      <c r="U78" s="14" t="n">
        <f aca="false">$B$4-55*($B$5+$B$6)/30-IF($B$11&lt;=55,$B$12,0)+L78+M78+N78</f>
        <v>1765.43107690756</v>
      </c>
      <c r="V78" s="14" t="n">
        <f aca="false">$B$4-69*($B$5+$B$6)/30-IF($B$11&lt;=69,$B$12,0)+L78+M78+N78+O78</f>
        <v>3494.69945480085</v>
      </c>
      <c r="W78" s="14" t="n">
        <f aca="false">$B$4-83*($B$5+$B$6)/30-IF($B$11&lt;=83,$B$12,0)+L78+M78+N78+O78+P78</f>
        <v>5127.96065693382</v>
      </c>
      <c r="X78" s="14" t="n">
        <f aca="false">$B$4-90*($B$5+$B$6)/30-IF($B$11&lt;=90,$B$12,0)+L78+M78+N78+O78+P78+Q78</f>
        <v>8149.70481987749</v>
      </c>
      <c r="AA78" s="14" t="n">
        <f aca="false">MIN(R78:X78)</f>
        <v>327.248940699996</v>
      </c>
    </row>
    <row r="79" customFormat="false" ht="15" hidden="false" customHeight="false" outlineLevel="0" collapsed="false">
      <c r="D79" s="2" t="n">
        <v>74</v>
      </c>
      <c r="E79" s="14" t="n">
        <f aca="false">IF(MOD(D79,$B$13)=0,$B$16,0)</f>
        <v>0</v>
      </c>
      <c r="F79" s="14" t="n">
        <f aca="false">$B$5/30</f>
        <v>133.333333333333</v>
      </c>
      <c r="G79" s="14" t="n">
        <f aca="false">$B$6/30</f>
        <v>30</v>
      </c>
      <c r="H79" s="14" t="n">
        <f aca="false">IF(D79=$B$11,$B$12,0)</f>
        <v>0</v>
      </c>
      <c r="I79" s="14" t="n">
        <f aca="false">I78+E79-F79-G79-H79</f>
        <v>8048.41348629031</v>
      </c>
      <c r="K79" s="2" t="n">
        <v>74</v>
      </c>
      <c r="L79" s="14" t="n">
        <f aca="true">$B$16+NORMINV(RAND(),0,SQRT($B$13*($B$7+$B$8^2))*$B$9*(1-$B$10))</f>
        <v>4008.96730870259</v>
      </c>
      <c r="M79" s="14" t="n">
        <f aca="true">$B$16+NORMINV(RAND(),0,SQRT($B$13*($B$7+$B$8^2))*$B$9*(1-$B$10))</f>
        <v>4364.24538925635</v>
      </c>
      <c r="N79" s="14" t="n">
        <f aca="true">$B$16+NORMINV(RAND(),0,SQRT($B$13*($B$7+$B$8^2))*$B$9*(1-$B$10))</f>
        <v>3894.65997464776</v>
      </c>
      <c r="O79" s="14" t="n">
        <f aca="true">$B$16+NORMINV(RAND(),0,SQRT($B$13*($B$7+$B$8^2))*$B$9*(1-$B$10))</f>
        <v>4706.15811203435</v>
      </c>
      <c r="P79" s="14" t="n">
        <f aca="true">$B$16+NORMINV(RAND(),0,SQRT($B$13*($B$7+$B$8^2))*$B$9*(1-$B$10))</f>
        <v>4296.21745102574</v>
      </c>
      <c r="Q79" s="14" t="n">
        <f aca="true">$B$16+NORMINV(RAND(),0,SQRT($B$13*($B$7+$B$8^2))*$B$9*(1-$B$10))</f>
        <v>4507.04585099415</v>
      </c>
      <c r="R79" s="14" t="n">
        <f aca="false">$B$4-13*($B$5+$B$6)/30-IF($B$11&lt;=13,$B$12,0)+0</f>
        <v>8876.66666666667</v>
      </c>
      <c r="S79" s="14" t="n">
        <f aca="false">$B$4-27*($B$5+$B$6)/30-IF($B$11&lt;=27,$B$12,0)+L79</f>
        <v>10598.9673087026</v>
      </c>
      <c r="T79" s="14" t="n">
        <f aca="false">$B$4-41*($B$5+$B$6)/30-IF($B$11&lt;=41,$B$12,0)+L79+M79</f>
        <v>1491.74603129228</v>
      </c>
      <c r="U79" s="14" t="n">
        <f aca="false">$B$4-55*($B$5+$B$6)/30-IF($B$11&lt;=55,$B$12,0)+L79+M79+N79</f>
        <v>3099.73933927337</v>
      </c>
      <c r="V79" s="14" t="n">
        <f aca="false">$B$4-69*($B$5+$B$6)/30-IF($B$11&lt;=69,$B$12,0)+L79+M79+N79+O79</f>
        <v>5519.23078464105</v>
      </c>
      <c r="W79" s="14" t="n">
        <f aca="false">$B$4-83*($B$5+$B$6)/30-IF($B$11&lt;=83,$B$12,0)+L79+M79+N79+O79+P79</f>
        <v>7528.78156900013</v>
      </c>
      <c r="X79" s="14" t="n">
        <f aca="false">$B$4-90*($B$5+$B$6)/30-IF($B$11&lt;=90,$B$12,0)+L79+M79+N79+O79+P79+Q79</f>
        <v>10892.494086661</v>
      </c>
      <c r="AA79" s="14" t="n">
        <f aca="false">MIN(R79:X79)</f>
        <v>1491.74603129228</v>
      </c>
    </row>
    <row r="80" customFormat="false" ht="15" hidden="false" customHeight="false" outlineLevel="0" collapsed="false">
      <c r="D80" s="2" t="n">
        <v>75</v>
      </c>
      <c r="E80" s="14" t="n">
        <f aca="false">IF(MOD(D80,$B$13)=0,$B$16,0)</f>
        <v>0</v>
      </c>
      <c r="F80" s="14" t="n">
        <f aca="false">$B$5/30</f>
        <v>133.333333333333</v>
      </c>
      <c r="G80" s="14" t="n">
        <f aca="false">$B$6/30</f>
        <v>30</v>
      </c>
      <c r="H80" s="14" t="n">
        <f aca="false">IF(D80=$B$11,$B$12,0)</f>
        <v>0</v>
      </c>
      <c r="I80" s="14" t="n">
        <f aca="false">I79+E80-F80-G80-H80</f>
        <v>7885.08015295698</v>
      </c>
      <c r="K80" s="2" t="n">
        <v>75</v>
      </c>
      <c r="L80" s="14" t="n">
        <f aca="true">$B$16+NORMINV(RAND(),0,SQRT($B$13*($B$7+$B$8^2))*$B$9*(1-$B$10))</f>
        <v>3619.90706444318</v>
      </c>
      <c r="M80" s="14" t="n">
        <f aca="true">$B$16+NORMINV(RAND(),0,SQRT($B$13*($B$7+$B$8^2))*$B$9*(1-$B$10))</f>
        <v>4502.09569751658</v>
      </c>
      <c r="N80" s="14" t="n">
        <f aca="true">$B$16+NORMINV(RAND(),0,SQRT($B$13*($B$7+$B$8^2))*$B$9*(1-$B$10))</f>
        <v>3829.0527818694</v>
      </c>
      <c r="O80" s="14" t="n">
        <f aca="true">$B$16+NORMINV(RAND(),0,SQRT($B$13*($B$7+$B$8^2))*$B$9*(1-$B$10))</f>
        <v>3991.27364807884</v>
      </c>
      <c r="P80" s="14" t="n">
        <f aca="true">$B$16+NORMINV(RAND(),0,SQRT($B$13*($B$7+$B$8^2))*$B$9*(1-$B$10))</f>
        <v>3249.95535748179</v>
      </c>
      <c r="Q80" s="14" t="n">
        <f aca="true">$B$16+NORMINV(RAND(),0,SQRT($B$13*($B$7+$B$8^2))*$B$9*(1-$B$10))</f>
        <v>4373.8187749394</v>
      </c>
      <c r="R80" s="14" t="n">
        <f aca="false">$B$4-13*($B$5+$B$6)/30-IF($B$11&lt;=13,$B$12,0)+0</f>
        <v>8876.66666666667</v>
      </c>
      <c r="S80" s="14" t="n">
        <f aca="false">$B$4-27*($B$5+$B$6)/30-IF($B$11&lt;=27,$B$12,0)+L80</f>
        <v>10209.9070644432</v>
      </c>
      <c r="T80" s="14" t="n">
        <f aca="false">$B$4-41*($B$5+$B$6)/30-IF($B$11&lt;=41,$B$12,0)+L80+M80</f>
        <v>1240.53609529309</v>
      </c>
      <c r="U80" s="14" t="n">
        <f aca="false">$B$4-55*($B$5+$B$6)/30-IF($B$11&lt;=55,$B$12,0)+L80+M80+N80</f>
        <v>2782.92221049583</v>
      </c>
      <c r="V80" s="14" t="n">
        <f aca="false">$B$4-69*($B$5+$B$6)/30-IF($B$11&lt;=69,$B$12,0)+L80+M80+N80+O80</f>
        <v>4487.52919190799</v>
      </c>
      <c r="W80" s="14" t="n">
        <f aca="false">$B$4-83*($B$5+$B$6)/30-IF($B$11&lt;=83,$B$12,0)+L80+M80+N80+O80+P80</f>
        <v>5450.81788272312</v>
      </c>
      <c r="X80" s="14" t="n">
        <f aca="false">$B$4-90*($B$5+$B$6)/30-IF($B$11&lt;=90,$B$12,0)+L80+M80+N80+O80+P80+Q80</f>
        <v>8681.30332432919</v>
      </c>
      <c r="AA80" s="14" t="n">
        <f aca="false">MIN(R80:X80)</f>
        <v>1240.53609529309</v>
      </c>
    </row>
    <row r="81" customFormat="false" ht="15" hidden="false" customHeight="false" outlineLevel="0" collapsed="false">
      <c r="D81" s="2" t="n">
        <v>76</v>
      </c>
      <c r="E81" s="14" t="n">
        <f aca="false">IF(MOD(D81,$B$13)=0,$B$16,0)</f>
        <v>0</v>
      </c>
      <c r="F81" s="14" t="n">
        <f aca="false">$B$5/30</f>
        <v>133.333333333333</v>
      </c>
      <c r="G81" s="14" t="n">
        <f aca="false">$B$6/30</f>
        <v>30</v>
      </c>
      <c r="H81" s="14" t="n">
        <f aca="false">IF(D81=$B$11,$B$12,0)</f>
        <v>0</v>
      </c>
      <c r="I81" s="14" t="n">
        <f aca="false">I80+E81-F81-G81-H81</f>
        <v>7721.74681962365</v>
      </c>
      <c r="K81" s="2" t="n">
        <v>76</v>
      </c>
      <c r="L81" s="14" t="n">
        <f aca="true">$B$16+NORMINV(RAND(),0,SQRT($B$13*($B$7+$B$8^2))*$B$9*(1-$B$10))</f>
        <v>3932.19654360981</v>
      </c>
      <c r="M81" s="14" t="n">
        <f aca="true">$B$16+NORMINV(RAND(),0,SQRT($B$13*($B$7+$B$8^2))*$B$9*(1-$B$10))</f>
        <v>4431.27440103137</v>
      </c>
      <c r="N81" s="14" t="n">
        <f aca="true">$B$16+NORMINV(RAND(),0,SQRT($B$13*($B$7+$B$8^2))*$B$9*(1-$B$10))</f>
        <v>3998.0799827191</v>
      </c>
      <c r="O81" s="14" t="n">
        <f aca="true">$B$16+NORMINV(RAND(),0,SQRT($B$13*($B$7+$B$8^2))*$B$9*(1-$B$10))</f>
        <v>4187.63372445044</v>
      </c>
      <c r="P81" s="14" t="n">
        <f aca="true">$B$16+NORMINV(RAND(),0,SQRT($B$13*($B$7+$B$8^2))*$B$9*(1-$B$10))</f>
        <v>4053.86629224446</v>
      </c>
      <c r="Q81" s="14" t="n">
        <f aca="true">$B$16+NORMINV(RAND(),0,SQRT($B$13*($B$7+$B$8^2))*$B$9*(1-$B$10))</f>
        <v>4032.99766216282</v>
      </c>
      <c r="R81" s="14" t="n">
        <f aca="false">$B$4-13*($B$5+$B$6)/30-IF($B$11&lt;=13,$B$12,0)+0</f>
        <v>8876.66666666667</v>
      </c>
      <c r="S81" s="14" t="n">
        <f aca="false">$B$4-27*($B$5+$B$6)/30-IF($B$11&lt;=27,$B$12,0)+L81</f>
        <v>10522.1965436098</v>
      </c>
      <c r="T81" s="14" t="n">
        <f aca="false">$B$4-41*($B$5+$B$6)/30-IF($B$11&lt;=41,$B$12,0)+L81+M81</f>
        <v>1482.00427797451</v>
      </c>
      <c r="U81" s="14" t="n">
        <f aca="false">$B$4-55*($B$5+$B$6)/30-IF($B$11&lt;=55,$B$12,0)+L81+M81+N81</f>
        <v>3193.41759402694</v>
      </c>
      <c r="V81" s="14" t="n">
        <f aca="false">$B$4-69*($B$5+$B$6)/30-IF($B$11&lt;=69,$B$12,0)+L81+M81+N81+O81</f>
        <v>5094.38465181072</v>
      </c>
      <c r="W81" s="14" t="n">
        <f aca="false">$B$4-83*($B$5+$B$6)/30-IF($B$11&lt;=83,$B$12,0)+L81+M81+N81+O81+P81</f>
        <v>6861.58427738852</v>
      </c>
      <c r="X81" s="14" t="n">
        <f aca="false">$B$4-90*($B$5+$B$6)/30-IF($B$11&lt;=90,$B$12,0)+L81+M81+N81+O81+P81+Q81</f>
        <v>9751.248606218</v>
      </c>
      <c r="AA81" s="14" t="n">
        <f aca="false">MIN(R81:X81)</f>
        <v>1482.00427797451</v>
      </c>
    </row>
    <row r="82" customFormat="false" ht="15" hidden="false" customHeight="false" outlineLevel="0" collapsed="false">
      <c r="D82" s="2" t="n">
        <v>77</v>
      </c>
      <c r="E82" s="14" t="n">
        <f aca="false">IF(MOD(D82,$B$13)=0,$B$16,0)</f>
        <v>0</v>
      </c>
      <c r="F82" s="14" t="n">
        <f aca="false">$B$5/30</f>
        <v>133.333333333333</v>
      </c>
      <c r="G82" s="14" t="n">
        <f aca="false">$B$6/30</f>
        <v>30</v>
      </c>
      <c r="H82" s="14" t="n">
        <f aca="false">IF(D82=$B$11,$B$12,0)</f>
        <v>0</v>
      </c>
      <c r="I82" s="14" t="n">
        <f aca="false">I81+E82-F82-G82-H82</f>
        <v>7558.41348629031</v>
      </c>
      <c r="K82" s="2" t="n">
        <v>77</v>
      </c>
      <c r="L82" s="14" t="n">
        <f aca="true">$B$16+NORMINV(RAND(),0,SQRT($B$13*($B$7+$B$8^2))*$B$9*(1-$B$10))</f>
        <v>4803.60199789313</v>
      </c>
      <c r="M82" s="14" t="n">
        <f aca="true">$B$16+NORMINV(RAND(),0,SQRT($B$13*($B$7+$B$8^2))*$B$9*(1-$B$10))</f>
        <v>4246.8213401411</v>
      </c>
      <c r="N82" s="14" t="n">
        <f aca="true">$B$16+NORMINV(RAND(),0,SQRT($B$13*($B$7+$B$8^2))*$B$9*(1-$B$10))</f>
        <v>4352.52369947646</v>
      </c>
      <c r="O82" s="14" t="n">
        <f aca="true">$B$16+NORMINV(RAND(),0,SQRT($B$13*($B$7+$B$8^2))*$B$9*(1-$B$10))</f>
        <v>3962.11445556161</v>
      </c>
      <c r="P82" s="14" t="n">
        <f aca="true">$B$16+NORMINV(RAND(),0,SQRT($B$13*($B$7+$B$8^2))*$B$9*(1-$B$10))</f>
        <v>4119.14874985403</v>
      </c>
      <c r="Q82" s="14" t="n">
        <f aca="true">$B$16+NORMINV(RAND(),0,SQRT($B$13*($B$7+$B$8^2))*$B$9*(1-$B$10))</f>
        <v>4249.3026991084</v>
      </c>
      <c r="R82" s="14" t="n">
        <f aca="false">$B$4-13*($B$5+$B$6)/30-IF($B$11&lt;=13,$B$12,0)+0</f>
        <v>8876.66666666667</v>
      </c>
      <c r="S82" s="14" t="n">
        <f aca="false">$B$4-27*($B$5+$B$6)/30-IF($B$11&lt;=27,$B$12,0)+L82</f>
        <v>11393.6019978931</v>
      </c>
      <c r="T82" s="14" t="n">
        <f aca="false">$B$4-41*($B$5+$B$6)/30-IF($B$11&lt;=41,$B$12,0)+L82+M82</f>
        <v>2168.95667136756</v>
      </c>
      <c r="U82" s="14" t="n">
        <f aca="false">$B$4-55*($B$5+$B$6)/30-IF($B$11&lt;=55,$B$12,0)+L82+M82+N82</f>
        <v>4234.81370417735</v>
      </c>
      <c r="V82" s="14" t="n">
        <f aca="false">$B$4-69*($B$5+$B$6)/30-IF($B$11&lt;=69,$B$12,0)+L82+M82+N82+O82</f>
        <v>5910.2614930723</v>
      </c>
      <c r="W82" s="14" t="n">
        <f aca="false">$B$4-83*($B$5+$B$6)/30-IF($B$11&lt;=83,$B$12,0)+L82+M82+N82+O82+P82</f>
        <v>7742.74357625966</v>
      </c>
      <c r="X82" s="14" t="n">
        <f aca="false">$B$4-90*($B$5+$B$6)/30-IF($B$11&lt;=90,$B$12,0)+L82+M82+N82+O82+P82+Q82</f>
        <v>10848.7129420347</v>
      </c>
      <c r="AA82" s="14" t="n">
        <f aca="false">MIN(R82:X82)</f>
        <v>2168.95667136756</v>
      </c>
    </row>
    <row r="83" customFormat="false" ht="15" hidden="false" customHeight="false" outlineLevel="0" collapsed="false">
      <c r="D83" s="2" t="n">
        <v>78</v>
      </c>
      <c r="E83" s="14" t="n">
        <f aca="false">IF(MOD(D83,$B$13)=0,$B$16,0)</f>
        <v>0</v>
      </c>
      <c r="F83" s="14" t="n">
        <f aca="false">$B$5/30</f>
        <v>133.333333333333</v>
      </c>
      <c r="G83" s="14" t="n">
        <f aca="false">$B$6/30</f>
        <v>30</v>
      </c>
      <c r="H83" s="14" t="n">
        <f aca="false">IF(D83=$B$11,$B$12,0)</f>
        <v>0</v>
      </c>
      <c r="I83" s="14" t="n">
        <f aca="false">I82+E83-F83-G83-H83</f>
        <v>7395.08015295698</v>
      </c>
      <c r="K83" s="2" t="n">
        <v>78</v>
      </c>
      <c r="L83" s="14" t="n">
        <f aca="true">$B$16+NORMINV(RAND(),0,SQRT($B$13*($B$7+$B$8^2))*$B$9*(1-$B$10))</f>
        <v>3939.04068601552</v>
      </c>
      <c r="M83" s="14" t="n">
        <f aca="true">$B$16+NORMINV(RAND(),0,SQRT($B$13*($B$7+$B$8^2))*$B$9*(1-$B$10))</f>
        <v>3688.00132421951</v>
      </c>
      <c r="N83" s="14" t="n">
        <f aca="true">$B$16+NORMINV(RAND(),0,SQRT($B$13*($B$7+$B$8^2))*$B$9*(1-$B$10))</f>
        <v>4114.45712136256</v>
      </c>
      <c r="O83" s="14" t="n">
        <f aca="true">$B$16+NORMINV(RAND(),0,SQRT($B$13*($B$7+$B$8^2))*$B$9*(1-$B$10))</f>
        <v>3740.4806775966</v>
      </c>
      <c r="P83" s="14" t="n">
        <f aca="true">$B$16+NORMINV(RAND(),0,SQRT($B$13*($B$7+$B$8^2))*$B$9*(1-$B$10))</f>
        <v>3751.72491633656</v>
      </c>
      <c r="Q83" s="14" t="n">
        <f aca="true">$B$16+NORMINV(RAND(),0,SQRT($B$13*($B$7+$B$8^2))*$B$9*(1-$B$10))</f>
        <v>4429.34640527743</v>
      </c>
      <c r="R83" s="14" t="n">
        <f aca="false">$B$4-13*($B$5+$B$6)/30-IF($B$11&lt;=13,$B$12,0)+0</f>
        <v>8876.66666666667</v>
      </c>
      <c r="S83" s="14" t="n">
        <f aca="false">$B$4-27*($B$5+$B$6)/30-IF($B$11&lt;=27,$B$12,0)+L83</f>
        <v>10529.0406860155</v>
      </c>
      <c r="T83" s="14" t="n">
        <f aca="false">$B$4-41*($B$5+$B$6)/30-IF($B$11&lt;=41,$B$12,0)+L83+M83</f>
        <v>745.575343568365</v>
      </c>
      <c r="U83" s="14" t="n">
        <f aca="false">$B$4-55*($B$5+$B$6)/30-IF($B$11&lt;=55,$B$12,0)+L83+M83+N83</f>
        <v>2573.36579826426</v>
      </c>
      <c r="V83" s="14" t="n">
        <f aca="false">$B$4-69*($B$5+$B$6)/30-IF($B$11&lt;=69,$B$12,0)+L83+M83+N83+O83</f>
        <v>4027.1798091942</v>
      </c>
      <c r="W83" s="14" t="n">
        <f aca="false">$B$4-83*($B$5+$B$6)/30-IF($B$11&lt;=83,$B$12,0)+L83+M83+N83+O83+P83</f>
        <v>5492.23805886409</v>
      </c>
      <c r="X83" s="14" t="n">
        <f aca="false">$B$4-90*($B$5+$B$6)/30-IF($B$11&lt;=90,$B$12,0)+L83+M83+N83+O83+P83+Q83</f>
        <v>8778.25113080819</v>
      </c>
      <c r="AA83" s="14" t="n">
        <f aca="false">MIN(R83:X83)</f>
        <v>745.575343568365</v>
      </c>
    </row>
    <row r="84" customFormat="false" ht="15" hidden="false" customHeight="false" outlineLevel="0" collapsed="false">
      <c r="D84" s="2" t="n">
        <v>79</v>
      </c>
      <c r="E84" s="14" t="n">
        <f aca="false">IF(MOD(D84,$B$13)=0,$B$16,0)</f>
        <v>0</v>
      </c>
      <c r="F84" s="14" t="n">
        <f aca="false">$B$5/30</f>
        <v>133.333333333333</v>
      </c>
      <c r="G84" s="14" t="n">
        <f aca="false">$B$6/30</f>
        <v>30</v>
      </c>
      <c r="H84" s="14" t="n">
        <f aca="false">IF(D84=$B$11,$B$12,0)</f>
        <v>0</v>
      </c>
      <c r="I84" s="14" t="n">
        <f aca="false">I83+E84-F84-G84-H84</f>
        <v>7231.74681962365</v>
      </c>
      <c r="K84" s="2" t="n">
        <v>79</v>
      </c>
      <c r="L84" s="14" t="n">
        <f aca="true">$B$16+NORMINV(RAND(),0,SQRT($B$13*($B$7+$B$8^2))*$B$9*(1-$B$10))</f>
        <v>4029.79288418857</v>
      </c>
      <c r="M84" s="14" t="n">
        <f aca="true">$B$16+NORMINV(RAND(),0,SQRT($B$13*($B$7+$B$8^2))*$B$9*(1-$B$10))</f>
        <v>3467.5896878042</v>
      </c>
      <c r="N84" s="14" t="n">
        <f aca="true">$B$16+NORMINV(RAND(),0,SQRT($B$13*($B$7+$B$8^2))*$B$9*(1-$B$10))</f>
        <v>4458.23886415639</v>
      </c>
      <c r="O84" s="14" t="n">
        <f aca="true">$B$16+NORMINV(RAND(),0,SQRT($B$13*($B$7+$B$8^2))*$B$9*(1-$B$10))</f>
        <v>3957.31338722993</v>
      </c>
      <c r="P84" s="14" t="n">
        <f aca="true">$B$16+NORMINV(RAND(),0,SQRT($B$13*($B$7+$B$8^2))*$B$9*(1-$B$10))</f>
        <v>4532.8691122138</v>
      </c>
      <c r="Q84" s="14" t="n">
        <f aca="true">$B$16+NORMINV(RAND(),0,SQRT($B$13*($B$7+$B$8^2))*$B$9*(1-$B$10))</f>
        <v>4814.67014762171</v>
      </c>
      <c r="R84" s="14" t="n">
        <f aca="false">$B$4-13*($B$5+$B$6)/30-IF($B$11&lt;=13,$B$12,0)+0</f>
        <v>8876.66666666667</v>
      </c>
      <c r="S84" s="14" t="n">
        <f aca="false">$B$4-27*($B$5+$B$6)/30-IF($B$11&lt;=27,$B$12,0)+L84</f>
        <v>10619.7928841886</v>
      </c>
      <c r="T84" s="14" t="n">
        <f aca="false">$B$4-41*($B$5+$B$6)/30-IF($B$11&lt;=41,$B$12,0)+L84+M84</f>
        <v>615.915905326103</v>
      </c>
      <c r="U84" s="14" t="n">
        <f aca="false">$B$4-55*($B$5+$B$6)/30-IF($B$11&lt;=55,$B$12,0)+L84+M84+N84</f>
        <v>2787.48810281583</v>
      </c>
      <c r="V84" s="14" t="n">
        <f aca="false">$B$4-69*($B$5+$B$6)/30-IF($B$11&lt;=69,$B$12,0)+L84+M84+N84+O84</f>
        <v>4458.13482337909</v>
      </c>
      <c r="W84" s="14" t="n">
        <f aca="false">$B$4-83*($B$5+$B$6)/30-IF($B$11&lt;=83,$B$12,0)+L84+M84+N84+O84+P84</f>
        <v>6704.33726892623</v>
      </c>
      <c r="X84" s="14" t="n">
        <f aca="false">$B$4-90*($B$5+$B$6)/30-IF($B$11&lt;=90,$B$12,0)+L84+M84+N84+O84+P84+Q84</f>
        <v>10375.6740832146</v>
      </c>
      <c r="AA84" s="14" t="n">
        <f aca="false">MIN(R84:X84)</f>
        <v>615.915905326103</v>
      </c>
    </row>
    <row r="85" customFormat="false" ht="15" hidden="false" customHeight="false" outlineLevel="0" collapsed="false">
      <c r="D85" s="2" t="n">
        <v>80</v>
      </c>
      <c r="E85" s="14" t="n">
        <f aca="false">IF(MOD(D85,$B$13)=0,$B$16,0)</f>
        <v>0</v>
      </c>
      <c r="F85" s="14" t="n">
        <f aca="false">$B$5/30</f>
        <v>133.333333333333</v>
      </c>
      <c r="G85" s="14" t="n">
        <f aca="false">$B$6/30</f>
        <v>30</v>
      </c>
      <c r="H85" s="14" t="n">
        <f aca="false">IF(D85=$B$11,$B$12,0)</f>
        <v>0</v>
      </c>
      <c r="I85" s="14" t="n">
        <f aca="false">I84+E85-F85-G85-H85</f>
        <v>7068.41348629031</v>
      </c>
      <c r="K85" s="2" t="n">
        <v>80</v>
      </c>
      <c r="L85" s="14" t="n">
        <f aca="true">$B$16+NORMINV(RAND(),0,SQRT($B$13*($B$7+$B$8^2))*$B$9*(1-$B$10))</f>
        <v>4386.63799484352</v>
      </c>
      <c r="M85" s="14" t="n">
        <f aca="true">$B$16+NORMINV(RAND(),0,SQRT($B$13*($B$7+$B$8^2))*$B$9*(1-$B$10))</f>
        <v>4238.50175246268</v>
      </c>
      <c r="N85" s="14" t="n">
        <f aca="true">$B$16+NORMINV(RAND(),0,SQRT($B$13*($B$7+$B$8^2))*$B$9*(1-$B$10))</f>
        <v>3841.76232346529</v>
      </c>
      <c r="O85" s="14" t="n">
        <f aca="true">$B$16+NORMINV(RAND(),0,SQRT($B$13*($B$7+$B$8^2))*$B$9*(1-$B$10))</f>
        <v>4109.91594100417</v>
      </c>
      <c r="P85" s="14" t="n">
        <f aca="true">$B$16+NORMINV(RAND(),0,SQRT($B$13*($B$7+$B$8^2))*$B$9*(1-$B$10))</f>
        <v>3742.06202667834</v>
      </c>
      <c r="Q85" s="14" t="n">
        <f aca="true">$B$16+NORMINV(RAND(),0,SQRT($B$13*($B$7+$B$8^2))*$B$9*(1-$B$10))</f>
        <v>4121.77891778745</v>
      </c>
      <c r="R85" s="14" t="n">
        <f aca="false">$B$4-13*($B$5+$B$6)/30-IF($B$11&lt;=13,$B$12,0)+0</f>
        <v>8876.66666666667</v>
      </c>
      <c r="S85" s="14" t="n">
        <f aca="false">$B$4-27*($B$5+$B$6)/30-IF($B$11&lt;=27,$B$12,0)+L85</f>
        <v>10976.6379948435</v>
      </c>
      <c r="T85" s="14" t="n">
        <f aca="false">$B$4-41*($B$5+$B$6)/30-IF($B$11&lt;=41,$B$12,0)+L85+M85</f>
        <v>1743.67308063953</v>
      </c>
      <c r="U85" s="14" t="n">
        <f aca="false">$B$4-55*($B$5+$B$6)/30-IF($B$11&lt;=55,$B$12,0)+L85+M85+N85</f>
        <v>3298.76873743814</v>
      </c>
      <c r="V85" s="14" t="n">
        <f aca="false">$B$4-69*($B$5+$B$6)/30-IF($B$11&lt;=69,$B$12,0)+L85+M85+N85+O85</f>
        <v>5122.01801177565</v>
      </c>
      <c r="W85" s="14" t="n">
        <f aca="false">$B$4-83*($B$5+$B$6)/30-IF($B$11&lt;=83,$B$12,0)+L85+M85+N85+O85+P85</f>
        <v>6577.41337178732</v>
      </c>
      <c r="X85" s="14" t="n">
        <f aca="false">$B$4-90*($B$5+$B$6)/30-IF($B$11&lt;=90,$B$12,0)+L85+M85+N85+O85+P85+Q85</f>
        <v>9555.85895624144</v>
      </c>
      <c r="AA85" s="14" t="n">
        <f aca="false">MIN(R85:X85)</f>
        <v>1743.67308063953</v>
      </c>
    </row>
    <row r="86" customFormat="false" ht="15" hidden="false" customHeight="false" outlineLevel="0" collapsed="false">
      <c r="D86" s="2" t="n">
        <v>81</v>
      </c>
      <c r="E86" s="14" t="n">
        <f aca="false">IF(MOD(D86,$B$13)=0,$B$16,0)</f>
        <v>0</v>
      </c>
      <c r="F86" s="14" t="n">
        <f aca="false">$B$5/30</f>
        <v>133.333333333333</v>
      </c>
      <c r="G86" s="14" t="n">
        <f aca="false">$B$6/30</f>
        <v>30</v>
      </c>
      <c r="H86" s="14" t="n">
        <f aca="false">IF(D86=$B$11,$B$12,0)</f>
        <v>0</v>
      </c>
      <c r="I86" s="14" t="n">
        <f aca="false">I85+E86-F86-G86-H86</f>
        <v>6905.08015295698</v>
      </c>
      <c r="K86" s="2" t="n">
        <v>81</v>
      </c>
      <c r="L86" s="14" t="n">
        <f aca="true">$B$16+NORMINV(RAND(),0,SQRT($B$13*($B$7+$B$8^2))*$B$9*(1-$B$10))</f>
        <v>4480.49051876024</v>
      </c>
      <c r="M86" s="14" t="n">
        <f aca="true">$B$16+NORMINV(RAND(),0,SQRT($B$13*($B$7+$B$8^2))*$B$9*(1-$B$10))</f>
        <v>3512.14834268953</v>
      </c>
      <c r="N86" s="14" t="n">
        <f aca="true">$B$16+NORMINV(RAND(),0,SQRT($B$13*($B$7+$B$8^2))*$B$9*(1-$B$10))</f>
        <v>4154.11189468514</v>
      </c>
      <c r="O86" s="14" t="n">
        <f aca="true">$B$16+NORMINV(RAND(),0,SQRT($B$13*($B$7+$B$8^2))*$B$9*(1-$B$10))</f>
        <v>3581.73526142205</v>
      </c>
      <c r="P86" s="14" t="n">
        <f aca="true">$B$16+NORMINV(RAND(),0,SQRT($B$13*($B$7+$B$8^2))*$B$9*(1-$B$10))</f>
        <v>4600.84982217602</v>
      </c>
      <c r="Q86" s="14" t="n">
        <f aca="true">$B$16+NORMINV(RAND(),0,SQRT($B$13*($B$7+$B$8^2))*$B$9*(1-$B$10))</f>
        <v>3898.05110507011</v>
      </c>
      <c r="R86" s="14" t="n">
        <f aca="false">$B$4-13*($B$5+$B$6)/30-IF($B$11&lt;=13,$B$12,0)+0</f>
        <v>8876.66666666667</v>
      </c>
      <c r="S86" s="14" t="n">
        <f aca="false">$B$4-27*($B$5+$B$6)/30-IF($B$11&lt;=27,$B$12,0)+L86</f>
        <v>11070.4905187602</v>
      </c>
      <c r="T86" s="14" t="n">
        <f aca="false">$B$4-41*($B$5+$B$6)/30-IF($B$11&lt;=41,$B$12,0)+L86+M86</f>
        <v>1111.17219478311</v>
      </c>
      <c r="U86" s="14" t="n">
        <f aca="false">$B$4-55*($B$5+$B$6)/30-IF($B$11&lt;=55,$B$12,0)+L86+M86+N86</f>
        <v>2978.61742280158</v>
      </c>
      <c r="V86" s="14" t="n">
        <f aca="false">$B$4-69*($B$5+$B$6)/30-IF($B$11&lt;=69,$B$12,0)+L86+M86+N86+O86</f>
        <v>4273.68601755697</v>
      </c>
      <c r="W86" s="14" t="n">
        <f aca="false">$B$4-83*($B$5+$B$6)/30-IF($B$11&lt;=83,$B$12,0)+L86+M86+N86+O86+P86</f>
        <v>6587.86917306632</v>
      </c>
      <c r="X86" s="14" t="n">
        <f aca="false">$B$4-90*($B$5+$B$6)/30-IF($B$11&lt;=90,$B$12,0)+L86+M86+N86+O86+P86+Q86</f>
        <v>9342.58694480309</v>
      </c>
      <c r="AA86" s="14" t="n">
        <f aca="false">MIN(R86:X86)</f>
        <v>1111.17219478311</v>
      </c>
    </row>
    <row r="87" customFormat="false" ht="15" hidden="false" customHeight="false" outlineLevel="0" collapsed="false">
      <c r="D87" s="2" t="n">
        <v>82</v>
      </c>
      <c r="E87" s="14" t="n">
        <f aca="false">IF(MOD(D87,$B$13)=0,$B$16,0)</f>
        <v>0</v>
      </c>
      <c r="F87" s="14" t="n">
        <f aca="false">$B$5/30</f>
        <v>133.333333333333</v>
      </c>
      <c r="G87" s="14" t="n">
        <f aca="false">$B$6/30</f>
        <v>30</v>
      </c>
      <c r="H87" s="14" t="n">
        <f aca="false">IF(D87=$B$11,$B$12,0)</f>
        <v>0</v>
      </c>
      <c r="I87" s="14" t="n">
        <f aca="false">I86+E87-F87-G87-H87</f>
        <v>6741.74681962365</v>
      </c>
      <c r="K87" s="2" t="n">
        <v>82</v>
      </c>
      <c r="L87" s="14" t="n">
        <f aca="true">$B$16+NORMINV(RAND(),0,SQRT($B$13*($B$7+$B$8^2))*$B$9*(1-$B$10))</f>
        <v>4537.95472475786</v>
      </c>
      <c r="M87" s="14" t="n">
        <f aca="true">$B$16+NORMINV(RAND(),0,SQRT($B$13*($B$7+$B$8^2))*$B$9*(1-$B$10))</f>
        <v>4390.41150902845</v>
      </c>
      <c r="N87" s="14" t="n">
        <f aca="true">$B$16+NORMINV(RAND(),0,SQRT($B$13*($B$7+$B$8^2))*$B$9*(1-$B$10))</f>
        <v>4168.65754458382</v>
      </c>
      <c r="O87" s="14" t="n">
        <f aca="true">$B$16+NORMINV(RAND(),0,SQRT($B$13*($B$7+$B$8^2))*$B$9*(1-$B$10))</f>
        <v>3824.17575100458</v>
      </c>
      <c r="P87" s="14" t="n">
        <f aca="true">$B$16+NORMINV(RAND(),0,SQRT($B$13*($B$7+$B$8^2))*$B$9*(1-$B$10))</f>
        <v>4326.27909523455</v>
      </c>
      <c r="Q87" s="14" t="n">
        <f aca="true">$B$16+NORMINV(RAND(),0,SQRT($B$13*($B$7+$B$8^2))*$B$9*(1-$B$10))</f>
        <v>3729.39005490346</v>
      </c>
      <c r="R87" s="14" t="n">
        <f aca="false">$B$4-13*($B$5+$B$6)/30-IF($B$11&lt;=13,$B$12,0)+0</f>
        <v>8876.66666666667</v>
      </c>
      <c r="S87" s="14" t="n">
        <f aca="false">$B$4-27*($B$5+$B$6)/30-IF($B$11&lt;=27,$B$12,0)+L87</f>
        <v>11127.9547247579</v>
      </c>
      <c r="T87" s="14" t="n">
        <f aca="false">$B$4-41*($B$5+$B$6)/30-IF($B$11&lt;=41,$B$12,0)+L87+M87</f>
        <v>2046.89956711964</v>
      </c>
      <c r="U87" s="14" t="n">
        <f aca="false">$B$4-55*($B$5+$B$6)/30-IF($B$11&lt;=55,$B$12,0)+L87+M87+N87</f>
        <v>3928.8904450368</v>
      </c>
      <c r="V87" s="14" t="n">
        <f aca="false">$B$4-69*($B$5+$B$6)/30-IF($B$11&lt;=69,$B$12,0)+L87+M87+N87+O87</f>
        <v>5466.39952937471</v>
      </c>
      <c r="W87" s="14" t="n">
        <f aca="false">$B$4-83*($B$5+$B$6)/30-IF($B$11&lt;=83,$B$12,0)+L87+M87+N87+O87+P87</f>
        <v>7506.01195794259</v>
      </c>
      <c r="X87" s="14" t="n">
        <f aca="false">$B$4-90*($B$5+$B$6)/30-IF($B$11&lt;=90,$B$12,0)+L87+M87+N87+O87+P87+Q87</f>
        <v>10092.0686795127</v>
      </c>
      <c r="AA87" s="14" t="n">
        <f aca="false">MIN(R87:X87)</f>
        <v>2046.89956711964</v>
      </c>
    </row>
    <row r="88" customFormat="false" ht="15" hidden="false" customHeight="false" outlineLevel="0" collapsed="false">
      <c r="D88" s="2" t="n">
        <v>83</v>
      </c>
      <c r="E88" s="14" t="n">
        <f aca="false">IF(MOD(D88,$B$13)=0,$B$16,0)</f>
        <v>0</v>
      </c>
      <c r="F88" s="14" t="n">
        <f aca="false">$B$5/30</f>
        <v>133.333333333333</v>
      </c>
      <c r="G88" s="14" t="n">
        <f aca="false">$B$6/30</f>
        <v>30</v>
      </c>
      <c r="H88" s="14" t="n">
        <f aca="false">IF(D88=$B$11,$B$12,0)</f>
        <v>0</v>
      </c>
      <c r="I88" s="14" t="n">
        <f aca="false">I87+E88-F88-G88-H88</f>
        <v>6578.41348629031</v>
      </c>
      <c r="K88" s="2" t="n">
        <v>83</v>
      </c>
      <c r="L88" s="14" t="n">
        <f aca="true">$B$16+NORMINV(RAND(),0,SQRT($B$13*($B$7+$B$8^2))*$B$9*(1-$B$10))</f>
        <v>4120.66990994149</v>
      </c>
      <c r="M88" s="14" t="n">
        <f aca="true">$B$16+NORMINV(RAND(),0,SQRT($B$13*($B$7+$B$8^2))*$B$9*(1-$B$10))</f>
        <v>4381.57044448018</v>
      </c>
      <c r="N88" s="14" t="n">
        <f aca="true">$B$16+NORMINV(RAND(),0,SQRT($B$13*($B$7+$B$8^2))*$B$9*(1-$B$10))</f>
        <v>3852.13596721183</v>
      </c>
      <c r="O88" s="14" t="n">
        <f aca="true">$B$16+NORMINV(RAND(),0,SQRT($B$13*($B$7+$B$8^2))*$B$9*(1-$B$10))</f>
        <v>3756.26494058698</v>
      </c>
      <c r="P88" s="14" t="n">
        <f aca="true">$B$16+NORMINV(RAND(),0,SQRT($B$13*($B$7+$B$8^2))*$B$9*(1-$B$10))</f>
        <v>4115.19252203307</v>
      </c>
      <c r="Q88" s="14" t="n">
        <f aca="true">$B$16+NORMINV(RAND(),0,SQRT($B$13*($B$7+$B$8^2))*$B$9*(1-$B$10))</f>
        <v>4174.22633080587</v>
      </c>
      <c r="R88" s="14" t="n">
        <f aca="false">$B$4-13*($B$5+$B$6)/30-IF($B$11&lt;=13,$B$12,0)+0</f>
        <v>8876.66666666667</v>
      </c>
      <c r="S88" s="14" t="n">
        <f aca="false">$B$4-27*($B$5+$B$6)/30-IF($B$11&lt;=27,$B$12,0)+L88</f>
        <v>10710.6699099415</v>
      </c>
      <c r="T88" s="14" t="n">
        <f aca="false">$B$4-41*($B$5+$B$6)/30-IF($B$11&lt;=41,$B$12,0)+L88+M88</f>
        <v>1620.773687755</v>
      </c>
      <c r="U88" s="14" t="n">
        <f aca="false">$B$4-55*($B$5+$B$6)/30-IF($B$11&lt;=55,$B$12,0)+L88+M88+N88</f>
        <v>3186.24298830015</v>
      </c>
      <c r="V88" s="14" t="n">
        <f aca="false">$B$4-69*($B$5+$B$6)/30-IF($B$11&lt;=69,$B$12,0)+L88+M88+N88+O88</f>
        <v>4655.84126222047</v>
      </c>
      <c r="W88" s="14" t="n">
        <f aca="false">$B$4-83*($B$5+$B$6)/30-IF($B$11&lt;=83,$B$12,0)+L88+M88+N88+O88+P88</f>
        <v>6484.36711758688</v>
      </c>
      <c r="X88" s="14" t="n">
        <f aca="false">$B$4-90*($B$5+$B$6)/30-IF($B$11&lt;=90,$B$12,0)+L88+M88+N88+O88+P88+Q88</f>
        <v>9515.26011505942</v>
      </c>
      <c r="AA88" s="14" t="n">
        <f aca="false">MIN(R88:X88)</f>
        <v>1620.773687755</v>
      </c>
    </row>
    <row r="89" customFormat="false" ht="15" hidden="false" customHeight="false" outlineLevel="0" collapsed="false">
      <c r="D89" s="2" t="n">
        <v>84</v>
      </c>
      <c r="E89" s="14" t="n">
        <f aca="false">IF(MOD(D89,$B$13)=0,$B$16,0)</f>
        <v>4063.9760305914</v>
      </c>
      <c r="F89" s="14" t="n">
        <f aca="false">$B$5/30</f>
        <v>133.333333333333</v>
      </c>
      <c r="G89" s="14" t="n">
        <f aca="false">$B$6/30</f>
        <v>30</v>
      </c>
      <c r="H89" s="14" t="n">
        <f aca="false">IF(D89=$B$11,$B$12,0)</f>
        <v>0</v>
      </c>
      <c r="I89" s="14" t="n">
        <f aca="false">I88+E89-F89-G89-H89</f>
        <v>10479.0561835484</v>
      </c>
      <c r="K89" s="2" t="n">
        <v>84</v>
      </c>
      <c r="L89" s="14" t="n">
        <f aca="true">$B$16+NORMINV(RAND(),0,SQRT($B$13*($B$7+$B$8^2))*$B$9*(1-$B$10))</f>
        <v>3763.71191438203</v>
      </c>
      <c r="M89" s="14" t="n">
        <f aca="true">$B$16+NORMINV(RAND(),0,SQRT($B$13*($B$7+$B$8^2))*$B$9*(1-$B$10))</f>
        <v>3643.3831925094</v>
      </c>
      <c r="N89" s="14" t="n">
        <f aca="true">$B$16+NORMINV(RAND(),0,SQRT($B$13*($B$7+$B$8^2))*$B$9*(1-$B$10))</f>
        <v>4275.14818757905</v>
      </c>
      <c r="O89" s="14" t="n">
        <f aca="true">$B$16+NORMINV(RAND(),0,SQRT($B$13*($B$7+$B$8^2))*$B$9*(1-$B$10))</f>
        <v>4353.15176535329</v>
      </c>
      <c r="P89" s="14" t="n">
        <f aca="true">$B$16+NORMINV(RAND(),0,SQRT($B$13*($B$7+$B$8^2))*$B$9*(1-$B$10))</f>
        <v>3438.48772455326</v>
      </c>
      <c r="Q89" s="14" t="n">
        <f aca="true">$B$16+NORMINV(RAND(),0,SQRT($B$13*($B$7+$B$8^2))*$B$9*(1-$B$10))</f>
        <v>4418.83182657157</v>
      </c>
      <c r="R89" s="14" t="n">
        <f aca="false">$B$4-13*($B$5+$B$6)/30-IF($B$11&lt;=13,$B$12,0)+0</f>
        <v>8876.66666666667</v>
      </c>
      <c r="S89" s="14" t="n">
        <f aca="false">$B$4-27*($B$5+$B$6)/30-IF($B$11&lt;=27,$B$12,0)+L89</f>
        <v>10353.711914382</v>
      </c>
      <c r="T89" s="14" t="n">
        <f aca="false">$B$4-41*($B$5+$B$6)/30-IF($B$11&lt;=41,$B$12,0)+L89+M89</f>
        <v>525.628440224758</v>
      </c>
      <c r="U89" s="14" t="n">
        <f aca="false">$B$4-55*($B$5+$B$6)/30-IF($B$11&lt;=55,$B$12,0)+L89+M89+N89</f>
        <v>2514.10996113714</v>
      </c>
      <c r="V89" s="14" t="n">
        <f aca="false">$B$4-69*($B$5+$B$6)/30-IF($B$11&lt;=69,$B$12,0)+L89+M89+N89+O89</f>
        <v>4580.59505982376</v>
      </c>
      <c r="W89" s="14" t="n">
        <f aca="false">$B$4-83*($B$5+$B$6)/30-IF($B$11&lt;=83,$B$12,0)+L89+M89+N89+O89+P89</f>
        <v>5732.41611771035</v>
      </c>
      <c r="X89" s="14" t="n">
        <f aca="false">$B$4-90*($B$5+$B$6)/30-IF($B$11&lt;=90,$B$12,0)+L89+M89+N89+O89+P89+Q89</f>
        <v>9007.91461094858</v>
      </c>
      <c r="AA89" s="14" t="n">
        <f aca="false">MIN(R89:X89)</f>
        <v>525.628440224758</v>
      </c>
    </row>
    <row r="90" customFormat="false" ht="15" hidden="false" customHeight="false" outlineLevel="0" collapsed="false">
      <c r="D90" s="2" t="n">
        <v>85</v>
      </c>
      <c r="E90" s="14" t="n">
        <f aca="false">IF(MOD(D90,$B$13)=0,$B$16,0)</f>
        <v>0</v>
      </c>
      <c r="F90" s="14" t="n">
        <f aca="false">$B$5/30</f>
        <v>133.333333333333</v>
      </c>
      <c r="G90" s="14" t="n">
        <f aca="false">$B$6/30</f>
        <v>30</v>
      </c>
      <c r="H90" s="14" t="n">
        <f aca="false">IF(D90=$B$11,$B$12,0)</f>
        <v>0</v>
      </c>
      <c r="I90" s="14" t="n">
        <f aca="false">I89+E90-F90-G90-H90</f>
        <v>10315.722850215</v>
      </c>
      <c r="K90" s="2" t="n">
        <v>85</v>
      </c>
      <c r="L90" s="14" t="n">
        <f aca="true">$B$16+NORMINV(RAND(),0,SQRT($B$13*($B$7+$B$8^2))*$B$9*(1-$B$10))</f>
        <v>4187.12441776555</v>
      </c>
      <c r="M90" s="14" t="n">
        <f aca="true">$B$16+NORMINV(RAND(),0,SQRT($B$13*($B$7+$B$8^2))*$B$9*(1-$B$10))</f>
        <v>3689.87479944627</v>
      </c>
      <c r="N90" s="14" t="n">
        <f aca="true">$B$16+NORMINV(RAND(),0,SQRT($B$13*($B$7+$B$8^2))*$B$9*(1-$B$10))</f>
        <v>4056.60620143849</v>
      </c>
      <c r="O90" s="14" t="n">
        <f aca="true">$B$16+NORMINV(RAND(),0,SQRT($B$13*($B$7+$B$8^2))*$B$9*(1-$B$10))</f>
        <v>3830.84919257541</v>
      </c>
      <c r="P90" s="14" t="n">
        <f aca="true">$B$16+NORMINV(RAND(),0,SQRT($B$13*($B$7+$B$8^2))*$B$9*(1-$B$10))</f>
        <v>4436.9525069906</v>
      </c>
      <c r="Q90" s="14" t="n">
        <f aca="true">$B$16+NORMINV(RAND(),0,SQRT($B$13*($B$7+$B$8^2))*$B$9*(1-$B$10))</f>
        <v>4335.22219327189</v>
      </c>
      <c r="R90" s="14" t="n">
        <f aca="false">$B$4-13*($B$5+$B$6)/30-IF($B$11&lt;=13,$B$12,0)+0</f>
        <v>8876.66666666667</v>
      </c>
      <c r="S90" s="14" t="n">
        <f aca="false">$B$4-27*($B$5+$B$6)/30-IF($B$11&lt;=27,$B$12,0)+L90</f>
        <v>10777.1244177656</v>
      </c>
      <c r="T90" s="14" t="n">
        <f aca="false">$B$4-41*($B$5+$B$6)/30-IF($B$11&lt;=41,$B$12,0)+L90+M90</f>
        <v>995.532550545157</v>
      </c>
      <c r="U90" s="14" t="n">
        <f aca="false">$B$4-55*($B$5+$B$6)/30-IF($B$11&lt;=55,$B$12,0)+L90+M90+N90</f>
        <v>2765.47208531698</v>
      </c>
      <c r="V90" s="14" t="n">
        <f aca="false">$B$4-69*($B$5+$B$6)/30-IF($B$11&lt;=69,$B$12,0)+L90+M90+N90+O90</f>
        <v>4309.65461122572</v>
      </c>
      <c r="W90" s="14" t="n">
        <f aca="false">$B$4-83*($B$5+$B$6)/30-IF($B$11&lt;=83,$B$12,0)+L90+M90+N90+O90+P90</f>
        <v>6459.94045154966</v>
      </c>
      <c r="X90" s="14" t="n">
        <f aca="false">$B$4-90*($B$5+$B$6)/30-IF($B$11&lt;=90,$B$12,0)+L90+M90+N90+O90+P90+Q90</f>
        <v>9651.82931148822</v>
      </c>
      <c r="AA90" s="14" t="n">
        <f aca="false">MIN(R90:X90)</f>
        <v>995.532550545157</v>
      </c>
    </row>
    <row r="91" customFormat="false" ht="15" hidden="false" customHeight="false" outlineLevel="0" collapsed="false">
      <c r="D91" s="2" t="n">
        <v>86</v>
      </c>
      <c r="E91" s="14" t="n">
        <f aca="false">IF(MOD(D91,$B$13)=0,$B$16,0)</f>
        <v>0</v>
      </c>
      <c r="F91" s="14" t="n">
        <f aca="false">$B$5/30</f>
        <v>133.333333333333</v>
      </c>
      <c r="G91" s="14" t="n">
        <f aca="false">$B$6/30</f>
        <v>30</v>
      </c>
      <c r="H91" s="14" t="n">
        <f aca="false">IF(D91=$B$11,$B$12,0)</f>
        <v>0</v>
      </c>
      <c r="I91" s="14" t="n">
        <f aca="false">I90+E91-F91-G91-H91</f>
        <v>10152.3895168817</v>
      </c>
      <c r="K91" s="2" t="n">
        <v>86</v>
      </c>
      <c r="L91" s="14" t="n">
        <f aca="true">$B$16+NORMINV(RAND(),0,SQRT($B$13*($B$7+$B$8^2))*$B$9*(1-$B$10))</f>
        <v>3291.93776131063</v>
      </c>
      <c r="M91" s="14" t="n">
        <f aca="true">$B$16+NORMINV(RAND(),0,SQRT($B$13*($B$7+$B$8^2))*$B$9*(1-$B$10))</f>
        <v>4171.05161442103</v>
      </c>
      <c r="N91" s="14" t="n">
        <f aca="true">$B$16+NORMINV(RAND(),0,SQRT($B$13*($B$7+$B$8^2))*$B$9*(1-$B$10))</f>
        <v>4267.690904371</v>
      </c>
      <c r="O91" s="14" t="n">
        <f aca="true">$B$16+NORMINV(RAND(),0,SQRT($B$13*($B$7+$B$8^2))*$B$9*(1-$B$10))</f>
        <v>4247.40513136604</v>
      </c>
      <c r="P91" s="14" t="n">
        <f aca="true">$B$16+NORMINV(RAND(),0,SQRT($B$13*($B$7+$B$8^2))*$B$9*(1-$B$10))</f>
        <v>3897.52309744981</v>
      </c>
      <c r="Q91" s="14" t="n">
        <f aca="true">$B$16+NORMINV(RAND(),0,SQRT($B$13*($B$7+$B$8^2))*$B$9*(1-$B$10))</f>
        <v>3626.24794744642</v>
      </c>
      <c r="R91" s="14" t="n">
        <f aca="false">$B$4-13*($B$5+$B$6)/30-IF($B$11&lt;=13,$B$12,0)+0</f>
        <v>8876.66666666667</v>
      </c>
      <c r="S91" s="14" t="n">
        <f aca="false">$B$4-27*($B$5+$B$6)/30-IF($B$11&lt;=27,$B$12,0)+L91</f>
        <v>9881.93776131063</v>
      </c>
      <c r="T91" s="14" t="n">
        <f aca="false">$B$4-41*($B$5+$B$6)/30-IF($B$11&lt;=41,$B$12,0)+L91+M91</f>
        <v>581.522709064998</v>
      </c>
      <c r="U91" s="14" t="n">
        <f aca="false">$B$4-55*($B$5+$B$6)/30-IF($B$11&lt;=55,$B$12,0)+L91+M91+N91</f>
        <v>2562.54694676933</v>
      </c>
      <c r="V91" s="14" t="n">
        <f aca="false">$B$4-69*($B$5+$B$6)/30-IF($B$11&lt;=69,$B$12,0)+L91+M91+N91+O91</f>
        <v>4523.2854114687</v>
      </c>
      <c r="W91" s="14" t="n">
        <f aca="false">$B$4-83*($B$5+$B$6)/30-IF($B$11&lt;=83,$B$12,0)+L91+M91+N91+O91+P91</f>
        <v>6134.14184225185</v>
      </c>
      <c r="X91" s="14" t="n">
        <f aca="false">$B$4-90*($B$5+$B$6)/30-IF($B$11&lt;=90,$B$12,0)+L91+M91+N91+O91+P91+Q91</f>
        <v>8617.05645636493</v>
      </c>
      <c r="AA91" s="14" t="n">
        <f aca="false">MIN(R91:X91)</f>
        <v>581.522709064998</v>
      </c>
    </row>
    <row r="92" customFormat="false" ht="15" hidden="false" customHeight="false" outlineLevel="0" collapsed="false">
      <c r="D92" s="2" t="n">
        <v>87</v>
      </c>
      <c r="E92" s="14" t="n">
        <f aca="false">IF(MOD(D92,$B$13)=0,$B$16,0)</f>
        <v>0</v>
      </c>
      <c r="F92" s="14" t="n">
        <f aca="false">$B$5/30</f>
        <v>133.333333333333</v>
      </c>
      <c r="G92" s="14" t="n">
        <f aca="false">$B$6/30</f>
        <v>30</v>
      </c>
      <c r="H92" s="14" t="n">
        <f aca="false">IF(D92=$B$11,$B$12,0)</f>
        <v>0</v>
      </c>
      <c r="I92" s="14" t="n">
        <f aca="false">I91+E92-F92-G92-H92</f>
        <v>9989.05618354838</v>
      </c>
      <c r="K92" s="2" t="n">
        <v>87</v>
      </c>
      <c r="L92" s="14" t="n">
        <f aca="true">$B$16+NORMINV(RAND(),0,SQRT($B$13*($B$7+$B$8^2))*$B$9*(1-$B$10))</f>
        <v>3827.92843168641</v>
      </c>
      <c r="M92" s="14" t="n">
        <f aca="true">$B$16+NORMINV(RAND(),0,SQRT($B$13*($B$7+$B$8^2))*$B$9*(1-$B$10))</f>
        <v>3795.29403547755</v>
      </c>
      <c r="N92" s="14" t="n">
        <f aca="true">$B$16+NORMINV(RAND(),0,SQRT($B$13*($B$7+$B$8^2))*$B$9*(1-$B$10))</f>
        <v>4071.27261475979</v>
      </c>
      <c r="O92" s="14" t="n">
        <f aca="true">$B$16+NORMINV(RAND(),0,SQRT($B$13*($B$7+$B$8^2))*$B$9*(1-$B$10))</f>
        <v>3790.31164548337</v>
      </c>
      <c r="P92" s="14" t="n">
        <f aca="true">$B$16+NORMINV(RAND(),0,SQRT($B$13*($B$7+$B$8^2))*$B$9*(1-$B$10))</f>
        <v>3600.2923654082</v>
      </c>
      <c r="Q92" s="14" t="n">
        <f aca="true">$B$16+NORMINV(RAND(),0,SQRT($B$13*($B$7+$B$8^2))*$B$9*(1-$B$10))</f>
        <v>3764.81975798477</v>
      </c>
      <c r="R92" s="14" t="n">
        <f aca="false">$B$4-13*($B$5+$B$6)/30-IF($B$11&lt;=13,$B$12,0)+0</f>
        <v>8876.66666666667</v>
      </c>
      <c r="S92" s="14" t="n">
        <f aca="false">$B$4-27*($B$5+$B$6)/30-IF($B$11&lt;=27,$B$12,0)+L92</f>
        <v>10417.9284316864</v>
      </c>
      <c r="T92" s="14" t="n">
        <f aca="false">$B$4-41*($B$5+$B$6)/30-IF($B$11&lt;=41,$B$12,0)+L92+M92</f>
        <v>741.755800497298</v>
      </c>
      <c r="U92" s="14" t="n">
        <f aca="false">$B$4-55*($B$5+$B$6)/30-IF($B$11&lt;=55,$B$12,0)+L92+M92+N92</f>
        <v>2526.36174859043</v>
      </c>
      <c r="V92" s="14" t="n">
        <f aca="false">$B$4-69*($B$5+$B$6)/30-IF($B$11&lt;=69,$B$12,0)+L92+M92+N92+O92</f>
        <v>4030.00672740713</v>
      </c>
      <c r="W92" s="14" t="n">
        <f aca="false">$B$4-83*($B$5+$B$6)/30-IF($B$11&lt;=83,$B$12,0)+L92+M92+N92+O92+P92</f>
        <v>5343.63242614867</v>
      </c>
      <c r="X92" s="14" t="n">
        <f aca="false">$B$4-90*($B$5+$B$6)/30-IF($B$11&lt;=90,$B$12,0)+L92+M92+N92+O92+P92+Q92</f>
        <v>7965.11885080011</v>
      </c>
      <c r="AA92" s="14" t="n">
        <f aca="false">MIN(R92:X92)</f>
        <v>741.755800497298</v>
      </c>
    </row>
    <row r="93" customFormat="false" ht="15" hidden="false" customHeight="false" outlineLevel="0" collapsed="false">
      <c r="D93" s="2" t="n">
        <v>88</v>
      </c>
      <c r="E93" s="14" t="n">
        <f aca="false">IF(MOD(D93,$B$13)=0,$B$16,0)</f>
        <v>0</v>
      </c>
      <c r="F93" s="14" t="n">
        <f aca="false">$B$5/30</f>
        <v>133.333333333333</v>
      </c>
      <c r="G93" s="14" t="n">
        <f aca="false">$B$6/30</f>
        <v>30</v>
      </c>
      <c r="H93" s="14" t="n">
        <f aca="false">IF(D93=$B$11,$B$12,0)</f>
        <v>0</v>
      </c>
      <c r="I93" s="14" t="n">
        <f aca="false">I92+E93-F93-G93-H93</f>
        <v>9825.72285021504</v>
      </c>
      <c r="K93" s="2" t="n">
        <v>88</v>
      </c>
      <c r="L93" s="14" t="n">
        <f aca="true">$B$16+NORMINV(RAND(),0,SQRT($B$13*($B$7+$B$8^2))*$B$9*(1-$B$10))</f>
        <v>3950.23372555155</v>
      </c>
      <c r="M93" s="14" t="n">
        <f aca="true">$B$16+NORMINV(RAND(),0,SQRT($B$13*($B$7+$B$8^2))*$B$9*(1-$B$10))</f>
        <v>4440.06870140117</v>
      </c>
      <c r="N93" s="14" t="n">
        <f aca="true">$B$16+NORMINV(RAND(),0,SQRT($B$13*($B$7+$B$8^2))*$B$9*(1-$B$10))</f>
        <v>3964.80156117712</v>
      </c>
      <c r="O93" s="14" t="n">
        <f aca="true">$B$16+NORMINV(RAND(),0,SQRT($B$13*($B$7+$B$8^2))*$B$9*(1-$B$10))</f>
        <v>3988.15557797297</v>
      </c>
      <c r="P93" s="14" t="n">
        <f aca="true">$B$16+NORMINV(RAND(),0,SQRT($B$13*($B$7+$B$8^2))*$B$9*(1-$B$10))</f>
        <v>4236.65781722183</v>
      </c>
      <c r="Q93" s="14" t="n">
        <f aca="true">$B$16+NORMINV(RAND(),0,SQRT($B$13*($B$7+$B$8^2))*$B$9*(1-$B$10))</f>
        <v>4223.2932249895</v>
      </c>
      <c r="R93" s="14" t="n">
        <f aca="false">$B$4-13*($B$5+$B$6)/30-IF($B$11&lt;=13,$B$12,0)+0</f>
        <v>8876.66666666667</v>
      </c>
      <c r="S93" s="14" t="n">
        <f aca="false">$B$4-27*($B$5+$B$6)/30-IF($B$11&lt;=27,$B$12,0)+L93</f>
        <v>10540.2337255515</v>
      </c>
      <c r="T93" s="14" t="n">
        <f aca="false">$B$4-41*($B$5+$B$6)/30-IF($B$11&lt;=41,$B$12,0)+L93+M93</f>
        <v>1508.83576028604</v>
      </c>
      <c r="U93" s="14" t="n">
        <f aca="false">$B$4-55*($B$5+$B$6)/30-IF($B$11&lt;=55,$B$12,0)+L93+M93+N93</f>
        <v>3186.9706547965</v>
      </c>
      <c r="V93" s="14" t="n">
        <f aca="false">$B$4-69*($B$5+$B$6)/30-IF($B$11&lt;=69,$B$12,0)+L93+M93+N93+O93</f>
        <v>4888.4595661028</v>
      </c>
      <c r="W93" s="14" t="n">
        <f aca="false">$B$4-83*($B$5+$B$6)/30-IF($B$11&lt;=83,$B$12,0)+L93+M93+N93+O93+P93</f>
        <v>6838.45071665797</v>
      </c>
      <c r="X93" s="14" t="n">
        <f aca="false">$B$4-90*($B$5+$B$6)/30-IF($B$11&lt;=90,$B$12,0)+L93+M93+N93+O93+P93+Q93</f>
        <v>9918.41060831414</v>
      </c>
      <c r="AA93" s="14" t="n">
        <f aca="false">MIN(R93:X93)</f>
        <v>1508.83576028604</v>
      </c>
    </row>
    <row r="94" customFormat="false" ht="15" hidden="false" customHeight="false" outlineLevel="0" collapsed="false">
      <c r="D94" s="2" t="n">
        <v>89</v>
      </c>
      <c r="E94" s="14" t="n">
        <f aca="false">IF(MOD(D94,$B$13)=0,$B$16,0)</f>
        <v>0</v>
      </c>
      <c r="F94" s="14" t="n">
        <f aca="false">$B$5/30</f>
        <v>133.333333333333</v>
      </c>
      <c r="G94" s="14" t="n">
        <f aca="false">$B$6/30</f>
        <v>30</v>
      </c>
      <c r="H94" s="14" t="n">
        <f aca="false">IF(D94=$B$11,$B$12,0)</f>
        <v>0</v>
      </c>
      <c r="I94" s="14" t="n">
        <f aca="false">I93+E94-F94-G94-H94</f>
        <v>9662.38951688171</v>
      </c>
      <c r="K94" s="2" t="n">
        <v>89</v>
      </c>
      <c r="L94" s="14" t="n">
        <f aca="true">$B$16+NORMINV(RAND(),0,SQRT($B$13*($B$7+$B$8^2))*$B$9*(1-$B$10))</f>
        <v>4357.05257538567</v>
      </c>
      <c r="M94" s="14" t="n">
        <f aca="true">$B$16+NORMINV(RAND(),0,SQRT($B$13*($B$7+$B$8^2))*$B$9*(1-$B$10))</f>
        <v>4490.17372392938</v>
      </c>
      <c r="N94" s="14" t="n">
        <f aca="true">$B$16+NORMINV(RAND(),0,SQRT($B$13*($B$7+$B$8^2))*$B$9*(1-$B$10))</f>
        <v>4177.14057052157</v>
      </c>
      <c r="O94" s="14" t="n">
        <f aca="true">$B$16+NORMINV(RAND(),0,SQRT($B$13*($B$7+$B$8^2))*$B$9*(1-$B$10))</f>
        <v>3569.05104738221</v>
      </c>
      <c r="P94" s="14" t="n">
        <f aca="true">$B$16+NORMINV(RAND(),0,SQRT($B$13*($B$7+$B$8^2))*$B$9*(1-$B$10))</f>
        <v>4047.04268660652</v>
      </c>
      <c r="Q94" s="14" t="n">
        <f aca="true">$B$16+NORMINV(RAND(),0,SQRT($B$13*($B$7+$B$8^2))*$B$9*(1-$B$10))</f>
        <v>4182.94506973037</v>
      </c>
      <c r="R94" s="14" t="n">
        <f aca="false">$B$4-13*($B$5+$B$6)/30-IF($B$11&lt;=13,$B$12,0)+0</f>
        <v>8876.66666666667</v>
      </c>
      <c r="S94" s="14" t="n">
        <f aca="false">$B$4-27*($B$5+$B$6)/30-IF($B$11&lt;=27,$B$12,0)+L94</f>
        <v>10947.0525753857</v>
      </c>
      <c r="T94" s="14" t="n">
        <f aca="false">$B$4-41*($B$5+$B$6)/30-IF($B$11&lt;=41,$B$12,0)+L94+M94</f>
        <v>1965.75963264838</v>
      </c>
      <c r="U94" s="14" t="n">
        <f aca="false">$B$4-55*($B$5+$B$6)/30-IF($B$11&lt;=55,$B$12,0)+L94+M94+N94</f>
        <v>3856.23353650328</v>
      </c>
      <c r="V94" s="14" t="n">
        <f aca="false">$B$4-69*($B$5+$B$6)/30-IF($B$11&lt;=69,$B$12,0)+L94+M94+N94+O94</f>
        <v>5138.61791721883</v>
      </c>
      <c r="W94" s="14" t="n">
        <f aca="false">$B$4-83*($B$5+$B$6)/30-IF($B$11&lt;=83,$B$12,0)+L94+M94+N94+O94+P94</f>
        <v>6898.99393715867</v>
      </c>
      <c r="X94" s="14" t="n">
        <f aca="false">$B$4-90*($B$5+$B$6)/30-IF($B$11&lt;=90,$B$12,0)+L94+M94+N94+O94+P94+Q94</f>
        <v>9938.60567355571</v>
      </c>
      <c r="AA94" s="14" t="n">
        <f aca="false">MIN(R94:X94)</f>
        <v>1965.75963264838</v>
      </c>
    </row>
    <row r="95" customFormat="false" ht="15" hidden="false" customHeight="false" outlineLevel="0" collapsed="false">
      <c r="D95" s="2" t="n">
        <v>90</v>
      </c>
      <c r="E95" s="14" t="n">
        <f aca="false">IF(MOD(D95,$B$13)=0,$B$16,0)</f>
        <v>0</v>
      </c>
      <c r="F95" s="14" t="n">
        <f aca="false">$B$5/30</f>
        <v>133.333333333333</v>
      </c>
      <c r="G95" s="14" t="n">
        <f aca="false">$B$6/30</f>
        <v>30</v>
      </c>
      <c r="H95" s="14" t="n">
        <f aca="false">IF(D95=$B$11,$B$12,0)</f>
        <v>0</v>
      </c>
      <c r="I95" s="14" t="n">
        <f aca="false">I94+E95-F95-G95-H95</f>
        <v>9499.05618354838</v>
      </c>
      <c r="K95" s="2" t="n">
        <v>90</v>
      </c>
      <c r="L95" s="14" t="n">
        <f aca="true">$B$16+NORMINV(RAND(),0,SQRT($B$13*($B$7+$B$8^2))*$B$9*(1-$B$10))</f>
        <v>4039.3708622878</v>
      </c>
      <c r="M95" s="14" t="n">
        <f aca="true">$B$16+NORMINV(RAND(),0,SQRT($B$13*($B$7+$B$8^2))*$B$9*(1-$B$10))</f>
        <v>3690.99650886881</v>
      </c>
      <c r="N95" s="14" t="n">
        <f aca="true">$B$16+NORMINV(RAND(),0,SQRT($B$13*($B$7+$B$8^2))*$B$9*(1-$B$10))</f>
        <v>3702.27642193791</v>
      </c>
      <c r="O95" s="14" t="n">
        <f aca="true">$B$16+NORMINV(RAND(),0,SQRT($B$13*($B$7+$B$8^2))*$B$9*(1-$B$10))</f>
        <v>4132.24785838496</v>
      </c>
      <c r="P95" s="14" t="n">
        <f aca="true">$B$16+NORMINV(RAND(),0,SQRT($B$13*($B$7+$B$8^2))*$B$9*(1-$B$10))</f>
        <v>4369.12120202442</v>
      </c>
      <c r="Q95" s="14" t="n">
        <f aca="true">$B$16+NORMINV(RAND(),0,SQRT($B$13*($B$7+$B$8^2))*$B$9*(1-$B$10))</f>
        <v>3988.75192816293</v>
      </c>
      <c r="R95" s="14" t="n">
        <f aca="false">$B$4-13*($B$5+$B$6)/30-IF($B$11&lt;=13,$B$12,0)+0</f>
        <v>8876.66666666667</v>
      </c>
      <c r="S95" s="14" t="n">
        <f aca="false">$B$4-27*($B$5+$B$6)/30-IF($B$11&lt;=27,$B$12,0)+L95</f>
        <v>10629.3708622878</v>
      </c>
      <c r="T95" s="14" t="n">
        <f aca="false">$B$4-41*($B$5+$B$6)/30-IF($B$11&lt;=41,$B$12,0)+L95+M95</f>
        <v>848.900704489942</v>
      </c>
      <c r="U95" s="14" t="n">
        <f aca="false">$B$4-55*($B$5+$B$6)/30-IF($B$11&lt;=55,$B$12,0)+L95+M95+N95</f>
        <v>2264.51045976118</v>
      </c>
      <c r="V95" s="14" t="n">
        <f aca="false">$B$4-69*($B$5+$B$6)/30-IF($B$11&lt;=69,$B$12,0)+L95+M95+N95+O95</f>
        <v>4110.09165147948</v>
      </c>
      <c r="W95" s="14" t="n">
        <f aca="false">$B$4-83*($B$5+$B$6)/30-IF($B$11&lt;=83,$B$12,0)+L95+M95+N95+O95+P95</f>
        <v>6192.54618683723</v>
      </c>
      <c r="X95" s="14" t="n">
        <f aca="false">$B$4-90*($B$5+$B$6)/30-IF($B$11&lt;=90,$B$12,0)+L95+M95+N95+O95+P95+Q95</f>
        <v>9037.96478166682</v>
      </c>
      <c r="AA95" s="14" t="n">
        <f aca="false">MIN(R95:X95)</f>
        <v>848.900704489942</v>
      </c>
    </row>
    <row r="96" customFormat="false" ht="15" hidden="false" customHeight="false" outlineLevel="0" collapsed="false">
      <c r="K96" s="2" t="n">
        <v>91</v>
      </c>
      <c r="L96" s="14" t="n">
        <f aca="true">$B$16+NORMINV(RAND(),0,SQRT($B$13*($B$7+$B$8^2))*$B$9*(1-$B$10))</f>
        <v>4230.71286165775</v>
      </c>
      <c r="M96" s="14" t="n">
        <f aca="true">$B$16+NORMINV(RAND(),0,SQRT($B$13*($B$7+$B$8^2))*$B$9*(1-$B$10))</f>
        <v>4109.55554991248</v>
      </c>
      <c r="N96" s="14" t="n">
        <f aca="true">$B$16+NORMINV(RAND(),0,SQRT($B$13*($B$7+$B$8^2))*$B$9*(1-$B$10))</f>
        <v>4364.87352826152</v>
      </c>
      <c r="O96" s="14" t="n">
        <f aca="true">$B$16+NORMINV(RAND(),0,SQRT($B$13*($B$7+$B$8^2))*$B$9*(1-$B$10))</f>
        <v>3675.94518902057</v>
      </c>
      <c r="P96" s="14" t="n">
        <f aca="true">$B$16+NORMINV(RAND(),0,SQRT($B$13*($B$7+$B$8^2))*$B$9*(1-$B$10))</f>
        <v>3907.95202304584</v>
      </c>
      <c r="Q96" s="14" t="n">
        <f aca="true">$B$16+NORMINV(RAND(),0,SQRT($B$13*($B$7+$B$8^2))*$B$9*(1-$B$10))</f>
        <v>4200.017487081</v>
      </c>
      <c r="R96" s="14" t="n">
        <f aca="false">$B$4-13*($B$5+$B$6)/30-IF($B$11&lt;=13,$B$12,0)+0</f>
        <v>8876.66666666667</v>
      </c>
      <c r="S96" s="14" t="n">
        <f aca="false">$B$4-27*($B$5+$B$6)/30-IF($B$11&lt;=27,$B$12,0)+L96</f>
        <v>10820.7128616577</v>
      </c>
      <c r="T96" s="14" t="n">
        <f aca="false">$B$4-41*($B$5+$B$6)/30-IF($B$11&lt;=41,$B$12,0)+L96+M96</f>
        <v>1458.80174490355</v>
      </c>
      <c r="U96" s="14" t="n">
        <f aca="false">$B$4-55*($B$5+$B$6)/30-IF($B$11&lt;=55,$B$12,0)+L96+M96+N96</f>
        <v>3537.0086064984</v>
      </c>
      <c r="V96" s="14" t="n">
        <f aca="false">$B$4-69*($B$5+$B$6)/30-IF($B$11&lt;=69,$B$12,0)+L96+M96+N96+O96</f>
        <v>4926.28712885231</v>
      </c>
      <c r="W96" s="14" t="n">
        <f aca="false">$B$4-83*($B$5+$B$6)/30-IF($B$11&lt;=83,$B$12,0)+L96+M96+N96+O96+P96</f>
        <v>6547.57248523149</v>
      </c>
      <c r="X96" s="14" t="n">
        <f aca="false">$B$4-90*($B$5+$B$6)/30-IF($B$11&lt;=90,$B$12,0)+L96+M96+N96+O96+P96+Q96</f>
        <v>9604.25663897915</v>
      </c>
      <c r="AA96" s="14" t="n">
        <f aca="false">MIN(R96:X96)</f>
        <v>1458.80174490355</v>
      </c>
    </row>
    <row r="97" customFormat="false" ht="15" hidden="false" customHeight="false" outlineLevel="0" collapsed="false">
      <c r="K97" s="2" t="n">
        <v>92</v>
      </c>
      <c r="L97" s="14" t="n">
        <f aca="true">$B$16+NORMINV(RAND(),0,SQRT($B$13*($B$7+$B$8^2))*$B$9*(1-$B$10))</f>
        <v>4338.42052442448</v>
      </c>
      <c r="M97" s="14" t="n">
        <f aca="true">$B$16+NORMINV(RAND(),0,SQRT($B$13*($B$7+$B$8^2))*$B$9*(1-$B$10))</f>
        <v>4623.6473156469</v>
      </c>
      <c r="N97" s="14" t="n">
        <f aca="true">$B$16+NORMINV(RAND(),0,SQRT($B$13*($B$7+$B$8^2))*$B$9*(1-$B$10))</f>
        <v>4054.28430794171</v>
      </c>
      <c r="O97" s="14" t="n">
        <f aca="true">$B$16+NORMINV(RAND(),0,SQRT($B$13*($B$7+$B$8^2))*$B$9*(1-$B$10))</f>
        <v>3573.16103324813</v>
      </c>
      <c r="P97" s="14" t="n">
        <f aca="true">$B$16+NORMINV(RAND(),0,SQRT($B$13*($B$7+$B$8^2))*$B$9*(1-$B$10))</f>
        <v>4060.12518199176</v>
      </c>
      <c r="Q97" s="14" t="n">
        <f aca="true">$B$16+NORMINV(RAND(),0,SQRT($B$13*($B$7+$B$8^2))*$B$9*(1-$B$10))</f>
        <v>4300.65947232655</v>
      </c>
      <c r="R97" s="14" t="n">
        <f aca="false">$B$4-13*($B$5+$B$6)/30-IF($B$11&lt;=13,$B$12,0)+0</f>
        <v>8876.66666666667</v>
      </c>
      <c r="S97" s="14" t="n">
        <f aca="false">$B$4-27*($B$5+$B$6)/30-IF($B$11&lt;=27,$B$12,0)+L97</f>
        <v>10928.4205244245</v>
      </c>
      <c r="T97" s="14" t="n">
        <f aca="false">$B$4-41*($B$5+$B$6)/30-IF($B$11&lt;=41,$B$12,0)+L97+M97</f>
        <v>2080.60117340472</v>
      </c>
      <c r="U97" s="14" t="n">
        <f aca="false">$B$4-55*($B$5+$B$6)/30-IF($B$11&lt;=55,$B$12,0)+L97+M97+N97</f>
        <v>3848.21881467976</v>
      </c>
      <c r="V97" s="14" t="n">
        <f aca="false">$B$4-69*($B$5+$B$6)/30-IF($B$11&lt;=69,$B$12,0)+L97+M97+N97+O97</f>
        <v>5134.71318126122</v>
      </c>
      <c r="W97" s="14" t="n">
        <f aca="false">$B$4-83*($B$5+$B$6)/30-IF($B$11&lt;=83,$B$12,0)+L97+M97+N97+O97+P97</f>
        <v>6908.17169658632</v>
      </c>
      <c r="X97" s="14" t="n">
        <f aca="false">$B$4-90*($B$5+$B$6)/30-IF($B$11&lt;=90,$B$12,0)+L97+M97+N97+O97+P97+Q97</f>
        <v>10065.4978355795</v>
      </c>
      <c r="AA97" s="14" t="n">
        <f aca="false">MIN(R97:X97)</f>
        <v>2080.60117340472</v>
      </c>
    </row>
    <row r="98" customFormat="false" ht="15" hidden="false" customHeight="false" outlineLevel="0" collapsed="false">
      <c r="K98" s="2" t="n">
        <v>93</v>
      </c>
      <c r="L98" s="14" t="n">
        <f aca="true">$B$16+NORMINV(RAND(),0,SQRT($B$13*($B$7+$B$8^2))*$B$9*(1-$B$10))</f>
        <v>4814.71103588741</v>
      </c>
      <c r="M98" s="14" t="n">
        <f aca="true">$B$16+NORMINV(RAND(),0,SQRT($B$13*($B$7+$B$8^2))*$B$9*(1-$B$10))</f>
        <v>3871.63683809945</v>
      </c>
      <c r="N98" s="14" t="n">
        <f aca="true">$B$16+NORMINV(RAND(),0,SQRT($B$13*($B$7+$B$8^2))*$B$9*(1-$B$10))</f>
        <v>3862.02893835851</v>
      </c>
      <c r="O98" s="14" t="n">
        <f aca="true">$B$16+NORMINV(RAND(),0,SQRT($B$13*($B$7+$B$8^2))*$B$9*(1-$B$10))</f>
        <v>3649.42239292604</v>
      </c>
      <c r="P98" s="14" t="n">
        <f aca="true">$B$16+NORMINV(RAND(),0,SQRT($B$13*($B$7+$B$8^2))*$B$9*(1-$B$10))</f>
        <v>4078.21467368884</v>
      </c>
      <c r="Q98" s="14" t="n">
        <f aca="true">$B$16+NORMINV(RAND(),0,SQRT($B$13*($B$7+$B$8^2))*$B$9*(1-$B$10))</f>
        <v>3053.06213229827</v>
      </c>
      <c r="R98" s="14" t="n">
        <f aca="false">$B$4-13*($B$5+$B$6)/30-IF($B$11&lt;=13,$B$12,0)+0</f>
        <v>8876.66666666667</v>
      </c>
      <c r="S98" s="14" t="n">
        <f aca="false">$B$4-27*($B$5+$B$6)/30-IF($B$11&lt;=27,$B$12,0)+L98</f>
        <v>11404.7110358874</v>
      </c>
      <c r="T98" s="14" t="n">
        <f aca="false">$B$4-41*($B$5+$B$6)/30-IF($B$11&lt;=41,$B$12,0)+L98+M98</f>
        <v>1804.88120732019</v>
      </c>
      <c r="U98" s="14" t="n">
        <f aca="false">$B$4-55*($B$5+$B$6)/30-IF($B$11&lt;=55,$B$12,0)+L98+M98+N98</f>
        <v>3380.24347901203</v>
      </c>
      <c r="V98" s="14" t="n">
        <f aca="false">$B$4-69*($B$5+$B$6)/30-IF($B$11&lt;=69,$B$12,0)+L98+M98+N98+O98</f>
        <v>4742.9992052714</v>
      </c>
      <c r="W98" s="14" t="n">
        <f aca="false">$B$4-83*($B$5+$B$6)/30-IF($B$11&lt;=83,$B$12,0)+L98+M98+N98+O98+P98</f>
        <v>6534.54721229358</v>
      </c>
      <c r="X98" s="14" t="n">
        <f aca="false">$B$4-90*($B$5+$B$6)/30-IF($B$11&lt;=90,$B$12,0)+L98+M98+N98+O98+P98+Q98</f>
        <v>8444.27601125851</v>
      </c>
      <c r="AA98" s="14" t="n">
        <f aca="false">MIN(R98:X98)</f>
        <v>1804.88120732019</v>
      </c>
    </row>
    <row r="99" customFormat="false" ht="15" hidden="false" customHeight="false" outlineLevel="0" collapsed="false">
      <c r="K99" s="2" t="n">
        <v>94</v>
      </c>
      <c r="L99" s="14" t="n">
        <f aca="true">$B$16+NORMINV(RAND(),0,SQRT($B$13*($B$7+$B$8^2))*$B$9*(1-$B$10))</f>
        <v>3648.97664783291</v>
      </c>
      <c r="M99" s="14" t="n">
        <f aca="true">$B$16+NORMINV(RAND(),0,SQRT($B$13*($B$7+$B$8^2))*$B$9*(1-$B$10))</f>
        <v>3986.99633903849</v>
      </c>
      <c r="N99" s="14" t="n">
        <f aca="true">$B$16+NORMINV(RAND(),0,SQRT($B$13*($B$7+$B$8^2))*$B$9*(1-$B$10))</f>
        <v>3928.16801431366</v>
      </c>
      <c r="O99" s="14" t="n">
        <f aca="true">$B$16+NORMINV(RAND(),0,SQRT($B$13*($B$7+$B$8^2))*$B$9*(1-$B$10))</f>
        <v>4098.29804145247</v>
      </c>
      <c r="P99" s="14" t="n">
        <f aca="true">$B$16+NORMINV(RAND(),0,SQRT($B$13*($B$7+$B$8^2))*$B$9*(1-$B$10))</f>
        <v>4315.57261346061</v>
      </c>
      <c r="Q99" s="14" t="n">
        <f aca="true">$B$16+NORMINV(RAND(),0,SQRT($B$13*($B$7+$B$8^2))*$B$9*(1-$B$10))</f>
        <v>4359.43294503952</v>
      </c>
      <c r="R99" s="14" t="n">
        <f aca="false">$B$4-13*($B$5+$B$6)/30-IF($B$11&lt;=13,$B$12,0)+0</f>
        <v>8876.66666666667</v>
      </c>
      <c r="S99" s="14" t="n">
        <f aca="false">$B$4-27*($B$5+$B$6)/30-IF($B$11&lt;=27,$B$12,0)+L99</f>
        <v>10238.9766478329</v>
      </c>
      <c r="T99" s="14" t="n">
        <f aca="false">$B$4-41*($B$5+$B$6)/30-IF($B$11&lt;=41,$B$12,0)+L99+M99</f>
        <v>754.506320204731</v>
      </c>
      <c r="U99" s="14" t="n">
        <f aca="false">$B$4-55*($B$5+$B$6)/30-IF($B$11&lt;=55,$B$12,0)+L99+M99+N99</f>
        <v>2396.00766785173</v>
      </c>
      <c r="V99" s="14" t="n">
        <f aca="false">$B$4-69*($B$5+$B$6)/30-IF($B$11&lt;=69,$B$12,0)+L99+M99+N99+O99</f>
        <v>4207.63904263753</v>
      </c>
      <c r="W99" s="14" t="n">
        <f aca="false">$B$4-83*($B$5+$B$6)/30-IF($B$11&lt;=83,$B$12,0)+L99+M99+N99+O99+P99</f>
        <v>6236.54498943147</v>
      </c>
      <c r="X99" s="14" t="n">
        <f aca="false">$B$4-90*($B$5+$B$6)/30-IF($B$11&lt;=90,$B$12,0)+L99+M99+N99+O99+P99+Q99</f>
        <v>9452.64460113766</v>
      </c>
      <c r="AA99" s="14" t="n">
        <f aca="false">MIN(R99:X99)</f>
        <v>754.506320204731</v>
      </c>
    </row>
    <row r="100" customFormat="false" ht="15" hidden="false" customHeight="false" outlineLevel="0" collapsed="false">
      <c r="K100" s="2" t="n">
        <v>95</v>
      </c>
      <c r="L100" s="14" t="n">
        <f aca="true">$B$16+NORMINV(RAND(),0,SQRT($B$13*($B$7+$B$8^2))*$B$9*(1-$B$10))</f>
        <v>4047.85912275812</v>
      </c>
      <c r="M100" s="14" t="n">
        <f aca="true">$B$16+NORMINV(RAND(),0,SQRT($B$13*($B$7+$B$8^2))*$B$9*(1-$B$10))</f>
        <v>3678.13441796767</v>
      </c>
      <c r="N100" s="14" t="n">
        <f aca="true">$B$16+NORMINV(RAND(),0,SQRT($B$13*($B$7+$B$8^2))*$B$9*(1-$B$10))</f>
        <v>3969.81366430044</v>
      </c>
      <c r="O100" s="14" t="n">
        <f aca="true">$B$16+NORMINV(RAND(),0,SQRT($B$13*($B$7+$B$8^2))*$B$9*(1-$B$10))</f>
        <v>3823.0781728236</v>
      </c>
      <c r="P100" s="14" t="n">
        <f aca="true">$B$16+NORMINV(RAND(),0,SQRT($B$13*($B$7+$B$8^2))*$B$9*(1-$B$10))</f>
        <v>3836.33194981911</v>
      </c>
      <c r="Q100" s="14" t="n">
        <f aca="true">$B$16+NORMINV(RAND(),0,SQRT($B$13*($B$7+$B$8^2))*$B$9*(1-$B$10))</f>
        <v>3946.09004408743</v>
      </c>
      <c r="R100" s="14" t="n">
        <f aca="false">$B$4-13*($B$5+$B$6)/30-IF($B$11&lt;=13,$B$12,0)+0</f>
        <v>8876.66666666667</v>
      </c>
      <c r="S100" s="14" t="n">
        <f aca="false">$B$4-27*($B$5+$B$6)/30-IF($B$11&lt;=27,$B$12,0)+L100</f>
        <v>10637.8591227581</v>
      </c>
      <c r="T100" s="14" t="n">
        <f aca="false">$B$4-41*($B$5+$B$6)/30-IF($B$11&lt;=41,$B$12,0)+L100+M100</f>
        <v>844.526874059118</v>
      </c>
      <c r="U100" s="14" t="n">
        <f aca="false">$B$4-55*($B$5+$B$6)/30-IF($B$11&lt;=55,$B$12,0)+L100+M100+N100</f>
        <v>2527.67387169289</v>
      </c>
      <c r="V100" s="14" t="n">
        <f aca="false">$B$4-69*($B$5+$B$6)/30-IF($B$11&lt;=69,$B$12,0)+L100+M100+N100+O100</f>
        <v>4064.08537784982</v>
      </c>
      <c r="W100" s="14" t="n">
        <f aca="false">$B$4-83*($B$5+$B$6)/30-IF($B$11&lt;=83,$B$12,0)+L100+M100+N100+O100+P100</f>
        <v>5613.75066100227</v>
      </c>
      <c r="X100" s="14" t="n">
        <f aca="false">$B$4-90*($B$5+$B$6)/30-IF($B$11&lt;=90,$B$12,0)+L100+M100+N100+O100+P100+Q100</f>
        <v>8416.50737175636</v>
      </c>
      <c r="AA100" s="14" t="n">
        <f aca="false">MIN(R100:X100)</f>
        <v>844.526874059118</v>
      </c>
    </row>
    <row r="101" customFormat="false" ht="15" hidden="false" customHeight="false" outlineLevel="0" collapsed="false">
      <c r="K101" s="2" t="n">
        <v>96</v>
      </c>
      <c r="L101" s="14" t="n">
        <f aca="true">$B$16+NORMINV(RAND(),0,SQRT($B$13*($B$7+$B$8^2))*$B$9*(1-$B$10))</f>
        <v>3952.18811164835</v>
      </c>
      <c r="M101" s="14" t="n">
        <f aca="true">$B$16+NORMINV(RAND(),0,SQRT($B$13*($B$7+$B$8^2))*$B$9*(1-$B$10))</f>
        <v>3785.08293759007</v>
      </c>
      <c r="N101" s="14" t="n">
        <f aca="true">$B$16+NORMINV(RAND(),0,SQRT($B$13*($B$7+$B$8^2))*$B$9*(1-$B$10))</f>
        <v>4064.49740332699</v>
      </c>
      <c r="O101" s="14" t="n">
        <f aca="true">$B$16+NORMINV(RAND(),0,SQRT($B$13*($B$7+$B$8^2))*$B$9*(1-$B$10))</f>
        <v>3948.39377709011</v>
      </c>
      <c r="P101" s="14" t="n">
        <f aca="true">$B$16+NORMINV(RAND(),0,SQRT($B$13*($B$7+$B$8^2))*$B$9*(1-$B$10))</f>
        <v>4017.90020906432</v>
      </c>
      <c r="Q101" s="14" t="n">
        <f aca="true">$B$16+NORMINV(RAND(),0,SQRT($B$13*($B$7+$B$8^2))*$B$9*(1-$B$10))</f>
        <v>4270.01605921058</v>
      </c>
      <c r="R101" s="14" t="n">
        <f aca="false">$B$4-13*($B$5+$B$6)/30-IF($B$11&lt;=13,$B$12,0)+0</f>
        <v>8876.66666666667</v>
      </c>
      <c r="S101" s="14" t="n">
        <f aca="false">$B$4-27*($B$5+$B$6)/30-IF($B$11&lt;=27,$B$12,0)+L101</f>
        <v>10542.1881116484</v>
      </c>
      <c r="T101" s="14" t="n">
        <f aca="false">$B$4-41*($B$5+$B$6)/30-IF($B$11&lt;=41,$B$12,0)+L101+M101</f>
        <v>855.804382571754</v>
      </c>
      <c r="U101" s="14" t="n">
        <f aca="false">$B$4-55*($B$5+$B$6)/30-IF($B$11&lt;=55,$B$12,0)+L101+M101+N101</f>
        <v>2633.63511923208</v>
      </c>
      <c r="V101" s="14" t="n">
        <f aca="false">$B$4-69*($B$5+$B$6)/30-IF($B$11&lt;=69,$B$12,0)+L101+M101+N101+O101</f>
        <v>4295.36222965552</v>
      </c>
      <c r="W101" s="14" t="n">
        <f aca="false">$B$4-83*($B$5+$B$6)/30-IF($B$11&lt;=83,$B$12,0)+L101+M101+N101+O101+P101</f>
        <v>6026.59577205317</v>
      </c>
      <c r="X101" s="14" t="n">
        <f aca="false">$B$4-90*($B$5+$B$6)/30-IF($B$11&lt;=90,$B$12,0)+L101+M101+N101+O101+P101+Q101</f>
        <v>9153.27849793042</v>
      </c>
      <c r="AA101" s="14" t="n">
        <f aca="false">MIN(R101:X101)</f>
        <v>855.804382571754</v>
      </c>
    </row>
    <row r="102" customFormat="false" ht="15" hidden="false" customHeight="false" outlineLevel="0" collapsed="false">
      <c r="K102" s="2" t="n">
        <v>97</v>
      </c>
      <c r="L102" s="14" t="n">
        <f aca="true">$B$16+NORMINV(RAND(),0,SQRT($B$13*($B$7+$B$8^2))*$B$9*(1-$B$10))</f>
        <v>3761.04070734118</v>
      </c>
      <c r="M102" s="14" t="n">
        <f aca="true">$B$16+NORMINV(RAND(),0,SQRT($B$13*($B$7+$B$8^2))*$B$9*(1-$B$10))</f>
        <v>3908.66174692182</v>
      </c>
      <c r="N102" s="14" t="n">
        <f aca="true">$B$16+NORMINV(RAND(),0,SQRT($B$13*($B$7+$B$8^2))*$B$9*(1-$B$10))</f>
        <v>3714.92790832603</v>
      </c>
      <c r="O102" s="14" t="n">
        <f aca="true">$B$16+NORMINV(RAND(),0,SQRT($B$13*($B$7+$B$8^2))*$B$9*(1-$B$10))</f>
        <v>4190.00672520237</v>
      </c>
      <c r="P102" s="14" t="n">
        <f aca="true">$B$16+NORMINV(RAND(),0,SQRT($B$13*($B$7+$B$8^2))*$B$9*(1-$B$10))</f>
        <v>3936.04665416925</v>
      </c>
      <c r="Q102" s="14" t="n">
        <f aca="true">$B$16+NORMINV(RAND(),0,SQRT($B$13*($B$7+$B$8^2))*$B$9*(1-$B$10))</f>
        <v>4495.84135935465</v>
      </c>
      <c r="R102" s="14" t="n">
        <f aca="false">$B$4-13*($B$5+$B$6)/30-IF($B$11&lt;=13,$B$12,0)+0</f>
        <v>8876.66666666667</v>
      </c>
      <c r="S102" s="14" t="n">
        <f aca="false">$B$4-27*($B$5+$B$6)/30-IF($B$11&lt;=27,$B$12,0)+L102</f>
        <v>10351.0407073412</v>
      </c>
      <c r="T102" s="14" t="n">
        <f aca="false">$B$4-41*($B$5+$B$6)/30-IF($B$11&lt;=41,$B$12,0)+L102+M102</f>
        <v>788.235787596328</v>
      </c>
      <c r="U102" s="14" t="n">
        <f aca="false">$B$4-55*($B$5+$B$6)/30-IF($B$11&lt;=55,$B$12,0)+L102+M102+N102</f>
        <v>2216.49702925569</v>
      </c>
      <c r="V102" s="14" t="n">
        <f aca="false">$B$4-69*($B$5+$B$6)/30-IF($B$11&lt;=69,$B$12,0)+L102+M102+N102+O102</f>
        <v>4119.83708779139</v>
      </c>
      <c r="W102" s="14" t="n">
        <f aca="false">$B$4-83*($B$5+$B$6)/30-IF($B$11&lt;=83,$B$12,0)+L102+M102+N102+O102+P102</f>
        <v>5769.21707529398</v>
      </c>
      <c r="X102" s="14" t="n">
        <f aca="false">$B$4-90*($B$5+$B$6)/30-IF($B$11&lt;=90,$B$12,0)+L102+M102+N102+O102+P102+Q102</f>
        <v>9121.72510131529</v>
      </c>
      <c r="AA102" s="14" t="n">
        <f aca="false">MIN(R102:X102)</f>
        <v>788.235787596328</v>
      </c>
    </row>
    <row r="103" customFormat="false" ht="15" hidden="false" customHeight="false" outlineLevel="0" collapsed="false">
      <c r="K103" s="2" t="n">
        <v>98</v>
      </c>
      <c r="L103" s="14" t="n">
        <f aca="true">$B$16+NORMINV(RAND(),0,SQRT($B$13*($B$7+$B$8^2))*$B$9*(1-$B$10))</f>
        <v>4404.2509705516</v>
      </c>
      <c r="M103" s="14" t="n">
        <f aca="true">$B$16+NORMINV(RAND(),0,SQRT($B$13*($B$7+$B$8^2))*$B$9*(1-$B$10))</f>
        <v>3838.30732750141</v>
      </c>
      <c r="N103" s="14" t="n">
        <f aca="true">$B$16+NORMINV(RAND(),0,SQRT($B$13*($B$7+$B$8^2))*$B$9*(1-$B$10))</f>
        <v>3995.16687412331</v>
      </c>
      <c r="O103" s="14" t="n">
        <f aca="true">$B$16+NORMINV(RAND(),0,SQRT($B$13*($B$7+$B$8^2))*$B$9*(1-$B$10))</f>
        <v>4194.04595739505</v>
      </c>
      <c r="P103" s="14" t="n">
        <f aca="true">$B$16+NORMINV(RAND(),0,SQRT($B$13*($B$7+$B$8^2))*$B$9*(1-$B$10))</f>
        <v>3605.6128260955</v>
      </c>
      <c r="Q103" s="14" t="n">
        <f aca="true">$B$16+NORMINV(RAND(),0,SQRT($B$13*($B$7+$B$8^2))*$B$9*(1-$B$10))</f>
        <v>4459.70984118362</v>
      </c>
      <c r="R103" s="14" t="n">
        <f aca="false">$B$4-13*($B$5+$B$6)/30-IF($B$11&lt;=13,$B$12,0)+0</f>
        <v>8876.66666666667</v>
      </c>
      <c r="S103" s="14" t="n">
        <f aca="false">$B$4-27*($B$5+$B$6)/30-IF($B$11&lt;=27,$B$12,0)+L103</f>
        <v>10994.2509705516</v>
      </c>
      <c r="T103" s="14" t="n">
        <f aca="false">$B$4-41*($B$5+$B$6)/30-IF($B$11&lt;=41,$B$12,0)+L103+M103</f>
        <v>1361.09163138634</v>
      </c>
      <c r="U103" s="14" t="n">
        <f aca="false">$B$4-55*($B$5+$B$6)/30-IF($B$11&lt;=55,$B$12,0)+L103+M103+N103</f>
        <v>3069.59183884298</v>
      </c>
      <c r="V103" s="14" t="n">
        <f aca="false">$B$4-69*($B$5+$B$6)/30-IF($B$11&lt;=69,$B$12,0)+L103+M103+N103+O103</f>
        <v>4976.97112957136</v>
      </c>
      <c r="W103" s="14" t="n">
        <f aca="false">$B$4-83*($B$5+$B$6)/30-IF($B$11&lt;=83,$B$12,0)+L103+M103+N103+O103+P103</f>
        <v>6295.9172890002</v>
      </c>
      <c r="X103" s="14" t="n">
        <f aca="false">$B$4-90*($B$5+$B$6)/30-IF($B$11&lt;=90,$B$12,0)+L103+M103+N103+O103+P103+Q103</f>
        <v>9612.29379685049</v>
      </c>
      <c r="AA103" s="14" t="n">
        <f aca="false">MIN(R103:X103)</f>
        <v>1361.09163138634</v>
      </c>
    </row>
    <row r="104" customFormat="false" ht="15" hidden="false" customHeight="false" outlineLevel="0" collapsed="false">
      <c r="K104" s="2" t="n">
        <v>99</v>
      </c>
      <c r="L104" s="14" t="n">
        <f aca="true">$B$16+NORMINV(RAND(),0,SQRT($B$13*($B$7+$B$8^2))*$B$9*(1-$B$10))</f>
        <v>3738.29587640989</v>
      </c>
      <c r="M104" s="14" t="n">
        <f aca="true">$B$16+NORMINV(RAND(),0,SQRT($B$13*($B$7+$B$8^2))*$B$9*(1-$B$10))</f>
        <v>4043.12158444404</v>
      </c>
      <c r="N104" s="14" t="n">
        <f aca="true">$B$16+NORMINV(RAND(),0,SQRT($B$13*($B$7+$B$8^2))*$B$9*(1-$B$10))</f>
        <v>3859.42045166728</v>
      </c>
      <c r="O104" s="14" t="n">
        <f aca="true">$B$16+NORMINV(RAND(),0,SQRT($B$13*($B$7+$B$8^2))*$B$9*(1-$B$10))</f>
        <v>3903.66882728966</v>
      </c>
      <c r="P104" s="14" t="n">
        <f aca="true">$B$16+NORMINV(RAND(),0,SQRT($B$13*($B$7+$B$8^2))*$B$9*(1-$B$10))</f>
        <v>4060.21111017249</v>
      </c>
      <c r="Q104" s="14" t="n">
        <f aca="true">$B$16+NORMINV(RAND(),0,SQRT($B$13*($B$7+$B$8^2))*$B$9*(1-$B$10))</f>
        <v>4186.83080479509</v>
      </c>
      <c r="R104" s="14" t="n">
        <f aca="false">$B$4-13*($B$5+$B$6)/30-IF($B$11&lt;=13,$B$12,0)+0</f>
        <v>8876.66666666667</v>
      </c>
      <c r="S104" s="14" t="n">
        <f aca="false">$B$4-27*($B$5+$B$6)/30-IF($B$11&lt;=27,$B$12,0)+L104</f>
        <v>10328.2958764099</v>
      </c>
      <c r="T104" s="14" t="n">
        <f aca="false">$B$4-41*($B$5+$B$6)/30-IF($B$11&lt;=41,$B$12,0)+L104+M104</f>
        <v>899.95079418726</v>
      </c>
      <c r="U104" s="14" t="n">
        <f aca="false">$B$4-55*($B$5+$B$6)/30-IF($B$11&lt;=55,$B$12,0)+L104+M104+N104</f>
        <v>2472.70457918788</v>
      </c>
      <c r="V104" s="14" t="n">
        <f aca="false">$B$4-69*($B$5+$B$6)/30-IF($B$11&lt;=69,$B$12,0)+L104+M104+N104+O104</f>
        <v>4089.70673981087</v>
      </c>
      <c r="W104" s="14" t="n">
        <f aca="false">$B$4-83*($B$5+$B$6)/30-IF($B$11&lt;=83,$B$12,0)+L104+M104+N104+O104+P104</f>
        <v>5863.25118331669</v>
      </c>
      <c r="X104" s="14" t="n">
        <f aca="false">$B$4-90*($B$5+$B$6)/30-IF($B$11&lt;=90,$B$12,0)+L104+M104+N104+O104+P104+Q104</f>
        <v>8906.74865477845</v>
      </c>
      <c r="AA104" s="14" t="n">
        <f aca="false">MIN(R104:X104)</f>
        <v>899.95079418726</v>
      </c>
    </row>
    <row r="105" customFormat="false" ht="15" hidden="false" customHeight="false" outlineLevel="0" collapsed="false">
      <c r="K105" s="2" t="n">
        <v>100</v>
      </c>
      <c r="L105" s="14" t="n">
        <f aca="true">$B$16+NORMINV(RAND(),0,SQRT($B$13*($B$7+$B$8^2))*$B$9*(1-$B$10))</f>
        <v>3944.5259566567</v>
      </c>
      <c r="M105" s="14" t="n">
        <f aca="true">$B$16+NORMINV(RAND(),0,SQRT($B$13*($B$7+$B$8^2))*$B$9*(1-$B$10))</f>
        <v>3801.98564561201</v>
      </c>
      <c r="N105" s="14" t="n">
        <f aca="true">$B$16+NORMINV(RAND(),0,SQRT($B$13*($B$7+$B$8^2))*$B$9*(1-$B$10))</f>
        <v>3480.42092906721</v>
      </c>
      <c r="O105" s="14" t="n">
        <f aca="true">$B$16+NORMINV(RAND(),0,SQRT($B$13*($B$7+$B$8^2))*$B$9*(1-$B$10))</f>
        <v>4004.98029883373</v>
      </c>
      <c r="P105" s="14" t="n">
        <f aca="true">$B$16+NORMINV(RAND(),0,SQRT($B$13*($B$7+$B$8^2))*$B$9*(1-$B$10))</f>
        <v>3208.00817275951</v>
      </c>
      <c r="Q105" s="14" t="n">
        <f aca="true">$B$16+NORMINV(RAND(),0,SQRT($B$13*($B$7+$B$8^2))*$B$9*(1-$B$10))</f>
        <v>4116.35387401824</v>
      </c>
      <c r="R105" s="14" t="n">
        <f aca="false">$B$4-13*($B$5+$B$6)/30-IF($B$11&lt;=13,$B$12,0)+0</f>
        <v>8876.66666666667</v>
      </c>
      <c r="S105" s="14" t="n">
        <f aca="false">$B$4-27*($B$5+$B$6)/30-IF($B$11&lt;=27,$B$12,0)+L105</f>
        <v>10534.5259566567</v>
      </c>
      <c r="T105" s="14" t="n">
        <f aca="false">$B$4-41*($B$5+$B$6)/30-IF($B$11&lt;=41,$B$12,0)+L105+M105</f>
        <v>865.04493560205</v>
      </c>
      <c r="U105" s="14" t="n">
        <f aca="false">$B$4-55*($B$5+$B$6)/30-IF($B$11&lt;=55,$B$12,0)+L105+M105+N105</f>
        <v>2058.79919800259</v>
      </c>
      <c r="V105" s="14" t="n">
        <f aca="false">$B$4-69*($B$5+$B$6)/30-IF($B$11&lt;=69,$B$12,0)+L105+M105+N105+O105</f>
        <v>3777.11283016966</v>
      </c>
      <c r="W105" s="14" t="n">
        <f aca="false">$B$4-83*($B$5+$B$6)/30-IF($B$11&lt;=83,$B$12,0)+L105+M105+N105+O105+P105</f>
        <v>4698.4543362625</v>
      </c>
      <c r="X105" s="14" t="n">
        <f aca="false">$B$4-90*($B$5+$B$6)/30-IF($B$11&lt;=90,$B$12,0)+L105+M105+N105+O105+P105+Q105</f>
        <v>7671.4748769474</v>
      </c>
      <c r="AA105" s="14" t="n">
        <f aca="false">MIN(R105:X105)</f>
        <v>865.04493560205</v>
      </c>
    </row>
    <row r="106" customFormat="false" ht="15" hidden="false" customHeight="false" outlineLevel="0" collapsed="false">
      <c r="K106" s="2" t="n">
        <v>101</v>
      </c>
      <c r="L106" s="14" t="n">
        <f aca="true">$B$16+NORMINV(RAND(),0,SQRT($B$13*($B$7+$B$8^2))*$B$9*(1-$B$10))</f>
        <v>4098.3775216712</v>
      </c>
      <c r="M106" s="14" t="n">
        <f aca="true">$B$16+NORMINV(RAND(),0,SQRT($B$13*($B$7+$B$8^2))*$B$9*(1-$B$10))</f>
        <v>4093.36726882487</v>
      </c>
      <c r="N106" s="14" t="n">
        <f aca="true">$B$16+NORMINV(RAND(),0,SQRT($B$13*($B$7+$B$8^2))*$B$9*(1-$B$10))</f>
        <v>3704.8070522905</v>
      </c>
      <c r="O106" s="14" t="n">
        <f aca="true">$B$16+NORMINV(RAND(),0,SQRT($B$13*($B$7+$B$8^2))*$B$9*(1-$B$10))</f>
        <v>4287.84629337195</v>
      </c>
      <c r="P106" s="14" t="n">
        <f aca="true">$B$16+NORMINV(RAND(),0,SQRT($B$13*($B$7+$B$8^2))*$B$9*(1-$B$10))</f>
        <v>4312.76268526331</v>
      </c>
      <c r="Q106" s="14" t="n">
        <f aca="true">$B$16+NORMINV(RAND(),0,SQRT($B$13*($B$7+$B$8^2))*$B$9*(1-$B$10))</f>
        <v>3895.35121109604</v>
      </c>
      <c r="R106" s="14" t="n">
        <f aca="false">$B$4-13*($B$5+$B$6)/30-IF($B$11&lt;=13,$B$12,0)+0</f>
        <v>8876.66666666667</v>
      </c>
      <c r="S106" s="14" t="n">
        <f aca="false">$B$4-27*($B$5+$B$6)/30-IF($B$11&lt;=27,$B$12,0)+L106</f>
        <v>10688.3775216712</v>
      </c>
      <c r="T106" s="14" t="n">
        <f aca="false">$B$4-41*($B$5+$B$6)/30-IF($B$11&lt;=41,$B$12,0)+L106+M106</f>
        <v>1310.2781238294</v>
      </c>
      <c r="U106" s="14" t="n">
        <f aca="false">$B$4-55*($B$5+$B$6)/30-IF($B$11&lt;=55,$B$12,0)+L106+M106+N106</f>
        <v>2728.41850945323</v>
      </c>
      <c r="V106" s="14" t="n">
        <f aca="false">$B$4-69*($B$5+$B$6)/30-IF($B$11&lt;=69,$B$12,0)+L106+M106+N106+O106</f>
        <v>4729.59813615852</v>
      </c>
      <c r="W106" s="14" t="n">
        <f aca="false">$B$4-83*($B$5+$B$6)/30-IF($B$11&lt;=83,$B$12,0)+L106+M106+N106+O106+P106</f>
        <v>6755.69415475516</v>
      </c>
      <c r="X106" s="14" t="n">
        <f aca="false">$B$4-90*($B$5+$B$6)/30-IF($B$11&lt;=90,$B$12,0)+L106+M106+N106+O106+P106+Q106</f>
        <v>9507.71203251787</v>
      </c>
      <c r="AA106" s="14" t="n">
        <f aca="false">MIN(R106:X106)</f>
        <v>1310.2781238294</v>
      </c>
    </row>
    <row r="107" customFormat="false" ht="15" hidden="false" customHeight="false" outlineLevel="0" collapsed="false">
      <c r="K107" s="2" t="n">
        <v>102</v>
      </c>
      <c r="L107" s="14" t="n">
        <f aca="true">$B$16+NORMINV(RAND(),0,SQRT($B$13*($B$7+$B$8^2))*$B$9*(1-$B$10))</f>
        <v>3653.12302941461</v>
      </c>
      <c r="M107" s="14" t="n">
        <f aca="true">$B$16+NORMINV(RAND(),0,SQRT($B$13*($B$7+$B$8^2))*$B$9*(1-$B$10))</f>
        <v>3883.28789014075</v>
      </c>
      <c r="N107" s="14" t="n">
        <f aca="true">$B$16+NORMINV(RAND(),0,SQRT($B$13*($B$7+$B$8^2))*$B$9*(1-$B$10))</f>
        <v>4035.52387610649</v>
      </c>
      <c r="O107" s="14" t="n">
        <f aca="true">$B$16+NORMINV(RAND(),0,SQRT($B$13*($B$7+$B$8^2))*$B$9*(1-$B$10))</f>
        <v>4068.56128975087</v>
      </c>
      <c r="P107" s="14" t="n">
        <f aca="true">$B$16+NORMINV(RAND(),0,SQRT($B$13*($B$7+$B$8^2))*$B$9*(1-$B$10))</f>
        <v>3891.08345560525</v>
      </c>
      <c r="Q107" s="14" t="n">
        <f aca="true">$B$16+NORMINV(RAND(),0,SQRT($B$13*($B$7+$B$8^2))*$B$9*(1-$B$10))</f>
        <v>3885.00435708761</v>
      </c>
      <c r="R107" s="14" t="n">
        <f aca="false">$B$4-13*($B$5+$B$6)/30-IF($B$11&lt;=13,$B$12,0)+0</f>
        <v>8876.66666666667</v>
      </c>
      <c r="S107" s="14" t="n">
        <f aca="false">$B$4-27*($B$5+$B$6)/30-IF($B$11&lt;=27,$B$12,0)+L107</f>
        <v>10243.1230294146</v>
      </c>
      <c r="T107" s="14" t="n">
        <f aca="false">$B$4-41*($B$5+$B$6)/30-IF($B$11&lt;=41,$B$12,0)+L107+M107</f>
        <v>654.94425288869</v>
      </c>
      <c r="U107" s="14" t="n">
        <f aca="false">$B$4-55*($B$5+$B$6)/30-IF($B$11&lt;=55,$B$12,0)+L107+M107+N107</f>
        <v>2403.80146232852</v>
      </c>
      <c r="V107" s="14" t="n">
        <f aca="false">$B$4-69*($B$5+$B$6)/30-IF($B$11&lt;=69,$B$12,0)+L107+M107+N107+O107</f>
        <v>4185.69608541272</v>
      </c>
      <c r="W107" s="14" t="n">
        <f aca="false">$B$4-83*($B$5+$B$6)/30-IF($B$11&lt;=83,$B$12,0)+L107+M107+N107+O107+P107</f>
        <v>5790.1128743513</v>
      </c>
      <c r="X107" s="14" t="n">
        <f aca="false">$B$4-90*($B$5+$B$6)/30-IF($B$11&lt;=90,$B$12,0)+L107+M107+N107+O107+P107+Q107</f>
        <v>8531.78389810558</v>
      </c>
      <c r="AA107" s="14" t="n">
        <f aca="false">MIN(R107:X107)</f>
        <v>654.94425288869</v>
      </c>
    </row>
    <row r="108" customFormat="false" ht="15" hidden="false" customHeight="false" outlineLevel="0" collapsed="false">
      <c r="K108" s="2" t="n">
        <v>103</v>
      </c>
      <c r="L108" s="14" t="n">
        <f aca="true">$B$16+NORMINV(RAND(),0,SQRT($B$13*($B$7+$B$8^2))*$B$9*(1-$B$10))</f>
        <v>4591.17927999182</v>
      </c>
      <c r="M108" s="14" t="n">
        <f aca="true">$B$16+NORMINV(RAND(),0,SQRT($B$13*($B$7+$B$8^2))*$B$9*(1-$B$10))</f>
        <v>4259.5741482979</v>
      </c>
      <c r="N108" s="14" t="n">
        <f aca="true">$B$16+NORMINV(RAND(),0,SQRT($B$13*($B$7+$B$8^2))*$B$9*(1-$B$10))</f>
        <v>4456.93915718682</v>
      </c>
      <c r="O108" s="14" t="n">
        <f aca="true">$B$16+NORMINV(RAND(),0,SQRT($B$13*($B$7+$B$8^2))*$B$9*(1-$B$10))</f>
        <v>3984.92032665581</v>
      </c>
      <c r="P108" s="14" t="n">
        <f aca="true">$B$16+NORMINV(RAND(),0,SQRT($B$13*($B$7+$B$8^2))*$B$9*(1-$B$10))</f>
        <v>4123.14064618117</v>
      </c>
      <c r="Q108" s="14" t="n">
        <f aca="true">$B$16+NORMINV(RAND(),0,SQRT($B$13*($B$7+$B$8^2))*$B$9*(1-$B$10))</f>
        <v>3657.84478319676</v>
      </c>
      <c r="R108" s="14" t="n">
        <f aca="false">$B$4-13*($B$5+$B$6)/30-IF($B$11&lt;=13,$B$12,0)+0</f>
        <v>8876.66666666667</v>
      </c>
      <c r="S108" s="14" t="n">
        <f aca="false">$B$4-27*($B$5+$B$6)/30-IF($B$11&lt;=27,$B$12,0)+L108</f>
        <v>11181.1792799918</v>
      </c>
      <c r="T108" s="14" t="n">
        <f aca="false">$B$4-41*($B$5+$B$6)/30-IF($B$11&lt;=41,$B$12,0)+L108+M108</f>
        <v>1969.28676162305</v>
      </c>
      <c r="U108" s="14" t="n">
        <f aca="false">$B$4-55*($B$5+$B$6)/30-IF($B$11&lt;=55,$B$12,0)+L108+M108+N108</f>
        <v>4139.5592521432</v>
      </c>
      <c r="V108" s="14" t="n">
        <f aca="false">$B$4-69*($B$5+$B$6)/30-IF($B$11&lt;=69,$B$12,0)+L108+M108+N108+O108</f>
        <v>5837.81291213234</v>
      </c>
      <c r="W108" s="14" t="n">
        <f aca="false">$B$4-83*($B$5+$B$6)/30-IF($B$11&lt;=83,$B$12,0)+L108+M108+N108+O108+P108</f>
        <v>7674.28689164684</v>
      </c>
      <c r="X108" s="14" t="n">
        <f aca="false">$B$4-90*($B$5+$B$6)/30-IF($B$11&lt;=90,$B$12,0)+L108+M108+N108+O108+P108+Q108</f>
        <v>10188.7983415103</v>
      </c>
      <c r="AA108" s="14" t="n">
        <f aca="false">MIN(R108:X108)</f>
        <v>1969.28676162305</v>
      </c>
    </row>
    <row r="109" customFormat="false" ht="15" hidden="false" customHeight="false" outlineLevel="0" collapsed="false">
      <c r="K109" s="2" t="n">
        <v>104</v>
      </c>
      <c r="L109" s="14" t="n">
        <f aca="true">$B$16+NORMINV(RAND(),0,SQRT($B$13*($B$7+$B$8^2))*$B$9*(1-$B$10))</f>
        <v>4202.01836475008</v>
      </c>
      <c r="M109" s="14" t="n">
        <f aca="true">$B$16+NORMINV(RAND(),0,SQRT($B$13*($B$7+$B$8^2))*$B$9*(1-$B$10))</f>
        <v>3759.36904367895</v>
      </c>
      <c r="N109" s="14" t="n">
        <f aca="true">$B$16+NORMINV(RAND(),0,SQRT($B$13*($B$7+$B$8^2))*$B$9*(1-$B$10))</f>
        <v>3800.0067358921</v>
      </c>
      <c r="O109" s="14" t="n">
        <f aca="true">$B$16+NORMINV(RAND(),0,SQRT($B$13*($B$7+$B$8^2))*$B$9*(1-$B$10))</f>
        <v>3736.90595034288</v>
      </c>
      <c r="P109" s="14" t="n">
        <f aca="true">$B$16+NORMINV(RAND(),0,SQRT($B$13*($B$7+$B$8^2))*$B$9*(1-$B$10))</f>
        <v>3862.75649261423</v>
      </c>
      <c r="Q109" s="14" t="n">
        <f aca="true">$B$16+NORMINV(RAND(),0,SQRT($B$13*($B$7+$B$8^2))*$B$9*(1-$B$10))</f>
        <v>4248.13570044702</v>
      </c>
      <c r="R109" s="14" t="n">
        <f aca="false">$B$4-13*($B$5+$B$6)/30-IF($B$11&lt;=13,$B$12,0)+0</f>
        <v>8876.66666666667</v>
      </c>
      <c r="S109" s="14" t="n">
        <f aca="false">$B$4-27*($B$5+$B$6)/30-IF($B$11&lt;=27,$B$12,0)+L109</f>
        <v>10792.0183647501</v>
      </c>
      <c r="T109" s="14" t="n">
        <f aca="false">$B$4-41*($B$5+$B$6)/30-IF($B$11&lt;=41,$B$12,0)+L109+M109</f>
        <v>1079.92074176236</v>
      </c>
      <c r="U109" s="14" t="n">
        <f aca="false">$B$4-55*($B$5+$B$6)/30-IF($B$11&lt;=55,$B$12,0)+L109+M109+N109</f>
        <v>2593.26081098779</v>
      </c>
      <c r="V109" s="14" t="n">
        <f aca="false">$B$4-69*($B$5+$B$6)/30-IF($B$11&lt;=69,$B$12,0)+L109+M109+N109+O109</f>
        <v>4043.50009466401</v>
      </c>
      <c r="W109" s="14" t="n">
        <f aca="false">$B$4-83*($B$5+$B$6)/30-IF($B$11&lt;=83,$B$12,0)+L109+M109+N109+O109+P109</f>
        <v>5619.58992061157</v>
      </c>
      <c r="X109" s="14" t="n">
        <f aca="false">$B$4-90*($B$5+$B$6)/30-IF($B$11&lt;=90,$B$12,0)+L109+M109+N109+O109+P109+Q109</f>
        <v>8724.39228772526</v>
      </c>
      <c r="AA109" s="14" t="n">
        <f aca="false">MIN(R109:X109)</f>
        <v>1079.92074176236</v>
      </c>
    </row>
    <row r="110" customFormat="false" ht="15" hidden="false" customHeight="false" outlineLevel="0" collapsed="false">
      <c r="K110" s="2" t="n">
        <v>105</v>
      </c>
      <c r="L110" s="14" t="n">
        <f aca="true">$B$16+NORMINV(RAND(),0,SQRT($B$13*($B$7+$B$8^2))*$B$9*(1-$B$10))</f>
        <v>4055.07631230457</v>
      </c>
      <c r="M110" s="14" t="n">
        <f aca="true">$B$16+NORMINV(RAND(),0,SQRT($B$13*($B$7+$B$8^2))*$B$9*(1-$B$10))</f>
        <v>3948.3832292136</v>
      </c>
      <c r="N110" s="14" t="n">
        <f aca="true">$B$16+NORMINV(RAND(),0,SQRT($B$13*($B$7+$B$8^2))*$B$9*(1-$B$10))</f>
        <v>4446.80832291786</v>
      </c>
      <c r="O110" s="14" t="n">
        <f aca="true">$B$16+NORMINV(RAND(),0,SQRT($B$13*($B$7+$B$8^2))*$B$9*(1-$B$10))</f>
        <v>4200.21640071765</v>
      </c>
      <c r="P110" s="14" t="n">
        <f aca="true">$B$16+NORMINV(RAND(),0,SQRT($B$13*($B$7+$B$8^2))*$B$9*(1-$B$10))</f>
        <v>4250.03097401227</v>
      </c>
      <c r="Q110" s="14" t="n">
        <f aca="true">$B$16+NORMINV(RAND(),0,SQRT($B$13*($B$7+$B$8^2))*$B$9*(1-$B$10))</f>
        <v>3988.77514033021</v>
      </c>
      <c r="R110" s="14" t="n">
        <f aca="false">$B$4-13*($B$5+$B$6)/30-IF($B$11&lt;=13,$B$12,0)+0</f>
        <v>8876.66666666667</v>
      </c>
      <c r="S110" s="14" t="n">
        <f aca="false">$B$4-27*($B$5+$B$6)/30-IF($B$11&lt;=27,$B$12,0)+L110</f>
        <v>10645.0763123046</v>
      </c>
      <c r="T110" s="14" t="n">
        <f aca="false">$B$4-41*($B$5+$B$6)/30-IF($B$11&lt;=41,$B$12,0)+L110+M110</f>
        <v>1121.9928748515</v>
      </c>
      <c r="U110" s="14" t="n">
        <f aca="false">$B$4-55*($B$5+$B$6)/30-IF($B$11&lt;=55,$B$12,0)+L110+M110+N110</f>
        <v>3282.1345311027</v>
      </c>
      <c r="V110" s="14" t="n">
        <f aca="false">$B$4-69*($B$5+$B$6)/30-IF($B$11&lt;=69,$B$12,0)+L110+M110+N110+O110</f>
        <v>5195.68426515369</v>
      </c>
      <c r="W110" s="14" t="n">
        <f aca="false">$B$4-83*($B$5+$B$6)/30-IF($B$11&lt;=83,$B$12,0)+L110+M110+N110+O110+P110</f>
        <v>7159.04857249929</v>
      </c>
      <c r="X110" s="14" t="n">
        <f aca="false">$B$4-90*($B$5+$B$6)/30-IF($B$11&lt;=90,$B$12,0)+L110+M110+N110+O110+P110+Q110</f>
        <v>10004.4903794962</v>
      </c>
      <c r="AA110" s="14" t="n">
        <f aca="false">MIN(R110:X110)</f>
        <v>1121.9928748515</v>
      </c>
    </row>
    <row r="111" customFormat="false" ht="15" hidden="false" customHeight="false" outlineLevel="0" collapsed="false">
      <c r="K111" s="2" t="n">
        <v>106</v>
      </c>
      <c r="L111" s="14" t="n">
        <f aca="true">$B$16+NORMINV(RAND(),0,SQRT($B$13*($B$7+$B$8^2))*$B$9*(1-$B$10))</f>
        <v>4694.49885616822</v>
      </c>
      <c r="M111" s="14" t="n">
        <f aca="true">$B$16+NORMINV(RAND(),0,SQRT($B$13*($B$7+$B$8^2))*$B$9*(1-$B$10))</f>
        <v>4133.61749290471</v>
      </c>
      <c r="N111" s="14" t="n">
        <f aca="true">$B$16+NORMINV(RAND(),0,SQRT($B$13*($B$7+$B$8^2))*$B$9*(1-$B$10))</f>
        <v>4338.27729816849</v>
      </c>
      <c r="O111" s="14" t="n">
        <f aca="true">$B$16+NORMINV(RAND(),0,SQRT($B$13*($B$7+$B$8^2))*$B$9*(1-$B$10))</f>
        <v>4222.26986792246</v>
      </c>
      <c r="P111" s="14" t="n">
        <f aca="true">$B$16+NORMINV(RAND(),0,SQRT($B$13*($B$7+$B$8^2))*$B$9*(1-$B$10))</f>
        <v>4384.53705393291</v>
      </c>
      <c r="Q111" s="14" t="n">
        <f aca="true">$B$16+NORMINV(RAND(),0,SQRT($B$13*($B$7+$B$8^2))*$B$9*(1-$B$10))</f>
        <v>4753.94855252126</v>
      </c>
      <c r="R111" s="14" t="n">
        <f aca="false">$B$4-13*($B$5+$B$6)/30-IF($B$11&lt;=13,$B$12,0)+0</f>
        <v>8876.66666666667</v>
      </c>
      <c r="S111" s="14" t="n">
        <f aca="false">$B$4-27*($B$5+$B$6)/30-IF($B$11&lt;=27,$B$12,0)+L111</f>
        <v>11284.4988561682</v>
      </c>
      <c r="T111" s="14" t="n">
        <f aca="false">$B$4-41*($B$5+$B$6)/30-IF($B$11&lt;=41,$B$12,0)+L111+M111</f>
        <v>1946.64968240627</v>
      </c>
      <c r="U111" s="14" t="n">
        <f aca="false">$B$4-55*($B$5+$B$6)/30-IF($B$11&lt;=55,$B$12,0)+L111+M111+N111</f>
        <v>3998.26031390809</v>
      </c>
      <c r="V111" s="14" t="n">
        <f aca="false">$B$4-69*($B$5+$B$6)/30-IF($B$11&lt;=69,$B$12,0)+L111+M111+N111+O111</f>
        <v>5933.86351516388</v>
      </c>
      <c r="W111" s="14" t="n">
        <f aca="false">$B$4-83*($B$5+$B$6)/30-IF($B$11&lt;=83,$B$12,0)+L111+M111+N111+O111+P111</f>
        <v>8031.73390243012</v>
      </c>
      <c r="X111" s="14" t="n">
        <f aca="false">$B$4-90*($B$5+$B$6)/30-IF($B$11&lt;=90,$B$12,0)+L111+M111+N111+O111+P111+Q111</f>
        <v>11642.349121618</v>
      </c>
      <c r="AA111" s="14" t="n">
        <f aca="false">MIN(R111:X111)</f>
        <v>1946.64968240627</v>
      </c>
    </row>
    <row r="112" customFormat="false" ht="15" hidden="false" customHeight="false" outlineLevel="0" collapsed="false">
      <c r="K112" s="2" t="n">
        <v>107</v>
      </c>
      <c r="L112" s="14" t="n">
        <f aca="true">$B$16+NORMINV(RAND(),0,SQRT($B$13*($B$7+$B$8^2))*$B$9*(1-$B$10))</f>
        <v>4598.63871009135</v>
      </c>
      <c r="M112" s="14" t="n">
        <f aca="true">$B$16+NORMINV(RAND(),0,SQRT($B$13*($B$7+$B$8^2))*$B$9*(1-$B$10))</f>
        <v>3522.99825420944</v>
      </c>
      <c r="N112" s="14" t="n">
        <f aca="true">$B$16+NORMINV(RAND(),0,SQRT($B$13*($B$7+$B$8^2))*$B$9*(1-$B$10))</f>
        <v>4171.36088518939</v>
      </c>
      <c r="O112" s="14" t="n">
        <f aca="true">$B$16+NORMINV(RAND(),0,SQRT($B$13*($B$7+$B$8^2))*$B$9*(1-$B$10))</f>
        <v>3860.75494806203</v>
      </c>
      <c r="P112" s="14" t="n">
        <f aca="true">$B$16+NORMINV(RAND(),0,SQRT($B$13*($B$7+$B$8^2))*$B$9*(1-$B$10))</f>
        <v>3655.9375710286</v>
      </c>
      <c r="Q112" s="14" t="n">
        <f aca="true">$B$16+NORMINV(RAND(),0,SQRT($B$13*($B$7+$B$8^2))*$B$9*(1-$B$10))</f>
        <v>3438.69904853125</v>
      </c>
      <c r="R112" s="14" t="n">
        <f aca="false">$B$4-13*($B$5+$B$6)/30-IF($B$11&lt;=13,$B$12,0)+0</f>
        <v>8876.66666666667</v>
      </c>
      <c r="S112" s="14" t="n">
        <f aca="false">$B$4-27*($B$5+$B$6)/30-IF($B$11&lt;=27,$B$12,0)+L112</f>
        <v>11188.6387100913</v>
      </c>
      <c r="T112" s="14" t="n">
        <f aca="false">$B$4-41*($B$5+$B$6)/30-IF($B$11&lt;=41,$B$12,0)+L112+M112</f>
        <v>1240.17029763412</v>
      </c>
      <c r="U112" s="14" t="n">
        <f aca="false">$B$4-55*($B$5+$B$6)/30-IF($B$11&lt;=55,$B$12,0)+L112+M112+N112</f>
        <v>3124.86451615684</v>
      </c>
      <c r="V112" s="14" t="n">
        <f aca="false">$B$4-69*($B$5+$B$6)/30-IF($B$11&lt;=69,$B$12,0)+L112+M112+N112+O112</f>
        <v>4698.9527975522</v>
      </c>
      <c r="W112" s="14" t="n">
        <f aca="false">$B$4-83*($B$5+$B$6)/30-IF($B$11&lt;=83,$B$12,0)+L112+M112+N112+O112+P112</f>
        <v>6068.22370191414</v>
      </c>
      <c r="X112" s="14" t="n">
        <f aca="false">$B$4-90*($B$5+$B$6)/30-IF($B$11&lt;=90,$B$12,0)+L112+M112+N112+O112+P112+Q112</f>
        <v>8363.58941711205</v>
      </c>
      <c r="AA112" s="14" t="n">
        <f aca="false">MIN(R112:X112)</f>
        <v>1240.17029763412</v>
      </c>
    </row>
    <row r="113" customFormat="false" ht="15" hidden="false" customHeight="false" outlineLevel="0" collapsed="false">
      <c r="K113" s="2" t="n">
        <v>108</v>
      </c>
      <c r="L113" s="14" t="n">
        <f aca="true">$B$16+NORMINV(RAND(),0,SQRT($B$13*($B$7+$B$8^2))*$B$9*(1-$B$10))</f>
        <v>4287.2769850851</v>
      </c>
      <c r="M113" s="14" t="n">
        <f aca="true">$B$16+NORMINV(RAND(),0,SQRT($B$13*($B$7+$B$8^2))*$B$9*(1-$B$10))</f>
        <v>3985.21792229013</v>
      </c>
      <c r="N113" s="14" t="n">
        <f aca="true">$B$16+NORMINV(RAND(),0,SQRT($B$13*($B$7+$B$8^2))*$B$9*(1-$B$10))</f>
        <v>4071.82552333681</v>
      </c>
      <c r="O113" s="14" t="n">
        <f aca="true">$B$16+NORMINV(RAND(),0,SQRT($B$13*($B$7+$B$8^2))*$B$9*(1-$B$10))</f>
        <v>3433.88559569187</v>
      </c>
      <c r="P113" s="14" t="n">
        <f aca="true">$B$16+NORMINV(RAND(),0,SQRT($B$13*($B$7+$B$8^2))*$B$9*(1-$B$10))</f>
        <v>3258.16540023571</v>
      </c>
      <c r="Q113" s="14" t="n">
        <f aca="true">$B$16+NORMINV(RAND(),0,SQRT($B$13*($B$7+$B$8^2))*$B$9*(1-$B$10))</f>
        <v>4210.34470468818</v>
      </c>
      <c r="R113" s="14" t="n">
        <f aca="false">$B$4-13*($B$5+$B$6)/30-IF($B$11&lt;=13,$B$12,0)+0</f>
        <v>8876.66666666667</v>
      </c>
      <c r="S113" s="14" t="n">
        <f aca="false">$B$4-27*($B$5+$B$6)/30-IF($B$11&lt;=27,$B$12,0)+L113</f>
        <v>10877.2769850851</v>
      </c>
      <c r="T113" s="14" t="n">
        <f aca="false">$B$4-41*($B$5+$B$6)/30-IF($B$11&lt;=41,$B$12,0)+L113+M113</f>
        <v>1391.02824070856</v>
      </c>
      <c r="U113" s="14" t="n">
        <f aca="false">$B$4-55*($B$5+$B$6)/30-IF($B$11&lt;=55,$B$12,0)+L113+M113+N113</f>
        <v>3176.1870973787</v>
      </c>
      <c r="V113" s="14" t="n">
        <f aca="false">$B$4-69*($B$5+$B$6)/30-IF($B$11&lt;=69,$B$12,0)+L113+M113+N113+O113</f>
        <v>4323.4060264039</v>
      </c>
      <c r="W113" s="14" t="n">
        <f aca="false">$B$4-83*($B$5+$B$6)/30-IF($B$11&lt;=83,$B$12,0)+L113+M113+N113+O113+P113</f>
        <v>5294.90475997295</v>
      </c>
      <c r="X113" s="14" t="n">
        <f aca="false">$B$4-90*($B$5+$B$6)/30-IF($B$11&lt;=90,$B$12,0)+L113+M113+N113+O113+P113+Q113</f>
        <v>8361.9161313278</v>
      </c>
      <c r="AA113" s="14" t="n">
        <f aca="false">MIN(R113:X113)</f>
        <v>1391.02824070856</v>
      </c>
    </row>
    <row r="114" customFormat="false" ht="15" hidden="false" customHeight="false" outlineLevel="0" collapsed="false">
      <c r="K114" s="2" t="n">
        <v>109</v>
      </c>
      <c r="L114" s="14" t="n">
        <f aca="true">$B$16+NORMINV(RAND(),0,SQRT($B$13*($B$7+$B$8^2))*$B$9*(1-$B$10))</f>
        <v>4345.58922470737</v>
      </c>
      <c r="M114" s="14" t="n">
        <f aca="true">$B$16+NORMINV(RAND(),0,SQRT($B$13*($B$7+$B$8^2))*$B$9*(1-$B$10))</f>
        <v>4438.54748236199</v>
      </c>
      <c r="N114" s="14" t="n">
        <f aca="true">$B$16+NORMINV(RAND(),0,SQRT($B$13*($B$7+$B$8^2))*$B$9*(1-$B$10))</f>
        <v>4247.562024127</v>
      </c>
      <c r="O114" s="14" t="n">
        <f aca="true">$B$16+NORMINV(RAND(),0,SQRT($B$13*($B$7+$B$8^2))*$B$9*(1-$B$10))</f>
        <v>4044.88879277524</v>
      </c>
      <c r="P114" s="14" t="n">
        <f aca="true">$B$16+NORMINV(RAND(),0,SQRT($B$13*($B$7+$B$8^2))*$B$9*(1-$B$10))</f>
        <v>3843.38102991271</v>
      </c>
      <c r="Q114" s="14" t="n">
        <f aca="true">$B$16+NORMINV(RAND(),0,SQRT($B$13*($B$7+$B$8^2))*$B$9*(1-$B$10))</f>
        <v>4115.03039938134</v>
      </c>
      <c r="R114" s="14" t="n">
        <f aca="false">$B$4-13*($B$5+$B$6)/30-IF($B$11&lt;=13,$B$12,0)+0</f>
        <v>8876.66666666667</v>
      </c>
      <c r="S114" s="14" t="n">
        <f aca="false">$B$4-27*($B$5+$B$6)/30-IF($B$11&lt;=27,$B$12,0)+L114</f>
        <v>10935.5892247074</v>
      </c>
      <c r="T114" s="14" t="n">
        <f aca="false">$B$4-41*($B$5+$B$6)/30-IF($B$11&lt;=41,$B$12,0)+L114+M114</f>
        <v>1902.67004040269</v>
      </c>
      <c r="U114" s="14" t="n">
        <f aca="false">$B$4-55*($B$5+$B$6)/30-IF($B$11&lt;=55,$B$12,0)+L114+M114+N114</f>
        <v>3863.56539786302</v>
      </c>
      <c r="V114" s="14" t="n">
        <f aca="false">$B$4-69*($B$5+$B$6)/30-IF($B$11&lt;=69,$B$12,0)+L114+M114+N114+O114</f>
        <v>5621.7875239716</v>
      </c>
      <c r="W114" s="14" t="n">
        <f aca="false">$B$4-83*($B$5+$B$6)/30-IF($B$11&lt;=83,$B$12,0)+L114+M114+N114+O114+P114</f>
        <v>7178.50188721765</v>
      </c>
      <c r="X114" s="14" t="n">
        <f aca="false">$B$4-90*($B$5+$B$6)/30-IF($B$11&lt;=90,$B$12,0)+L114+M114+N114+O114+P114+Q114</f>
        <v>10150.1989532657</v>
      </c>
      <c r="AA114" s="14" t="n">
        <f aca="false">MIN(R114:X114)</f>
        <v>1902.67004040269</v>
      </c>
    </row>
    <row r="115" customFormat="false" ht="15" hidden="false" customHeight="false" outlineLevel="0" collapsed="false">
      <c r="K115" s="2" t="n">
        <v>110</v>
      </c>
      <c r="L115" s="14" t="n">
        <f aca="true">$B$16+NORMINV(RAND(),0,SQRT($B$13*($B$7+$B$8^2))*$B$9*(1-$B$10))</f>
        <v>4774.06917764626</v>
      </c>
      <c r="M115" s="14" t="n">
        <f aca="true">$B$16+NORMINV(RAND(),0,SQRT($B$13*($B$7+$B$8^2))*$B$9*(1-$B$10))</f>
        <v>3972.47194583525</v>
      </c>
      <c r="N115" s="14" t="n">
        <f aca="true">$B$16+NORMINV(RAND(),0,SQRT($B$13*($B$7+$B$8^2))*$B$9*(1-$B$10))</f>
        <v>3915.08959370476</v>
      </c>
      <c r="O115" s="14" t="n">
        <f aca="true">$B$16+NORMINV(RAND(),0,SQRT($B$13*($B$7+$B$8^2))*$B$9*(1-$B$10))</f>
        <v>4196.18010611632</v>
      </c>
      <c r="P115" s="14" t="n">
        <f aca="true">$B$16+NORMINV(RAND(),0,SQRT($B$13*($B$7+$B$8^2))*$B$9*(1-$B$10))</f>
        <v>4171.94459626696</v>
      </c>
      <c r="Q115" s="14" t="n">
        <f aca="true">$B$16+NORMINV(RAND(),0,SQRT($B$13*($B$7+$B$8^2))*$B$9*(1-$B$10))</f>
        <v>3777.78581732929</v>
      </c>
      <c r="R115" s="14" t="n">
        <f aca="false">$B$4-13*($B$5+$B$6)/30-IF($B$11&lt;=13,$B$12,0)+0</f>
        <v>8876.66666666667</v>
      </c>
      <c r="S115" s="14" t="n">
        <f aca="false">$B$4-27*($B$5+$B$6)/30-IF($B$11&lt;=27,$B$12,0)+L115</f>
        <v>11364.0691776463</v>
      </c>
      <c r="T115" s="14" t="n">
        <f aca="false">$B$4-41*($B$5+$B$6)/30-IF($B$11&lt;=41,$B$12,0)+L115+M115</f>
        <v>1865.07445681484</v>
      </c>
      <c r="U115" s="14" t="n">
        <f aca="false">$B$4-55*($B$5+$B$6)/30-IF($B$11&lt;=55,$B$12,0)+L115+M115+N115</f>
        <v>3493.49738385294</v>
      </c>
      <c r="V115" s="14" t="n">
        <f aca="false">$B$4-69*($B$5+$B$6)/30-IF($B$11&lt;=69,$B$12,0)+L115+M115+N115+O115</f>
        <v>5403.01082330259</v>
      </c>
      <c r="W115" s="14" t="n">
        <f aca="false">$B$4-83*($B$5+$B$6)/30-IF($B$11&lt;=83,$B$12,0)+L115+M115+N115+O115+P115</f>
        <v>7288.28875290289</v>
      </c>
      <c r="X115" s="14" t="n">
        <f aca="false">$B$4-90*($B$5+$B$6)/30-IF($B$11&lt;=90,$B$12,0)+L115+M115+N115+O115+P115+Q115</f>
        <v>9922.74123689885</v>
      </c>
      <c r="AA115" s="14" t="n">
        <f aca="false">MIN(R115:X115)</f>
        <v>1865.07445681484</v>
      </c>
    </row>
    <row r="116" customFormat="false" ht="15" hidden="false" customHeight="false" outlineLevel="0" collapsed="false">
      <c r="K116" s="2" t="n">
        <v>111</v>
      </c>
      <c r="L116" s="14" t="n">
        <f aca="true">$B$16+NORMINV(RAND(),0,SQRT($B$13*($B$7+$B$8^2))*$B$9*(1-$B$10))</f>
        <v>3857.75679916291</v>
      </c>
      <c r="M116" s="14" t="n">
        <f aca="true">$B$16+NORMINV(RAND(),0,SQRT($B$13*($B$7+$B$8^2))*$B$9*(1-$B$10))</f>
        <v>4316.65683241472</v>
      </c>
      <c r="N116" s="14" t="n">
        <f aca="true">$B$16+NORMINV(RAND(),0,SQRT($B$13*($B$7+$B$8^2))*$B$9*(1-$B$10))</f>
        <v>4157.74517041408</v>
      </c>
      <c r="O116" s="14" t="n">
        <f aca="true">$B$16+NORMINV(RAND(),0,SQRT($B$13*($B$7+$B$8^2))*$B$9*(1-$B$10))</f>
        <v>3716.66491993284</v>
      </c>
      <c r="P116" s="14" t="n">
        <f aca="true">$B$16+NORMINV(RAND(),0,SQRT($B$13*($B$7+$B$8^2))*$B$9*(1-$B$10))</f>
        <v>3708.82227004362</v>
      </c>
      <c r="Q116" s="14" t="n">
        <f aca="true">$B$16+NORMINV(RAND(),0,SQRT($B$13*($B$7+$B$8^2))*$B$9*(1-$B$10))</f>
        <v>4433.22570314525</v>
      </c>
      <c r="R116" s="14" t="n">
        <f aca="false">$B$4-13*($B$5+$B$6)/30-IF($B$11&lt;=13,$B$12,0)+0</f>
        <v>8876.66666666667</v>
      </c>
      <c r="S116" s="14" t="n">
        <f aca="false">$B$4-27*($B$5+$B$6)/30-IF($B$11&lt;=27,$B$12,0)+L116</f>
        <v>10447.7567991629</v>
      </c>
      <c r="T116" s="14" t="n">
        <f aca="false">$B$4-41*($B$5+$B$6)/30-IF($B$11&lt;=41,$B$12,0)+L116+M116</f>
        <v>1292.94696491097</v>
      </c>
      <c r="U116" s="14" t="n">
        <f aca="false">$B$4-55*($B$5+$B$6)/30-IF($B$11&lt;=55,$B$12,0)+L116+M116+N116</f>
        <v>3164.02546865838</v>
      </c>
      <c r="V116" s="14" t="n">
        <f aca="false">$B$4-69*($B$5+$B$6)/30-IF($B$11&lt;=69,$B$12,0)+L116+M116+N116+O116</f>
        <v>4594.02372192455</v>
      </c>
      <c r="W116" s="14" t="n">
        <f aca="false">$B$4-83*($B$5+$B$6)/30-IF($B$11&lt;=83,$B$12,0)+L116+M116+N116+O116+P116</f>
        <v>6016.17932530151</v>
      </c>
      <c r="X116" s="14" t="n">
        <f aca="false">$B$4-90*($B$5+$B$6)/30-IF($B$11&lt;=90,$B$12,0)+L116+M116+N116+O116+P116+Q116</f>
        <v>9306.07169511342</v>
      </c>
      <c r="AA116" s="14" t="n">
        <f aca="false">MIN(R116:X116)</f>
        <v>1292.94696491097</v>
      </c>
    </row>
    <row r="117" customFormat="false" ht="15" hidden="false" customHeight="false" outlineLevel="0" collapsed="false">
      <c r="K117" s="2" t="n">
        <v>112</v>
      </c>
      <c r="L117" s="14" t="n">
        <f aca="true">$B$16+NORMINV(RAND(),0,SQRT($B$13*($B$7+$B$8^2))*$B$9*(1-$B$10))</f>
        <v>3656.13012596479</v>
      </c>
      <c r="M117" s="14" t="n">
        <f aca="true">$B$16+NORMINV(RAND(),0,SQRT($B$13*($B$7+$B$8^2))*$B$9*(1-$B$10))</f>
        <v>3262.18199333912</v>
      </c>
      <c r="N117" s="14" t="n">
        <f aca="true">$B$16+NORMINV(RAND(),0,SQRT($B$13*($B$7+$B$8^2))*$B$9*(1-$B$10))</f>
        <v>4048.33496421574</v>
      </c>
      <c r="O117" s="14" t="n">
        <f aca="true">$B$16+NORMINV(RAND(),0,SQRT($B$13*($B$7+$B$8^2))*$B$9*(1-$B$10))</f>
        <v>3770.18771785639</v>
      </c>
      <c r="P117" s="14" t="n">
        <f aca="true">$B$16+NORMINV(RAND(),0,SQRT($B$13*($B$7+$B$8^2))*$B$9*(1-$B$10))</f>
        <v>3689.18361398383</v>
      </c>
      <c r="Q117" s="14" t="n">
        <f aca="true">$B$16+NORMINV(RAND(),0,SQRT($B$13*($B$7+$B$8^2))*$B$9*(1-$B$10))</f>
        <v>4454.87779736339</v>
      </c>
      <c r="R117" s="14" t="n">
        <f aca="false">$B$4-13*($B$5+$B$6)/30-IF($B$11&lt;=13,$B$12,0)+0</f>
        <v>8876.66666666667</v>
      </c>
      <c r="S117" s="14" t="n">
        <f aca="false">$B$4-27*($B$5+$B$6)/30-IF($B$11&lt;=27,$B$12,0)+L117</f>
        <v>10246.1301259648</v>
      </c>
      <c r="T117" s="14" t="n">
        <f aca="false">$B$4-41*($B$5+$B$6)/30-IF($B$11&lt;=41,$B$12,0)+L117+M117</f>
        <v>36.8454526372411</v>
      </c>
      <c r="U117" s="14" t="n">
        <f aca="false">$B$4-55*($B$5+$B$6)/30-IF($B$11&lt;=55,$B$12,0)+L117+M117+N117</f>
        <v>1798.51375018631</v>
      </c>
      <c r="V117" s="14" t="n">
        <f aca="false">$B$4-69*($B$5+$B$6)/30-IF($B$11&lt;=69,$B$12,0)+L117+M117+N117+O117</f>
        <v>3282.03480137604</v>
      </c>
      <c r="W117" s="14" t="n">
        <f aca="false">$B$4-83*($B$5+$B$6)/30-IF($B$11&lt;=83,$B$12,0)+L117+M117+N117+O117+P117</f>
        <v>4684.5517486932</v>
      </c>
      <c r="X117" s="14" t="n">
        <f aca="false">$B$4-90*($B$5+$B$6)/30-IF($B$11&lt;=90,$B$12,0)+L117+M117+N117+O117+P117+Q117</f>
        <v>7996.09621272325</v>
      </c>
      <c r="AA117" s="14" t="n">
        <f aca="false">MIN(R117:X117)</f>
        <v>36.8454526372411</v>
      </c>
    </row>
    <row r="118" customFormat="false" ht="15" hidden="false" customHeight="false" outlineLevel="0" collapsed="false">
      <c r="K118" s="2" t="n">
        <v>113</v>
      </c>
      <c r="L118" s="14" t="n">
        <f aca="true">$B$16+NORMINV(RAND(),0,SQRT($B$13*($B$7+$B$8^2))*$B$9*(1-$B$10))</f>
        <v>4209.02929956208</v>
      </c>
      <c r="M118" s="14" t="n">
        <f aca="true">$B$16+NORMINV(RAND(),0,SQRT($B$13*($B$7+$B$8^2))*$B$9*(1-$B$10))</f>
        <v>3893.08267404402</v>
      </c>
      <c r="N118" s="14" t="n">
        <f aca="true">$B$16+NORMINV(RAND(),0,SQRT($B$13*($B$7+$B$8^2))*$B$9*(1-$B$10))</f>
        <v>4026.21376624624</v>
      </c>
      <c r="O118" s="14" t="n">
        <f aca="true">$B$16+NORMINV(RAND(),0,SQRT($B$13*($B$7+$B$8^2))*$B$9*(1-$B$10))</f>
        <v>3739.61659141769</v>
      </c>
      <c r="P118" s="14" t="n">
        <f aca="true">$B$16+NORMINV(RAND(),0,SQRT($B$13*($B$7+$B$8^2))*$B$9*(1-$B$10))</f>
        <v>4009.81752241804</v>
      </c>
      <c r="Q118" s="14" t="n">
        <f aca="true">$B$16+NORMINV(RAND(),0,SQRT($B$13*($B$7+$B$8^2))*$B$9*(1-$B$10))</f>
        <v>4030.84459242731</v>
      </c>
      <c r="R118" s="14" t="n">
        <f aca="false">$B$4-13*($B$5+$B$6)/30-IF($B$11&lt;=13,$B$12,0)+0</f>
        <v>8876.66666666667</v>
      </c>
      <c r="S118" s="14" t="n">
        <f aca="false">$B$4-27*($B$5+$B$6)/30-IF($B$11&lt;=27,$B$12,0)+L118</f>
        <v>10799.0292995621</v>
      </c>
      <c r="T118" s="14" t="n">
        <f aca="false">$B$4-41*($B$5+$B$6)/30-IF($B$11&lt;=41,$B$12,0)+L118+M118</f>
        <v>1220.64530693944</v>
      </c>
      <c r="U118" s="14" t="n">
        <f aca="false">$B$4-55*($B$5+$B$6)/30-IF($B$11&lt;=55,$B$12,0)+L118+M118+N118</f>
        <v>2960.19240651901</v>
      </c>
      <c r="V118" s="14" t="n">
        <f aca="false">$B$4-69*($B$5+$B$6)/30-IF($B$11&lt;=69,$B$12,0)+L118+M118+N118+O118</f>
        <v>4413.14233127003</v>
      </c>
      <c r="W118" s="14" t="n">
        <f aca="false">$B$4-83*($B$5+$B$6)/30-IF($B$11&lt;=83,$B$12,0)+L118+M118+N118+O118+P118</f>
        <v>6136.29318702141</v>
      </c>
      <c r="X118" s="14" t="n">
        <f aca="false">$B$4-90*($B$5+$B$6)/30-IF($B$11&lt;=90,$B$12,0)+L118+M118+N118+O118+P118+Q118</f>
        <v>9023.80444611539</v>
      </c>
      <c r="AA118" s="14" t="n">
        <f aca="false">MIN(R118:X118)</f>
        <v>1220.64530693944</v>
      </c>
    </row>
    <row r="119" customFormat="false" ht="15" hidden="false" customHeight="false" outlineLevel="0" collapsed="false">
      <c r="K119" s="2" t="n">
        <v>114</v>
      </c>
      <c r="L119" s="14" t="n">
        <f aca="true">$B$16+NORMINV(RAND(),0,SQRT($B$13*($B$7+$B$8^2))*$B$9*(1-$B$10))</f>
        <v>3669.06370202784</v>
      </c>
      <c r="M119" s="14" t="n">
        <f aca="true">$B$16+NORMINV(RAND(),0,SQRT($B$13*($B$7+$B$8^2))*$B$9*(1-$B$10))</f>
        <v>4086.45799724988</v>
      </c>
      <c r="N119" s="14" t="n">
        <f aca="true">$B$16+NORMINV(RAND(),0,SQRT($B$13*($B$7+$B$8^2))*$B$9*(1-$B$10))</f>
        <v>3635.24605451232</v>
      </c>
      <c r="O119" s="14" t="n">
        <f aca="true">$B$16+NORMINV(RAND(),0,SQRT($B$13*($B$7+$B$8^2))*$B$9*(1-$B$10))</f>
        <v>4030.39024714437</v>
      </c>
      <c r="P119" s="14" t="n">
        <f aca="true">$B$16+NORMINV(RAND(),0,SQRT($B$13*($B$7+$B$8^2))*$B$9*(1-$B$10))</f>
        <v>3878.04048245992</v>
      </c>
      <c r="Q119" s="14" t="n">
        <f aca="true">$B$16+NORMINV(RAND(),0,SQRT($B$13*($B$7+$B$8^2))*$B$9*(1-$B$10))</f>
        <v>3833.61288335349</v>
      </c>
      <c r="R119" s="14" t="n">
        <f aca="false">$B$4-13*($B$5+$B$6)/30-IF($B$11&lt;=13,$B$12,0)+0</f>
        <v>8876.66666666667</v>
      </c>
      <c r="S119" s="14" t="n">
        <f aca="false">$B$4-27*($B$5+$B$6)/30-IF($B$11&lt;=27,$B$12,0)+L119</f>
        <v>10259.0637020278</v>
      </c>
      <c r="T119" s="14" t="n">
        <f aca="false">$B$4-41*($B$5+$B$6)/30-IF($B$11&lt;=41,$B$12,0)+L119+M119</f>
        <v>874.055032611049</v>
      </c>
      <c r="U119" s="14" t="n">
        <f aca="false">$B$4-55*($B$5+$B$6)/30-IF($B$11&lt;=55,$B$12,0)+L119+M119+N119</f>
        <v>2222.6344204567</v>
      </c>
      <c r="V119" s="14" t="n">
        <f aca="false">$B$4-69*($B$5+$B$6)/30-IF($B$11&lt;=69,$B$12,0)+L119+M119+N119+O119</f>
        <v>3966.35800093441</v>
      </c>
      <c r="W119" s="14" t="n">
        <f aca="false">$B$4-83*($B$5+$B$6)/30-IF($B$11&lt;=83,$B$12,0)+L119+M119+N119+O119+P119</f>
        <v>5557.73181672766</v>
      </c>
      <c r="X119" s="14" t="n">
        <f aca="false">$B$4-90*($B$5+$B$6)/30-IF($B$11&lt;=90,$B$12,0)+L119+M119+N119+O119+P119+Q119</f>
        <v>8248.01136674781</v>
      </c>
      <c r="AA119" s="14" t="n">
        <f aca="false">MIN(R119:X119)</f>
        <v>874.055032611049</v>
      </c>
    </row>
    <row r="120" customFormat="false" ht="15" hidden="false" customHeight="false" outlineLevel="0" collapsed="false">
      <c r="K120" s="2" t="n">
        <v>115</v>
      </c>
      <c r="L120" s="14" t="n">
        <f aca="true">$B$16+NORMINV(RAND(),0,SQRT($B$13*($B$7+$B$8^2))*$B$9*(1-$B$10))</f>
        <v>4349.52944324955</v>
      </c>
      <c r="M120" s="14" t="n">
        <f aca="true">$B$16+NORMINV(RAND(),0,SQRT($B$13*($B$7+$B$8^2))*$B$9*(1-$B$10))</f>
        <v>3586.54603150399</v>
      </c>
      <c r="N120" s="14" t="n">
        <f aca="true">$B$16+NORMINV(RAND(),0,SQRT($B$13*($B$7+$B$8^2))*$B$9*(1-$B$10))</f>
        <v>4155.19838827592</v>
      </c>
      <c r="O120" s="14" t="n">
        <f aca="true">$B$16+NORMINV(RAND(),0,SQRT($B$13*($B$7+$B$8^2))*$B$9*(1-$B$10))</f>
        <v>3816.42931344168</v>
      </c>
      <c r="P120" s="14" t="n">
        <f aca="true">$B$16+NORMINV(RAND(),0,SQRT($B$13*($B$7+$B$8^2))*$B$9*(1-$B$10))</f>
        <v>3742.99656329662</v>
      </c>
      <c r="Q120" s="14" t="n">
        <f aca="true">$B$16+NORMINV(RAND(),0,SQRT($B$13*($B$7+$B$8^2))*$B$9*(1-$B$10))</f>
        <v>4174.2325268779</v>
      </c>
      <c r="R120" s="14" t="n">
        <f aca="false">$B$4-13*($B$5+$B$6)/30-IF($B$11&lt;=13,$B$12,0)+0</f>
        <v>8876.66666666667</v>
      </c>
      <c r="S120" s="14" t="n">
        <f aca="false">$B$4-27*($B$5+$B$6)/30-IF($B$11&lt;=27,$B$12,0)+L120</f>
        <v>10939.5294432495</v>
      </c>
      <c r="T120" s="14" t="n">
        <f aca="false">$B$4-41*($B$5+$B$6)/30-IF($B$11&lt;=41,$B$12,0)+L120+M120</f>
        <v>1054.60880808687</v>
      </c>
      <c r="U120" s="14" t="n">
        <f aca="false">$B$4-55*($B$5+$B$6)/30-IF($B$11&lt;=55,$B$12,0)+L120+M120+N120</f>
        <v>2923.14052969612</v>
      </c>
      <c r="V120" s="14" t="n">
        <f aca="false">$B$4-69*($B$5+$B$6)/30-IF($B$11&lt;=69,$B$12,0)+L120+M120+N120+O120</f>
        <v>4452.90317647113</v>
      </c>
      <c r="W120" s="14" t="n">
        <f aca="false">$B$4-83*($B$5+$B$6)/30-IF($B$11&lt;=83,$B$12,0)+L120+M120+N120+O120+P120</f>
        <v>5909.23307310109</v>
      </c>
      <c r="X120" s="14" t="n">
        <f aca="false">$B$4-90*($B$5+$B$6)/30-IF($B$11&lt;=90,$B$12,0)+L120+M120+N120+O120+P120+Q120</f>
        <v>8940.13226664565</v>
      </c>
      <c r="AA120" s="14" t="n">
        <f aca="false">MIN(R120:X120)</f>
        <v>1054.60880808687</v>
      </c>
    </row>
    <row r="121" customFormat="false" ht="15" hidden="false" customHeight="false" outlineLevel="0" collapsed="false">
      <c r="K121" s="2" t="n">
        <v>116</v>
      </c>
      <c r="L121" s="14" t="n">
        <f aca="true">$B$16+NORMINV(RAND(),0,SQRT($B$13*($B$7+$B$8^2))*$B$9*(1-$B$10))</f>
        <v>4313.90311977727</v>
      </c>
      <c r="M121" s="14" t="n">
        <f aca="true">$B$16+NORMINV(RAND(),0,SQRT($B$13*($B$7+$B$8^2))*$B$9*(1-$B$10))</f>
        <v>3924.78974255308</v>
      </c>
      <c r="N121" s="14" t="n">
        <f aca="true">$B$16+NORMINV(RAND(),0,SQRT($B$13*($B$7+$B$8^2))*$B$9*(1-$B$10))</f>
        <v>4204.47494244711</v>
      </c>
      <c r="O121" s="14" t="n">
        <f aca="true">$B$16+NORMINV(RAND(),0,SQRT($B$13*($B$7+$B$8^2))*$B$9*(1-$B$10))</f>
        <v>4192.4914740034</v>
      </c>
      <c r="P121" s="14" t="n">
        <f aca="true">$B$16+NORMINV(RAND(),0,SQRT($B$13*($B$7+$B$8^2))*$B$9*(1-$B$10))</f>
        <v>3997.58889075137</v>
      </c>
      <c r="Q121" s="14" t="n">
        <f aca="true">$B$16+NORMINV(RAND(),0,SQRT($B$13*($B$7+$B$8^2))*$B$9*(1-$B$10))</f>
        <v>4128.50669863975</v>
      </c>
      <c r="R121" s="14" t="n">
        <f aca="false">$B$4-13*($B$5+$B$6)/30-IF($B$11&lt;=13,$B$12,0)+0</f>
        <v>8876.66666666667</v>
      </c>
      <c r="S121" s="14" t="n">
        <f aca="false">$B$4-27*($B$5+$B$6)/30-IF($B$11&lt;=27,$B$12,0)+L121</f>
        <v>10903.9031197773</v>
      </c>
      <c r="T121" s="14" t="n">
        <f aca="false">$B$4-41*($B$5+$B$6)/30-IF($B$11&lt;=41,$B$12,0)+L121+M121</f>
        <v>1357.22619566368</v>
      </c>
      <c r="U121" s="14" t="n">
        <f aca="false">$B$4-55*($B$5+$B$6)/30-IF($B$11&lt;=55,$B$12,0)+L121+M121+N121</f>
        <v>3275.03447144412</v>
      </c>
      <c r="V121" s="14" t="n">
        <f aca="false">$B$4-69*($B$5+$B$6)/30-IF($B$11&lt;=69,$B$12,0)+L121+M121+N121+O121</f>
        <v>5180.85927878086</v>
      </c>
      <c r="W121" s="14" t="n">
        <f aca="false">$B$4-83*($B$5+$B$6)/30-IF($B$11&lt;=83,$B$12,0)+L121+M121+N121+O121+P121</f>
        <v>6891.78150286556</v>
      </c>
      <c r="X121" s="14" t="n">
        <f aca="false">$B$4-90*($B$5+$B$6)/30-IF($B$11&lt;=90,$B$12,0)+L121+M121+N121+O121+P121+Q121</f>
        <v>9876.95486817197</v>
      </c>
      <c r="AA121" s="14" t="n">
        <f aca="false">MIN(R121:X121)</f>
        <v>1357.22619566368</v>
      </c>
    </row>
    <row r="122" customFormat="false" ht="15" hidden="false" customHeight="false" outlineLevel="0" collapsed="false">
      <c r="K122" s="2" t="n">
        <v>117</v>
      </c>
      <c r="L122" s="14" t="n">
        <f aca="true">$B$16+NORMINV(RAND(),0,SQRT($B$13*($B$7+$B$8^2))*$B$9*(1-$B$10))</f>
        <v>3731.84136396942</v>
      </c>
      <c r="M122" s="14" t="n">
        <f aca="true">$B$16+NORMINV(RAND(),0,SQRT($B$13*($B$7+$B$8^2))*$B$9*(1-$B$10))</f>
        <v>3087.31194710059</v>
      </c>
      <c r="N122" s="14" t="n">
        <f aca="true">$B$16+NORMINV(RAND(),0,SQRT($B$13*($B$7+$B$8^2))*$B$9*(1-$B$10))</f>
        <v>4315.46586649057</v>
      </c>
      <c r="O122" s="14" t="n">
        <f aca="true">$B$16+NORMINV(RAND(),0,SQRT($B$13*($B$7+$B$8^2))*$B$9*(1-$B$10))</f>
        <v>4409.03897844202</v>
      </c>
      <c r="P122" s="14" t="n">
        <f aca="true">$B$16+NORMINV(RAND(),0,SQRT($B$13*($B$7+$B$8^2))*$B$9*(1-$B$10))</f>
        <v>3789.7876085093</v>
      </c>
      <c r="Q122" s="14" t="n">
        <f aca="true">$B$16+NORMINV(RAND(),0,SQRT($B$13*($B$7+$B$8^2))*$B$9*(1-$B$10))</f>
        <v>4129.0727667477</v>
      </c>
      <c r="R122" s="14" t="n">
        <f aca="false">$B$4-13*($B$5+$B$6)/30-IF($B$11&lt;=13,$B$12,0)+0</f>
        <v>8876.66666666667</v>
      </c>
      <c r="S122" s="14" t="n">
        <f aca="false">$B$4-27*($B$5+$B$6)/30-IF($B$11&lt;=27,$B$12,0)+L122</f>
        <v>10321.8413639694</v>
      </c>
      <c r="T122" s="14" t="n">
        <f aca="false">$B$4-41*($B$5+$B$6)/30-IF($B$11&lt;=41,$B$12,0)+L122+M122</f>
        <v>-62.313355596651</v>
      </c>
      <c r="U122" s="14" t="n">
        <f aca="false">$B$4-55*($B$5+$B$6)/30-IF($B$11&lt;=55,$B$12,0)+L122+M122+N122</f>
        <v>1966.48584422725</v>
      </c>
      <c r="V122" s="14" t="n">
        <f aca="false">$B$4-69*($B$5+$B$6)/30-IF($B$11&lt;=69,$B$12,0)+L122+M122+N122+O122</f>
        <v>4088.8581560026</v>
      </c>
      <c r="W122" s="14" t="n">
        <f aca="false">$B$4-83*($B$5+$B$6)/30-IF($B$11&lt;=83,$B$12,0)+L122+M122+N122+O122+P122</f>
        <v>5591.97909784524</v>
      </c>
      <c r="X122" s="14" t="n">
        <f aca="false">$B$4-90*($B$5+$B$6)/30-IF($B$11&lt;=90,$B$12,0)+L122+M122+N122+O122+P122+Q122</f>
        <v>8577.71853125961</v>
      </c>
      <c r="AA122" s="14" t="n">
        <f aca="false">MIN(R122:X122)</f>
        <v>-62.313355596651</v>
      </c>
    </row>
    <row r="123" customFormat="false" ht="15" hidden="false" customHeight="false" outlineLevel="0" collapsed="false">
      <c r="K123" s="2" t="n">
        <v>118</v>
      </c>
      <c r="L123" s="14" t="n">
        <f aca="true">$B$16+NORMINV(RAND(),0,SQRT($B$13*($B$7+$B$8^2))*$B$9*(1-$B$10))</f>
        <v>4198.63929002301</v>
      </c>
      <c r="M123" s="14" t="n">
        <f aca="true">$B$16+NORMINV(RAND(),0,SQRT($B$13*($B$7+$B$8^2))*$B$9*(1-$B$10))</f>
        <v>3825.10476860048</v>
      </c>
      <c r="N123" s="14" t="n">
        <f aca="true">$B$16+NORMINV(RAND(),0,SQRT($B$13*($B$7+$B$8^2))*$B$9*(1-$B$10))</f>
        <v>4731.60824034303</v>
      </c>
      <c r="O123" s="14" t="n">
        <f aca="true">$B$16+NORMINV(RAND(),0,SQRT($B$13*($B$7+$B$8^2))*$B$9*(1-$B$10))</f>
        <v>3228.39464786149</v>
      </c>
      <c r="P123" s="14" t="n">
        <f aca="true">$B$16+NORMINV(RAND(),0,SQRT($B$13*($B$7+$B$8^2))*$B$9*(1-$B$10))</f>
        <v>4421.47502789315</v>
      </c>
      <c r="Q123" s="14" t="n">
        <f aca="true">$B$16+NORMINV(RAND(),0,SQRT($B$13*($B$7+$B$8^2))*$B$9*(1-$B$10))</f>
        <v>4025.37092234579</v>
      </c>
      <c r="R123" s="14" t="n">
        <f aca="false">$B$4-13*($B$5+$B$6)/30-IF($B$11&lt;=13,$B$12,0)+0</f>
        <v>8876.66666666667</v>
      </c>
      <c r="S123" s="14" t="n">
        <f aca="false">$B$4-27*($B$5+$B$6)/30-IF($B$11&lt;=27,$B$12,0)+L123</f>
        <v>10788.639290023</v>
      </c>
      <c r="T123" s="14" t="n">
        <f aca="false">$B$4-41*($B$5+$B$6)/30-IF($B$11&lt;=41,$B$12,0)+L123+M123</f>
        <v>1142.27739195683</v>
      </c>
      <c r="U123" s="14" t="n">
        <f aca="false">$B$4-55*($B$5+$B$6)/30-IF($B$11&lt;=55,$B$12,0)+L123+M123+N123</f>
        <v>3587.21896563319</v>
      </c>
      <c r="V123" s="14" t="n">
        <f aca="false">$B$4-69*($B$5+$B$6)/30-IF($B$11&lt;=69,$B$12,0)+L123+M123+N123+O123</f>
        <v>4528.94694682801</v>
      </c>
      <c r="W123" s="14" t="n">
        <f aca="false">$B$4-83*($B$5+$B$6)/30-IF($B$11&lt;=83,$B$12,0)+L123+M123+N123+O123+P123</f>
        <v>6663.75530805449</v>
      </c>
      <c r="X123" s="14" t="n">
        <f aca="false">$B$4-90*($B$5+$B$6)/30-IF($B$11&lt;=90,$B$12,0)+L123+M123+N123+O123+P123+Q123</f>
        <v>9545.79289706695</v>
      </c>
      <c r="AA123" s="14" t="n">
        <f aca="false">MIN(R123:X123)</f>
        <v>1142.27739195683</v>
      </c>
    </row>
    <row r="124" customFormat="false" ht="15" hidden="false" customHeight="false" outlineLevel="0" collapsed="false">
      <c r="K124" s="2" t="n">
        <v>119</v>
      </c>
      <c r="L124" s="14" t="n">
        <f aca="true">$B$16+NORMINV(RAND(),0,SQRT($B$13*($B$7+$B$8^2))*$B$9*(1-$B$10))</f>
        <v>3474.26960453652</v>
      </c>
      <c r="M124" s="14" t="n">
        <f aca="true">$B$16+NORMINV(RAND(),0,SQRT($B$13*($B$7+$B$8^2))*$B$9*(1-$B$10))</f>
        <v>4255.03328653674</v>
      </c>
      <c r="N124" s="14" t="n">
        <f aca="true">$B$16+NORMINV(RAND(),0,SQRT($B$13*($B$7+$B$8^2))*$B$9*(1-$B$10))</f>
        <v>4404.56381490166</v>
      </c>
      <c r="O124" s="14" t="n">
        <f aca="true">$B$16+NORMINV(RAND(),0,SQRT($B$13*($B$7+$B$8^2))*$B$9*(1-$B$10))</f>
        <v>4306.08486430319</v>
      </c>
      <c r="P124" s="14" t="n">
        <f aca="true">$B$16+NORMINV(RAND(),0,SQRT($B$13*($B$7+$B$8^2))*$B$9*(1-$B$10))</f>
        <v>4148.1913178849</v>
      </c>
      <c r="Q124" s="14" t="n">
        <f aca="true">$B$16+NORMINV(RAND(),0,SQRT($B$13*($B$7+$B$8^2))*$B$9*(1-$B$10))</f>
        <v>3937.50082280089</v>
      </c>
      <c r="R124" s="14" t="n">
        <f aca="false">$B$4-13*($B$5+$B$6)/30-IF($B$11&lt;=13,$B$12,0)+0</f>
        <v>8876.66666666667</v>
      </c>
      <c r="S124" s="14" t="n">
        <f aca="false">$B$4-27*($B$5+$B$6)/30-IF($B$11&lt;=27,$B$12,0)+L124</f>
        <v>10064.2696045365</v>
      </c>
      <c r="T124" s="14" t="n">
        <f aca="false">$B$4-41*($B$5+$B$6)/30-IF($B$11&lt;=41,$B$12,0)+L124+M124</f>
        <v>847.836224406595</v>
      </c>
      <c r="U124" s="14" t="n">
        <f aca="false">$B$4-55*($B$5+$B$6)/30-IF($B$11&lt;=55,$B$12,0)+L124+M124+N124</f>
        <v>2965.73337264158</v>
      </c>
      <c r="V124" s="14" t="n">
        <f aca="false">$B$4-69*($B$5+$B$6)/30-IF($B$11&lt;=69,$B$12,0)+L124+M124+N124+O124</f>
        <v>4985.15157027811</v>
      </c>
      <c r="W124" s="14" t="n">
        <f aca="false">$B$4-83*($B$5+$B$6)/30-IF($B$11&lt;=83,$B$12,0)+L124+M124+N124+O124+P124</f>
        <v>6846.67622149634</v>
      </c>
      <c r="X124" s="14" t="n">
        <f aca="false">$B$4-90*($B$5+$B$6)/30-IF($B$11&lt;=90,$B$12,0)+L124+M124+N124+O124+P124+Q124</f>
        <v>9640.8437109639</v>
      </c>
      <c r="AA124" s="14" t="n">
        <f aca="false">MIN(R124:X124)</f>
        <v>847.836224406595</v>
      </c>
    </row>
    <row r="125" customFormat="false" ht="15" hidden="false" customHeight="false" outlineLevel="0" collapsed="false">
      <c r="K125" s="2" t="n">
        <v>120</v>
      </c>
      <c r="L125" s="14" t="n">
        <f aca="true">$B$16+NORMINV(RAND(),0,SQRT($B$13*($B$7+$B$8^2))*$B$9*(1-$B$10))</f>
        <v>3984.59150087882</v>
      </c>
      <c r="M125" s="14" t="n">
        <f aca="true">$B$16+NORMINV(RAND(),0,SQRT($B$13*($B$7+$B$8^2))*$B$9*(1-$B$10))</f>
        <v>3842.94217175677</v>
      </c>
      <c r="N125" s="14" t="n">
        <f aca="true">$B$16+NORMINV(RAND(),0,SQRT($B$13*($B$7+$B$8^2))*$B$9*(1-$B$10))</f>
        <v>4860.12954214972</v>
      </c>
      <c r="O125" s="14" t="n">
        <f aca="true">$B$16+NORMINV(RAND(),0,SQRT($B$13*($B$7+$B$8^2))*$B$9*(1-$B$10))</f>
        <v>3425.19280145372</v>
      </c>
      <c r="P125" s="14" t="n">
        <f aca="true">$B$16+NORMINV(RAND(),0,SQRT($B$13*($B$7+$B$8^2))*$B$9*(1-$B$10))</f>
        <v>3885.12282197673</v>
      </c>
      <c r="Q125" s="14" t="n">
        <f aca="true">$B$16+NORMINV(RAND(),0,SQRT($B$13*($B$7+$B$8^2))*$B$9*(1-$B$10))</f>
        <v>4157.48356507303</v>
      </c>
      <c r="R125" s="14" t="n">
        <f aca="false">$B$4-13*($B$5+$B$6)/30-IF($B$11&lt;=13,$B$12,0)+0</f>
        <v>8876.66666666667</v>
      </c>
      <c r="S125" s="14" t="n">
        <f aca="false">$B$4-27*($B$5+$B$6)/30-IF($B$11&lt;=27,$B$12,0)+L125</f>
        <v>10574.5915008788</v>
      </c>
      <c r="T125" s="14" t="n">
        <f aca="false">$B$4-41*($B$5+$B$6)/30-IF($B$11&lt;=41,$B$12,0)+L125+M125</f>
        <v>946.06700596892</v>
      </c>
      <c r="U125" s="14" t="n">
        <f aca="false">$B$4-55*($B$5+$B$6)/30-IF($B$11&lt;=55,$B$12,0)+L125+M125+N125</f>
        <v>3519.52988145197</v>
      </c>
      <c r="V125" s="14" t="n">
        <f aca="false">$B$4-69*($B$5+$B$6)/30-IF($B$11&lt;=69,$B$12,0)+L125+M125+N125+O125</f>
        <v>4658.05601623903</v>
      </c>
      <c r="W125" s="14" t="n">
        <f aca="false">$B$4-83*($B$5+$B$6)/30-IF($B$11&lt;=83,$B$12,0)+L125+M125+N125+O125+P125</f>
        <v>6256.5121715491</v>
      </c>
      <c r="X125" s="14" t="n">
        <f aca="false">$B$4-90*($B$5+$B$6)/30-IF($B$11&lt;=90,$B$12,0)+L125+M125+N125+O125+P125+Q125</f>
        <v>9270.66240328879</v>
      </c>
      <c r="AA125" s="14" t="n">
        <f aca="false">MIN(R125:X125)</f>
        <v>946.06700596892</v>
      </c>
    </row>
    <row r="126" customFormat="false" ht="15" hidden="false" customHeight="false" outlineLevel="0" collapsed="false">
      <c r="K126" s="2" t="n">
        <v>121</v>
      </c>
      <c r="L126" s="14" t="n">
        <f aca="true">$B$16+NORMINV(RAND(),0,SQRT($B$13*($B$7+$B$8^2))*$B$9*(1-$B$10))</f>
        <v>3884.31549307977</v>
      </c>
      <c r="M126" s="14" t="n">
        <f aca="true">$B$16+NORMINV(RAND(),0,SQRT($B$13*($B$7+$B$8^2))*$B$9*(1-$B$10))</f>
        <v>4394.6994964272</v>
      </c>
      <c r="N126" s="14" t="n">
        <f aca="true">$B$16+NORMINV(RAND(),0,SQRT($B$13*($B$7+$B$8^2))*$B$9*(1-$B$10))</f>
        <v>4301.83778825718</v>
      </c>
      <c r="O126" s="14" t="n">
        <f aca="true">$B$16+NORMINV(RAND(),0,SQRT($B$13*($B$7+$B$8^2))*$B$9*(1-$B$10))</f>
        <v>4454.74635711277</v>
      </c>
      <c r="P126" s="14" t="n">
        <f aca="true">$B$16+NORMINV(RAND(),0,SQRT($B$13*($B$7+$B$8^2))*$B$9*(1-$B$10))</f>
        <v>3777.53528707817</v>
      </c>
      <c r="Q126" s="14" t="n">
        <f aca="true">$B$16+NORMINV(RAND(),0,SQRT($B$13*($B$7+$B$8^2))*$B$9*(1-$B$10))</f>
        <v>3795.62440442716</v>
      </c>
      <c r="R126" s="14" t="n">
        <f aca="false">$B$4-13*($B$5+$B$6)/30-IF($B$11&lt;=13,$B$12,0)+0</f>
        <v>8876.66666666667</v>
      </c>
      <c r="S126" s="14" t="n">
        <f aca="false">$B$4-27*($B$5+$B$6)/30-IF($B$11&lt;=27,$B$12,0)+L126</f>
        <v>10474.3154930798</v>
      </c>
      <c r="T126" s="14" t="n">
        <f aca="false">$B$4-41*($B$5+$B$6)/30-IF($B$11&lt;=41,$B$12,0)+L126+M126</f>
        <v>1397.5483228403</v>
      </c>
      <c r="U126" s="14" t="n">
        <f aca="false">$B$4-55*($B$5+$B$6)/30-IF($B$11&lt;=55,$B$12,0)+L126+M126+N126</f>
        <v>3412.71944443081</v>
      </c>
      <c r="V126" s="14" t="n">
        <f aca="false">$B$4-69*($B$5+$B$6)/30-IF($B$11&lt;=69,$B$12,0)+L126+M126+N126+O126</f>
        <v>5580.79913487691</v>
      </c>
      <c r="W126" s="14" t="n">
        <f aca="false">$B$4-83*($B$5+$B$6)/30-IF($B$11&lt;=83,$B$12,0)+L126+M126+N126+O126+P126</f>
        <v>7071.66775528842</v>
      </c>
      <c r="X126" s="14" t="n">
        <f aca="false">$B$4-90*($B$5+$B$6)/30-IF($B$11&lt;=90,$B$12,0)+L126+M126+N126+O126+P126+Q126</f>
        <v>9723.95882638224</v>
      </c>
      <c r="AA126" s="14" t="n">
        <f aca="false">MIN(R126:X126)</f>
        <v>1397.5483228403</v>
      </c>
    </row>
    <row r="127" customFormat="false" ht="15" hidden="false" customHeight="false" outlineLevel="0" collapsed="false">
      <c r="K127" s="2" t="n">
        <v>122</v>
      </c>
      <c r="L127" s="14" t="n">
        <f aca="true">$B$16+NORMINV(RAND(),0,SQRT($B$13*($B$7+$B$8^2))*$B$9*(1-$B$10))</f>
        <v>4142.84114056459</v>
      </c>
      <c r="M127" s="14" t="n">
        <f aca="true">$B$16+NORMINV(RAND(),0,SQRT($B$13*($B$7+$B$8^2))*$B$9*(1-$B$10))</f>
        <v>4447.76693937804</v>
      </c>
      <c r="N127" s="14" t="n">
        <f aca="true">$B$16+NORMINV(RAND(),0,SQRT($B$13*($B$7+$B$8^2))*$B$9*(1-$B$10))</f>
        <v>4041.87326057003</v>
      </c>
      <c r="O127" s="14" t="n">
        <f aca="true">$B$16+NORMINV(RAND(),0,SQRT($B$13*($B$7+$B$8^2))*$B$9*(1-$B$10))</f>
        <v>4658.27246490638</v>
      </c>
      <c r="P127" s="14" t="n">
        <f aca="true">$B$16+NORMINV(RAND(),0,SQRT($B$13*($B$7+$B$8^2))*$B$9*(1-$B$10))</f>
        <v>3497.96436265317</v>
      </c>
      <c r="Q127" s="14" t="n">
        <f aca="true">$B$16+NORMINV(RAND(),0,SQRT($B$13*($B$7+$B$8^2))*$B$9*(1-$B$10))</f>
        <v>3959.21569435152</v>
      </c>
      <c r="R127" s="14" t="n">
        <f aca="false">$B$4-13*($B$5+$B$6)/30-IF($B$11&lt;=13,$B$12,0)+0</f>
        <v>8876.66666666667</v>
      </c>
      <c r="S127" s="14" t="n">
        <f aca="false">$B$4-27*($B$5+$B$6)/30-IF($B$11&lt;=27,$B$12,0)+L127</f>
        <v>10732.8411405646</v>
      </c>
      <c r="T127" s="14" t="n">
        <f aca="false">$B$4-41*($B$5+$B$6)/30-IF($B$11&lt;=41,$B$12,0)+L127+M127</f>
        <v>1709.14141327596</v>
      </c>
      <c r="U127" s="14" t="n">
        <f aca="false">$B$4-55*($B$5+$B$6)/30-IF($B$11&lt;=55,$B$12,0)+L127+M127+N127</f>
        <v>3464.34800717932</v>
      </c>
      <c r="V127" s="14" t="n">
        <f aca="false">$B$4-69*($B$5+$B$6)/30-IF($B$11&lt;=69,$B$12,0)+L127+M127+N127+O127</f>
        <v>5835.95380541903</v>
      </c>
      <c r="W127" s="14" t="n">
        <f aca="false">$B$4-83*($B$5+$B$6)/30-IF($B$11&lt;=83,$B$12,0)+L127+M127+N127+O127+P127</f>
        <v>7047.25150140554</v>
      </c>
      <c r="X127" s="14" t="n">
        <f aca="false">$B$4-90*($B$5+$B$6)/30-IF($B$11&lt;=90,$B$12,0)+L127+M127+N127+O127+P127+Q127</f>
        <v>9863.13386242373</v>
      </c>
      <c r="AA127" s="14" t="n">
        <f aca="false">MIN(R127:X127)</f>
        <v>1709.14141327596</v>
      </c>
    </row>
    <row r="128" customFormat="false" ht="15" hidden="false" customHeight="false" outlineLevel="0" collapsed="false">
      <c r="K128" s="2" t="n">
        <v>123</v>
      </c>
      <c r="L128" s="14" t="n">
        <f aca="true">$B$16+NORMINV(RAND(),0,SQRT($B$13*($B$7+$B$8^2))*$B$9*(1-$B$10))</f>
        <v>3598.67607409097</v>
      </c>
      <c r="M128" s="14" t="n">
        <f aca="true">$B$16+NORMINV(RAND(),0,SQRT($B$13*($B$7+$B$8^2))*$B$9*(1-$B$10))</f>
        <v>3908.94415245975</v>
      </c>
      <c r="N128" s="14" t="n">
        <f aca="true">$B$16+NORMINV(RAND(),0,SQRT($B$13*($B$7+$B$8^2))*$B$9*(1-$B$10))</f>
        <v>3763.27352100201</v>
      </c>
      <c r="O128" s="14" t="n">
        <f aca="true">$B$16+NORMINV(RAND(),0,SQRT($B$13*($B$7+$B$8^2))*$B$9*(1-$B$10))</f>
        <v>4104.44137701656</v>
      </c>
      <c r="P128" s="14" t="n">
        <f aca="true">$B$16+NORMINV(RAND(),0,SQRT($B$13*($B$7+$B$8^2))*$B$9*(1-$B$10))</f>
        <v>4132.7945260097</v>
      </c>
      <c r="Q128" s="14" t="n">
        <f aca="true">$B$16+NORMINV(RAND(),0,SQRT($B$13*($B$7+$B$8^2))*$B$9*(1-$B$10))</f>
        <v>4323.45121598533</v>
      </c>
      <c r="R128" s="14" t="n">
        <f aca="false">$B$4-13*($B$5+$B$6)/30-IF($B$11&lt;=13,$B$12,0)+0</f>
        <v>8876.66666666667</v>
      </c>
      <c r="S128" s="14" t="n">
        <f aca="false">$B$4-27*($B$5+$B$6)/30-IF($B$11&lt;=27,$B$12,0)+L128</f>
        <v>10188.676074091</v>
      </c>
      <c r="T128" s="14" t="n">
        <f aca="false">$B$4-41*($B$5+$B$6)/30-IF($B$11&lt;=41,$B$12,0)+L128+M128</f>
        <v>626.153559884055</v>
      </c>
      <c r="U128" s="14" t="n">
        <f aca="false">$B$4-55*($B$5+$B$6)/30-IF($B$11&lt;=55,$B$12,0)+L128+M128+N128</f>
        <v>2102.7604142194</v>
      </c>
      <c r="V128" s="14" t="n">
        <f aca="false">$B$4-69*($B$5+$B$6)/30-IF($B$11&lt;=69,$B$12,0)+L128+M128+N128+O128</f>
        <v>3920.5351245693</v>
      </c>
      <c r="W128" s="14" t="n">
        <f aca="false">$B$4-83*($B$5+$B$6)/30-IF($B$11&lt;=83,$B$12,0)+L128+M128+N128+O128+P128</f>
        <v>5766.66298391233</v>
      </c>
      <c r="X128" s="14" t="n">
        <f aca="false">$B$4-90*($B$5+$B$6)/30-IF($B$11&lt;=90,$B$12,0)+L128+M128+N128+O128+P128+Q128</f>
        <v>8946.78086656433</v>
      </c>
      <c r="AA128" s="14" t="n">
        <f aca="false">MIN(R128:X128)</f>
        <v>626.153559884055</v>
      </c>
    </row>
    <row r="129" customFormat="false" ht="15" hidden="false" customHeight="false" outlineLevel="0" collapsed="false">
      <c r="K129" s="2" t="n">
        <v>124</v>
      </c>
      <c r="L129" s="14" t="n">
        <f aca="true">$B$16+NORMINV(RAND(),0,SQRT($B$13*($B$7+$B$8^2))*$B$9*(1-$B$10))</f>
        <v>3761.80524975061</v>
      </c>
      <c r="M129" s="14" t="n">
        <f aca="true">$B$16+NORMINV(RAND(),0,SQRT($B$13*($B$7+$B$8^2))*$B$9*(1-$B$10))</f>
        <v>4201.86317003381</v>
      </c>
      <c r="N129" s="14" t="n">
        <f aca="true">$B$16+NORMINV(RAND(),0,SQRT($B$13*($B$7+$B$8^2))*$B$9*(1-$B$10))</f>
        <v>3464.424401787</v>
      </c>
      <c r="O129" s="14" t="n">
        <f aca="true">$B$16+NORMINV(RAND(),0,SQRT($B$13*($B$7+$B$8^2))*$B$9*(1-$B$10))</f>
        <v>3348.18639671449</v>
      </c>
      <c r="P129" s="14" t="n">
        <f aca="true">$B$16+NORMINV(RAND(),0,SQRT($B$13*($B$7+$B$8^2))*$B$9*(1-$B$10))</f>
        <v>5041.87206677615</v>
      </c>
      <c r="Q129" s="14" t="n">
        <f aca="true">$B$16+NORMINV(RAND(),0,SQRT($B$13*($B$7+$B$8^2))*$B$9*(1-$B$10))</f>
        <v>4069.08949428852</v>
      </c>
      <c r="R129" s="14" t="n">
        <f aca="false">$B$4-13*($B$5+$B$6)/30-IF($B$11&lt;=13,$B$12,0)+0</f>
        <v>8876.66666666667</v>
      </c>
      <c r="S129" s="14" t="n">
        <f aca="false">$B$4-27*($B$5+$B$6)/30-IF($B$11&lt;=27,$B$12,0)+L129</f>
        <v>10351.8052497506</v>
      </c>
      <c r="T129" s="14" t="n">
        <f aca="false">$B$4-41*($B$5+$B$6)/30-IF($B$11&lt;=41,$B$12,0)+L129+M129</f>
        <v>1082.20175311776</v>
      </c>
      <c r="U129" s="14" t="n">
        <f aca="false">$B$4-55*($B$5+$B$6)/30-IF($B$11&lt;=55,$B$12,0)+L129+M129+N129</f>
        <v>2259.95948823809</v>
      </c>
      <c r="V129" s="14" t="n">
        <f aca="false">$B$4-69*($B$5+$B$6)/30-IF($B$11&lt;=69,$B$12,0)+L129+M129+N129+O129</f>
        <v>3321.47921828592</v>
      </c>
      <c r="W129" s="14" t="n">
        <f aca="false">$B$4-83*($B$5+$B$6)/30-IF($B$11&lt;=83,$B$12,0)+L129+M129+N129+O129+P129</f>
        <v>6076.6846183954</v>
      </c>
      <c r="X129" s="14" t="n">
        <f aca="false">$B$4-90*($B$5+$B$6)/30-IF($B$11&lt;=90,$B$12,0)+L129+M129+N129+O129+P129+Q129</f>
        <v>9002.44077935059</v>
      </c>
      <c r="AA129" s="14" t="n">
        <f aca="false">MIN(R129:X129)</f>
        <v>1082.20175311776</v>
      </c>
    </row>
    <row r="130" customFormat="false" ht="15" hidden="false" customHeight="false" outlineLevel="0" collapsed="false">
      <c r="K130" s="2" t="n">
        <v>125</v>
      </c>
      <c r="L130" s="14" t="n">
        <f aca="true">$B$16+NORMINV(RAND(),0,SQRT($B$13*($B$7+$B$8^2))*$B$9*(1-$B$10))</f>
        <v>4690.73918458875</v>
      </c>
      <c r="M130" s="14" t="n">
        <f aca="true">$B$16+NORMINV(RAND(),0,SQRT($B$13*($B$7+$B$8^2))*$B$9*(1-$B$10))</f>
        <v>3875.23526891244</v>
      </c>
      <c r="N130" s="14" t="n">
        <f aca="true">$B$16+NORMINV(RAND(),0,SQRT($B$13*($B$7+$B$8^2))*$B$9*(1-$B$10))</f>
        <v>3933.81169237412</v>
      </c>
      <c r="O130" s="14" t="n">
        <f aca="true">$B$16+NORMINV(RAND(),0,SQRT($B$13*($B$7+$B$8^2))*$B$9*(1-$B$10))</f>
        <v>3947.98739066258</v>
      </c>
      <c r="P130" s="14" t="n">
        <f aca="true">$B$16+NORMINV(RAND(),0,SQRT($B$13*($B$7+$B$8^2))*$B$9*(1-$B$10))</f>
        <v>4139.80180651712</v>
      </c>
      <c r="Q130" s="14" t="n">
        <f aca="true">$B$16+NORMINV(RAND(),0,SQRT($B$13*($B$7+$B$8^2))*$B$9*(1-$B$10))</f>
        <v>4232.71014274769</v>
      </c>
      <c r="R130" s="14" t="n">
        <f aca="false">$B$4-13*($B$5+$B$6)/30-IF($B$11&lt;=13,$B$12,0)+0</f>
        <v>8876.66666666667</v>
      </c>
      <c r="S130" s="14" t="n">
        <f aca="false">$B$4-27*($B$5+$B$6)/30-IF($B$11&lt;=27,$B$12,0)+L130</f>
        <v>11280.7391845888</v>
      </c>
      <c r="T130" s="14" t="n">
        <f aca="false">$B$4-41*($B$5+$B$6)/30-IF($B$11&lt;=41,$B$12,0)+L130+M130</f>
        <v>1684.50778683452</v>
      </c>
      <c r="U130" s="14" t="n">
        <f aca="false">$B$4-55*($B$5+$B$6)/30-IF($B$11&lt;=55,$B$12,0)+L130+M130+N130</f>
        <v>3331.65281254198</v>
      </c>
      <c r="V130" s="14" t="n">
        <f aca="false">$B$4-69*($B$5+$B$6)/30-IF($B$11&lt;=69,$B$12,0)+L130+M130+N130+O130</f>
        <v>4992.9735365379</v>
      </c>
      <c r="W130" s="14" t="n">
        <f aca="false">$B$4-83*($B$5+$B$6)/30-IF($B$11&lt;=83,$B$12,0)+L130+M130+N130+O130+P130</f>
        <v>6846.10867638835</v>
      </c>
      <c r="X130" s="14" t="n">
        <f aca="false">$B$4-90*($B$5+$B$6)/30-IF($B$11&lt;=90,$B$12,0)+L130+M130+N130+O130+P130+Q130</f>
        <v>9935.48548580271</v>
      </c>
      <c r="AA130" s="14" t="n">
        <f aca="false">MIN(R130:X130)</f>
        <v>1684.50778683452</v>
      </c>
    </row>
    <row r="131" customFormat="false" ht="15" hidden="false" customHeight="false" outlineLevel="0" collapsed="false">
      <c r="K131" s="2" t="n">
        <v>126</v>
      </c>
      <c r="L131" s="14" t="n">
        <f aca="true">$B$16+NORMINV(RAND(),0,SQRT($B$13*($B$7+$B$8^2))*$B$9*(1-$B$10))</f>
        <v>4169.77787637442</v>
      </c>
      <c r="M131" s="14" t="n">
        <f aca="true">$B$16+NORMINV(RAND(),0,SQRT($B$13*($B$7+$B$8^2))*$B$9*(1-$B$10))</f>
        <v>4208.96175499672</v>
      </c>
      <c r="N131" s="14" t="n">
        <f aca="true">$B$16+NORMINV(RAND(),0,SQRT($B$13*($B$7+$B$8^2))*$B$9*(1-$B$10))</f>
        <v>4147.64286440498</v>
      </c>
      <c r="O131" s="14" t="n">
        <f aca="true">$B$16+NORMINV(RAND(),0,SQRT($B$13*($B$7+$B$8^2))*$B$9*(1-$B$10))</f>
        <v>3614.05630677358</v>
      </c>
      <c r="P131" s="14" t="n">
        <f aca="true">$B$16+NORMINV(RAND(),0,SQRT($B$13*($B$7+$B$8^2))*$B$9*(1-$B$10))</f>
        <v>3965.53744660391</v>
      </c>
      <c r="Q131" s="14" t="n">
        <f aca="true">$B$16+NORMINV(RAND(),0,SQRT($B$13*($B$7+$B$8^2))*$B$9*(1-$B$10))</f>
        <v>3661.88616808248</v>
      </c>
      <c r="R131" s="14" t="n">
        <f aca="false">$B$4-13*($B$5+$B$6)/30-IF($B$11&lt;=13,$B$12,0)+0</f>
        <v>8876.66666666667</v>
      </c>
      <c r="S131" s="14" t="n">
        <f aca="false">$B$4-27*($B$5+$B$6)/30-IF($B$11&lt;=27,$B$12,0)+L131</f>
        <v>10759.7778763744</v>
      </c>
      <c r="T131" s="14" t="n">
        <f aca="false">$B$4-41*($B$5+$B$6)/30-IF($B$11&lt;=41,$B$12,0)+L131+M131</f>
        <v>1497.27296470448</v>
      </c>
      <c r="U131" s="14" t="n">
        <f aca="false">$B$4-55*($B$5+$B$6)/30-IF($B$11&lt;=55,$B$12,0)+L131+M131+N131</f>
        <v>3358.24916244279</v>
      </c>
      <c r="V131" s="14" t="n">
        <f aca="false">$B$4-69*($B$5+$B$6)/30-IF($B$11&lt;=69,$B$12,0)+L131+M131+N131+O131</f>
        <v>4685.6388025497</v>
      </c>
      <c r="W131" s="14" t="n">
        <f aca="false">$B$4-83*($B$5+$B$6)/30-IF($B$11&lt;=83,$B$12,0)+L131+M131+N131+O131+P131</f>
        <v>6364.50958248694</v>
      </c>
      <c r="X131" s="14" t="n">
        <f aca="false">$B$4-90*($B$5+$B$6)/30-IF($B$11&lt;=90,$B$12,0)+L131+M131+N131+O131+P131+Q131</f>
        <v>8883.06241723609</v>
      </c>
      <c r="AA131" s="14" t="n">
        <f aca="false">MIN(R131:X131)</f>
        <v>1497.27296470448</v>
      </c>
    </row>
    <row r="132" customFormat="false" ht="15" hidden="false" customHeight="false" outlineLevel="0" collapsed="false">
      <c r="K132" s="2" t="n">
        <v>127</v>
      </c>
      <c r="L132" s="14" t="n">
        <f aca="true">$B$16+NORMINV(RAND(),0,SQRT($B$13*($B$7+$B$8^2))*$B$9*(1-$B$10))</f>
        <v>3918.04654575165</v>
      </c>
      <c r="M132" s="14" t="n">
        <f aca="true">$B$16+NORMINV(RAND(),0,SQRT($B$13*($B$7+$B$8^2))*$B$9*(1-$B$10))</f>
        <v>4378.19392256378</v>
      </c>
      <c r="N132" s="14" t="n">
        <f aca="true">$B$16+NORMINV(RAND(),0,SQRT($B$13*($B$7+$B$8^2))*$B$9*(1-$B$10))</f>
        <v>3910.86411854452</v>
      </c>
      <c r="O132" s="14" t="n">
        <f aca="true">$B$16+NORMINV(RAND(),0,SQRT($B$13*($B$7+$B$8^2))*$B$9*(1-$B$10))</f>
        <v>4569.67602796574</v>
      </c>
      <c r="P132" s="14" t="n">
        <f aca="true">$B$16+NORMINV(RAND(),0,SQRT($B$13*($B$7+$B$8^2))*$B$9*(1-$B$10))</f>
        <v>3591.91272434795</v>
      </c>
      <c r="Q132" s="14" t="n">
        <f aca="true">$B$16+NORMINV(RAND(),0,SQRT($B$13*($B$7+$B$8^2))*$B$9*(1-$B$10))</f>
        <v>3643.46614934493</v>
      </c>
      <c r="R132" s="14" t="n">
        <f aca="false">$B$4-13*($B$5+$B$6)/30-IF($B$11&lt;=13,$B$12,0)+0</f>
        <v>8876.66666666667</v>
      </c>
      <c r="S132" s="14" t="n">
        <f aca="false">$B$4-27*($B$5+$B$6)/30-IF($B$11&lt;=27,$B$12,0)+L132</f>
        <v>10508.0465457517</v>
      </c>
      <c r="T132" s="14" t="n">
        <f aca="false">$B$4-41*($B$5+$B$6)/30-IF($B$11&lt;=41,$B$12,0)+L132+M132</f>
        <v>1414.77380164876</v>
      </c>
      <c r="U132" s="14" t="n">
        <f aca="false">$B$4-55*($B$5+$B$6)/30-IF($B$11&lt;=55,$B$12,0)+L132+M132+N132</f>
        <v>3038.97125352662</v>
      </c>
      <c r="V132" s="14" t="n">
        <f aca="false">$B$4-69*($B$5+$B$6)/30-IF($B$11&lt;=69,$B$12,0)+L132+M132+N132+O132</f>
        <v>5321.98061482569</v>
      </c>
      <c r="W132" s="14" t="n">
        <f aca="false">$B$4-83*($B$5+$B$6)/30-IF($B$11&lt;=83,$B$12,0)+L132+M132+N132+O132+P132</f>
        <v>6627.22667250698</v>
      </c>
      <c r="X132" s="14" t="n">
        <f aca="false">$B$4-90*($B$5+$B$6)/30-IF($B$11&lt;=90,$B$12,0)+L132+M132+N132+O132+P132+Q132</f>
        <v>9127.35948851858</v>
      </c>
      <c r="AA132" s="14" t="n">
        <f aca="false">MIN(R132:X132)</f>
        <v>1414.77380164876</v>
      </c>
    </row>
    <row r="133" customFormat="false" ht="15" hidden="false" customHeight="false" outlineLevel="0" collapsed="false">
      <c r="K133" s="2" t="n">
        <v>128</v>
      </c>
      <c r="L133" s="14" t="n">
        <f aca="true">$B$16+NORMINV(RAND(),0,SQRT($B$13*($B$7+$B$8^2))*$B$9*(1-$B$10))</f>
        <v>3499.27586240926</v>
      </c>
      <c r="M133" s="14" t="n">
        <f aca="true">$B$16+NORMINV(RAND(),0,SQRT($B$13*($B$7+$B$8^2))*$B$9*(1-$B$10))</f>
        <v>4497.92220428371</v>
      </c>
      <c r="N133" s="14" t="n">
        <f aca="true">$B$16+NORMINV(RAND(),0,SQRT($B$13*($B$7+$B$8^2))*$B$9*(1-$B$10))</f>
        <v>4767.57121712707</v>
      </c>
      <c r="O133" s="14" t="n">
        <f aca="true">$B$16+NORMINV(RAND(),0,SQRT($B$13*($B$7+$B$8^2))*$B$9*(1-$B$10))</f>
        <v>3880.81737562755</v>
      </c>
      <c r="P133" s="14" t="n">
        <f aca="true">$B$16+NORMINV(RAND(),0,SQRT($B$13*($B$7+$B$8^2))*$B$9*(1-$B$10))</f>
        <v>4080.62444113457</v>
      </c>
      <c r="Q133" s="14" t="n">
        <f aca="true">$B$16+NORMINV(RAND(),0,SQRT($B$13*($B$7+$B$8^2))*$B$9*(1-$B$10))</f>
        <v>3831.37752720678</v>
      </c>
      <c r="R133" s="14" t="n">
        <f aca="false">$B$4-13*($B$5+$B$6)/30-IF($B$11&lt;=13,$B$12,0)+0</f>
        <v>8876.66666666667</v>
      </c>
      <c r="S133" s="14" t="n">
        <f aca="false">$B$4-27*($B$5+$B$6)/30-IF($B$11&lt;=27,$B$12,0)+L133</f>
        <v>10089.2758624093</v>
      </c>
      <c r="T133" s="14" t="n">
        <f aca="false">$B$4-41*($B$5+$B$6)/30-IF($B$11&lt;=41,$B$12,0)+L133+M133</f>
        <v>1115.7314000263</v>
      </c>
      <c r="U133" s="14" t="n">
        <f aca="false">$B$4-55*($B$5+$B$6)/30-IF($B$11&lt;=55,$B$12,0)+L133+M133+N133</f>
        <v>3596.6359504867</v>
      </c>
      <c r="V133" s="14" t="n">
        <f aca="false">$B$4-69*($B$5+$B$6)/30-IF($B$11&lt;=69,$B$12,0)+L133+M133+N133+O133</f>
        <v>5190.78665944758</v>
      </c>
      <c r="W133" s="14" t="n">
        <f aca="false">$B$4-83*($B$5+$B$6)/30-IF($B$11&lt;=83,$B$12,0)+L133+M133+N133+O133+P133</f>
        <v>6984.74443391549</v>
      </c>
      <c r="X133" s="14" t="n">
        <f aca="false">$B$4-90*($B$5+$B$6)/30-IF($B$11&lt;=90,$B$12,0)+L133+M133+N133+O133+P133+Q133</f>
        <v>9672.78862778893</v>
      </c>
      <c r="AA133" s="14" t="n">
        <f aca="false">MIN(R133:X133)</f>
        <v>1115.7314000263</v>
      </c>
    </row>
    <row r="134" customFormat="false" ht="15" hidden="false" customHeight="false" outlineLevel="0" collapsed="false">
      <c r="K134" s="2" t="n">
        <v>129</v>
      </c>
      <c r="L134" s="14" t="n">
        <f aca="true">$B$16+NORMINV(RAND(),0,SQRT($B$13*($B$7+$B$8^2))*$B$9*(1-$B$10))</f>
        <v>3884.31434592457</v>
      </c>
      <c r="M134" s="14" t="n">
        <f aca="true">$B$16+NORMINV(RAND(),0,SQRT($B$13*($B$7+$B$8^2))*$B$9*(1-$B$10))</f>
        <v>4698.83641954849</v>
      </c>
      <c r="N134" s="14" t="n">
        <f aca="true">$B$16+NORMINV(RAND(),0,SQRT($B$13*($B$7+$B$8^2))*$B$9*(1-$B$10))</f>
        <v>4196.75207667321</v>
      </c>
      <c r="O134" s="14" t="n">
        <f aca="true">$B$16+NORMINV(RAND(),0,SQRT($B$13*($B$7+$B$8^2))*$B$9*(1-$B$10))</f>
        <v>4411.78953084217</v>
      </c>
      <c r="P134" s="14" t="n">
        <f aca="true">$B$16+NORMINV(RAND(),0,SQRT($B$13*($B$7+$B$8^2))*$B$9*(1-$B$10))</f>
        <v>4801.52515510904</v>
      </c>
      <c r="Q134" s="14" t="n">
        <f aca="true">$B$16+NORMINV(RAND(),0,SQRT($B$13*($B$7+$B$8^2))*$B$9*(1-$B$10))</f>
        <v>3884.47294330255</v>
      </c>
      <c r="R134" s="14" t="n">
        <f aca="false">$B$4-13*($B$5+$B$6)/30-IF($B$11&lt;=13,$B$12,0)+0</f>
        <v>8876.66666666667</v>
      </c>
      <c r="S134" s="14" t="n">
        <f aca="false">$B$4-27*($B$5+$B$6)/30-IF($B$11&lt;=27,$B$12,0)+L134</f>
        <v>10474.3143459246</v>
      </c>
      <c r="T134" s="14" t="n">
        <f aca="false">$B$4-41*($B$5+$B$6)/30-IF($B$11&lt;=41,$B$12,0)+L134+M134</f>
        <v>1701.6840988064</v>
      </c>
      <c r="U134" s="14" t="n">
        <f aca="false">$B$4-55*($B$5+$B$6)/30-IF($B$11&lt;=55,$B$12,0)+L134+M134+N134</f>
        <v>3611.76950881294</v>
      </c>
      <c r="V134" s="14" t="n">
        <f aca="false">$B$4-69*($B$5+$B$6)/30-IF($B$11&lt;=69,$B$12,0)+L134+M134+N134+O134</f>
        <v>5736.89237298844</v>
      </c>
      <c r="W134" s="14" t="n">
        <f aca="false">$B$4-83*($B$5+$B$6)/30-IF($B$11&lt;=83,$B$12,0)+L134+M134+N134+O134+P134</f>
        <v>8251.75086143081</v>
      </c>
      <c r="X134" s="14" t="n">
        <f aca="false">$B$4-90*($B$5+$B$6)/30-IF($B$11&lt;=90,$B$12,0)+L134+M134+N134+O134+P134+Q134</f>
        <v>10992.8904714</v>
      </c>
      <c r="AA134" s="14" t="n">
        <f aca="false">MIN(R134:X134)</f>
        <v>1701.6840988064</v>
      </c>
    </row>
    <row r="135" customFormat="false" ht="15" hidden="false" customHeight="false" outlineLevel="0" collapsed="false">
      <c r="K135" s="2" t="n">
        <v>130</v>
      </c>
      <c r="L135" s="14" t="n">
        <f aca="true">$B$16+NORMINV(RAND(),0,SQRT($B$13*($B$7+$B$8^2))*$B$9*(1-$B$10))</f>
        <v>3902.20937450411</v>
      </c>
      <c r="M135" s="14" t="n">
        <f aca="true">$B$16+NORMINV(RAND(),0,SQRT($B$13*($B$7+$B$8^2))*$B$9*(1-$B$10))</f>
        <v>4403.67909952338</v>
      </c>
      <c r="N135" s="14" t="n">
        <f aca="true">$B$16+NORMINV(RAND(),0,SQRT($B$13*($B$7+$B$8^2))*$B$9*(1-$B$10))</f>
        <v>3780.43743452076</v>
      </c>
      <c r="O135" s="14" t="n">
        <f aca="true">$B$16+NORMINV(RAND(),0,SQRT($B$13*($B$7+$B$8^2))*$B$9*(1-$B$10))</f>
        <v>4050.13544712871</v>
      </c>
      <c r="P135" s="14" t="n">
        <f aca="true">$B$16+NORMINV(RAND(),0,SQRT($B$13*($B$7+$B$8^2))*$B$9*(1-$B$10))</f>
        <v>3932.83178379003</v>
      </c>
      <c r="Q135" s="14" t="n">
        <f aca="true">$B$16+NORMINV(RAND(),0,SQRT($B$13*($B$7+$B$8^2))*$B$9*(1-$B$10))</f>
        <v>3892.79827511957</v>
      </c>
      <c r="R135" s="14" t="n">
        <f aca="false">$B$4-13*($B$5+$B$6)/30-IF($B$11&lt;=13,$B$12,0)+0</f>
        <v>8876.66666666667</v>
      </c>
      <c r="S135" s="14" t="n">
        <f aca="false">$B$4-27*($B$5+$B$6)/30-IF($B$11&lt;=27,$B$12,0)+L135</f>
        <v>10492.2093745041</v>
      </c>
      <c r="T135" s="14" t="n">
        <f aca="false">$B$4-41*($B$5+$B$6)/30-IF($B$11&lt;=41,$B$12,0)+L135+M135</f>
        <v>1424.42180736082</v>
      </c>
      <c r="U135" s="14" t="n">
        <f aca="false">$B$4-55*($B$5+$B$6)/30-IF($B$11&lt;=55,$B$12,0)+L135+M135+N135</f>
        <v>2918.19257521492</v>
      </c>
      <c r="V135" s="14" t="n">
        <f aca="false">$B$4-69*($B$5+$B$6)/30-IF($B$11&lt;=69,$B$12,0)+L135+M135+N135+O135</f>
        <v>4681.66135567697</v>
      </c>
      <c r="W135" s="14" t="n">
        <f aca="false">$B$4-83*($B$5+$B$6)/30-IF($B$11&lt;=83,$B$12,0)+L135+M135+N135+O135+P135</f>
        <v>6327.82647280033</v>
      </c>
      <c r="X135" s="14" t="n">
        <f aca="false">$B$4-90*($B$5+$B$6)/30-IF($B$11&lt;=90,$B$12,0)+L135+M135+N135+O135+P135+Q135</f>
        <v>9077.29141458657</v>
      </c>
      <c r="AA135" s="14" t="n">
        <f aca="false">MIN(R135:X135)</f>
        <v>1424.42180736082</v>
      </c>
    </row>
    <row r="136" customFormat="false" ht="15" hidden="false" customHeight="false" outlineLevel="0" collapsed="false">
      <c r="K136" s="2" t="n">
        <v>131</v>
      </c>
      <c r="L136" s="14" t="n">
        <f aca="true">$B$16+NORMINV(RAND(),0,SQRT($B$13*($B$7+$B$8^2))*$B$9*(1-$B$10))</f>
        <v>3078.90952945481</v>
      </c>
      <c r="M136" s="14" t="n">
        <f aca="true">$B$16+NORMINV(RAND(),0,SQRT($B$13*($B$7+$B$8^2))*$B$9*(1-$B$10))</f>
        <v>4392.77802657577</v>
      </c>
      <c r="N136" s="14" t="n">
        <f aca="true">$B$16+NORMINV(RAND(),0,SQRT($B$13*($B$7+$B$8^2))*$B$9*(1-$B$10))</f>
        <v>4267.37897053675</v>
      </c>
      <c r="O136" s="14" t="n">
        <f aca="true">$B$16+NORMINV(RAND(),0,SQRT($B$13*($B$7+$B$8^2))*$B$9*(1-$B$10))</f>
        <v>3858.59866777477</v>
      </c>
      <c r="P136" s="14" t="n">
        <f aca="true">$B$16+NORMINV(RAND(),0,SQRT($B$13*($B$7+$B$8^2))*$B$9*(1-$B$10))</f>
        <v>4235.46376741731</v>
      </c>
      <c r="Q136" s="14" t="n">
        <f aca="true">$B$16+NORMINV(RAND(),0,SQRT($B$13*($B$7+$B$8^2))*$B$9*(1-$B$10))</f>
        <v>4506.04605173084</v>
      </c>
      <c r="R136" s="14" t="n">
        <f aca="false">$B$4-13*($B$5+$B$6)/30-IF($B$11&lt;=13,$B$12,0)+0</f>
        <v>8876.66666666667</v>
      </c>
      <c r="S136" s="14" t="n">
        <f aca="false">$B$4-27*($B$5+$B$6)/30-IF($B$11&lt;=27,$B$12,0)+L136</f>
        <v>9668.90952945481</v>
      </c>
      <c r="T136" s="14" t="n">
        <f aca="false">$B$4-41*($B$5+$B$6)/30-IF($B$11&lt;=41,$B$12,0)+L136+M136</f>
        <v>590.22088936391</v>
      </c>
      <c r="U136" s="14" t="n">
        <f aca="false">$B$4-55*($B$5+$B$6)/30-IF($B$11&lt;=55,$B$12,0)+L136+M136+N136</f>
        <v>2570.933193234</v>
      </c>
      <c r="V136" s="14" t="n">
        <f aca="false">$B$4-69*($B$5+$B$6)/30-IF($B$11&lt;=69,$B$12,0)+L136+M136+N136+O136</f>
        <v>4142.8651943421</v>
      </c>
      <c r="W136" s="14" t="n">
        <f aca="false">$B$4-83*($B$5+$B$6)/30-IF($B$11&lt;=83,$B$12,0)+L136+M136+N136+O136+P136</f>
        <v>6091.66229509275</v>
      </c>
      <c r="X136" s="14" t="n">
        <f aca="false">$B$4-90*($B$5+$B$6)/30-IF($B$11&lt;=90,$B$12,0)+L136+M136+N136+O136+P136+Q136</f>
        <v>9454.37501349025</v>
      </c>
      <c r="AA136" s="14" t="n">
        <f aca="false">MIN(R136:X136)</f>
        <v>590.22088936391</v>
      </c>
    </row>
    <row r="137" customFormat="false" ht="15" hidden="false" customHeight="false" outlineLevel="0" collapsed="false">
      <c r="K137" s="2" t="n">
        <v>132</v>
      </c>
      <c r="L137" s="14" t="n">
        <f aca="true">$B$16+NORMINV(RAND(),0,SQRT($B$13*($B$7+$B$8^2))*$B$9*(1-$B$10))</f>
        <v>4178.20808823439</v>
      </c>
      <c r="M137" s="14" t="n">
        <f aca="true">$B$16+NORMINV(RAND(),0,SQRT($B$13*($B$7+$B$8^2))*$B$9*(1-$B$10))</f>
        <v>3857.38631344208</v>
      </c>
      <c r="N137" s="14" t="n">
        <f aca="true">$B$16+NORMINV(RAND(),0,SQRT($B$13*($B$7+$B$8^2))*$B$9*(1-$B$10))</f>
        <v>4554.41076827159</v>
      </c>
      <c r="O137" s="14" t="n">
        <f aca="true">$B$16+NORMINV(RAND(),0,SQRT($B$13*($B$7+$B$8^2))*$B$9*(1-$B$10))</f>
        <v>4395.41166497898</v>
      </c>
      <c r="P137" s="14" t="n">
        <f aca="true">$B$16+NORMINV(RAND(),0,SQRT($B$13*($B$7+$B$8^2))*$B$9*(1-$B$10))</f>
        <v>4644.02898367199</v>
      </c>
      <c r="Q137" s="14" t="n">
        <f aca="true">$B$16+NORMINV(RAND(),0,SQRT($B$13*($B$7+$B$8^2))*$B$9*(1-$B$10))</f>
        <v>4232.58279233371</v>
      </c>
      <c r="R137" s="14" t="n">
        <f aca="false">$B$4-13*($B$5+$B$6)/30-IF($B$11&lt;=13,$B$12,0)+0</f>
        <v>8876.66666666667</v>
      </c>
      <c r="S137" s="14" t="n">
        <f aca="false">$B$4-27*($B$5+$B$6)/30-IF($B$11&lt;=27,$B$12,0)+L137</f>
        <v>10768.2080882344</v>
      </c>
      <c r="T137" s="14" t="n">
        <f aca="false">$B$4-41*($B$5+$B$6)/30-IF($B$11&lt;=41,$B$12,0)+L137+M137</f>
        <v>1154.1277350098</v>
      </c>
      <c r="U137" s="14" t="n">
        <f aca="false">$B$4-55*($B$5+$B$6)/30-IF($B$11&lt;=55,$B$12,0)+L137+M137+N137</f>
        <v>3421.87183661472</v>
      </c>
      <c r="V137" s="14" t="n">
        <f aca="false">$B$4-69*($B$5+$B$6)/30-IF($B$11&lt;=69,$B$12,0)+L137+M137+N137+O137</f>
        <v>5530.61683492703</v>
      </c>
      <c r="W137" s="14" t="n">
        <f aca="false">$B$4-83*($B$5+$B$6)/30-IF($B$11&lt;=83,$B$12,0)+L137+M137+N137+O137+P137</f>
        <v>7887.97915193236</v>
      </c>
      <c r="X137" s="14" t="n">
        <f aca="false">$B$4-90*($B$5+$B$6)/30-IF($B$11&lt;=90,$B$12,0)+L137+M137+N137+O137+P137+Q137</f>
        <v>10977.2286109327</v>
      </c>
      <c r="AA137" s="14" t="n">
        <f aca="false">MIN(R137:X137)</f>
        <v>1154.1277350098</v>
      </c>
    </row>
    <row r="138" customFormat="false" ht="15" hidden="false" customHeight="false" outlineLevel="0" collapsed="false">
      <c r="K138" s="2" t="n">
        <v>133</v>
      </c>
      <c r="L138" s="14" t="n">
        <f aca="true">$B$16+NORMINV(RAND(),0,SQRT($B$13*($B$7+$B$8^2))*$B$9*(1-$B$10))</f>
        <v>4381.7192090337</v>
      </c>
      <c r="M138" s="14" t="n">
        <f aca="true">$B$16+NORMINV(RAND(),0,SQRT($B$13*($B$7+$B$8^2))*$B$9*(1-$B$10))</f>
        <v>4196.86496291622</v>
      </c>
      <c r="N138" s="14" t="n">
        <f aca="true">$B$16+NORMINV(RAND(),0,SQRT($B$13*($B$7+$B$8^2))*$B$9*(1-$B$10))</f>
        <v>3871.72013176936</v>
      </c>
      <c r="O138" s="14" t="n">
        <f aca="true">$B$16+NORMINV(RAND(),0,SQRT($B$13*($B$7+$B$8^2))*$B$9*(1-$B$10))</f>
        <v>4130.6653190819</v>
      </c>
      <c r="P138" s="14" t="n">
        <f aca="true">$B$16+NORMINV(RAND(),0,SQRT($B$13*($B$7+$B$8^2))*$B$9*(1-$B$10))</f>
        <v>4677.66147725304</v>
      </c>
      <c r="Q138" s="14" t="n">
        <f aca="true">$B$16+NORMINV(RAND(),0,SQRT($B$13*($B$7+$B$8^2))*$B$9*(1-$B$10))</f>
        <v>3808.64803040848</v>
      </c>
      <c r="R138" s="14" t="n">
        <f aca="false">$B$4-13*($B$5+$B$6)/30-IF($B$11&lt;=13,$B$12,0)+0</f>
        <v>8876.66666666667</v>
      </c>
      <c r="S138" s="14" t="n">
        <f aca="false">$B$4-27*($B$5+$B$6)/30-IF($B$11&lt;=27,$B$12,0)+L138</f>
        <v>10971.7192090337</v>
      </c>
      <c r="T138" s="14" t="n">
        <f aca="false">$B$4-41*($B$5+$B$6)/30-IF($B$11&lt;=41,$B$12,0)+L138+M138</f>
        <v>1697.11750528325</v>
      </c>
      <c r="U138" s="14" t="n">
        <f aca="false">$B$4-55*($B$5+$B$6)/30-IF($B$11&lt;=55,$B$12,0)+L138+M138+N138</f>
        <v>3282.17097038595</v>
      </c>
      <c r="V138" s="14" t="n">
        <f aca="false">$B$4-69*($B$5+$B$6)/30-IF($B$11&lt;=69,$B$12,0)+L138+M138+N138+O138</f>
        <v>5126.16962280118</v>
      </c>
      <c r="W138" s="14" t="n">
        <f aca="false">$B$4-83*($B$5+$B$6)/30-IF($B$11&lt;=83,$B$12,0)+L138+M138+N138+O138+P138</f>
        <v>7517.16443338755</v>
      </c>
      <c r="X138" s="14" t="n">
        <f aca="false">$B$4-90*($B$5+$B$6)/30-IF($B$11&lt;=90,$B$12,0)+L138+M138+N138+O138+P138+Q138</f>
        <v>10182.4791304627</v>
      </c>
      <c r="AA138" s="14" t="n">
        <f aca="false">MIN(R138:X138)</f>
        <v>1697.11750528325</v>
      </c>
    </row>
    <row r="139" customFormat="false" ht="15" hidden="false" customHeight="false" outlineLevel="0" collapsed="false">
      <c r="K139" s="2" t="n">
        <v>134</v>
      </c>
      <c r="L139" s="14" t="n">
        <f aca="true">$B$16+NORMINV(RAND(),0,SQRT($B$13*($B$7+$B$8^2))*$B$9*(1-$B$10))</f>
        <v>4106.68821906031</v>
      </c>
      <c r="M139" s="14" t="n">
        <f aca="true">$B$16+NORMINV(RAND(),0,SQRT($B$13*($B$7+$B$8^2))*$B$9*(1-$B$10))</f>
        <v>4179.8485482793</v>
      </c>
      <c r="N139" s="14" t="n">
        <f aca="true">$B$16+NORMINV(RAND(),0,SQRT($B$13*($B$7+$B$8^2))*$B$9*(1-$B$10))</f>
        <v>4069.51477309251</v>
      </c>
      <c r="O139" s="14" t="n">
        <f aca="true">$B$16+NORMINV(RAND(),0,SQRT($B$13*($B$7+$B$8^2))*$B$9*(1-$B$10))</f>
        <v>3802.2655481192</v>
      </c>
      <c r="P139" s="14" t="n">
        <f aca="true">$B$16+NORMINV(RAND(),0,SQRT($B$13*($B$7+$B$8^2))*$B$9*(1-$B$10))</f>
        <v>3419.71357938229</v>
      </c>
      <c r="Q139" s="14" t="n">
        <f aca="true">$B$16+NORMINV(RAND(),0,SQRT($B$13*($B$7+$B$8^2))*$B$9*(1-$B$10))</f>
        <v>3854.95122167462</v>
      </c>
      <c r="R139" s="14" t="n">
        <f aca="false">$B$4-13*($B$5+$B$6)/30-IF($B$11&lt;=13,$B$12,0)+0</f>
        <v>8876.66666666667</v>
      </c>
      <c r="S139" s="14" t="n">
        <f aca="false">$B$4-27*($B$5+$B$6)/30-IF($B$11&lt;=27,$B$12,0)+L139</f>
        <v>10696.6882190603</v>
      </c>
      <c r="T139" s="14" t="n">
        <f aca="false">$B$4-41*($B$5+$B$6)/30-IF($B$11&lt;=41,$B$12,0)+L139+M139</f>
        <v>1405.07010067294</v>
      </c>
      <c r="U139" s="14" t="n">
        <f aca="false">$B$4-55*($B$5+$B$6)/30-IF($B$11&lt;=55,$B$12,0)+L139+M139+N139</f>
        <v>3187.91820709879</v>
      </c>
      <c r="V139" s="14" t="n">
        <f aca="false">$B$4-69*($B$5+$B$6)/30-IF($B$11&lt;=69,$B$12,0)+L139+M139+N139+O139</f>
        <v>4703.51708855133</v>
      </c>
      <c r="W139" s="14" t="n">
        <f aca="false">$B$4-83*($B$5+$B$6)/30-IF($B$11&lt;=83,$B$12,0)+L139+M139+N139+O139+P139</f>
        <v>5836.56400126695</v>
      </c>
      <c r="X139" s="14" t="n">
        <f aca="false">$B$4-90*($B$5+$B$6)/30-IF($B$11&lt;=90,$B$12,0)+L139+M139+N139+O139+P139+Q139</f>
        <v>8548.18188960823</v>
      </c>
      <c r="AA139" s="14" t="n">
        <f aca="false">MIN(R139:X139)</f>
        <v>1405.07010067294</v>
      </c>
    </row>
    <row r="140" customFormat="false" ht="15" hidden="false" customHeight="false" outlineLevel="0" collapsed="false">
      <c r="K140" s="2" t="n">
        <v>135</v>
      </c>
      <c r="L140" s="14" t="n">
        <f aca="true">$B$16+NORMINV(RAND(),0,SQRT($B$13*($B$7+$B$8^2))*$B$9*(1-$B$10))</f>
        <v>3850.99680033668</v>
      </c>
      <c r="M140" s="14" t="n">
        <f aca="true">$B$16+NORMINV(RAND(),0,SQRT($B$13*($B$7+$B$8^2))*$B$9*(1-$B$10))</f>
        <v>4357.06867370804</v>
      </c>
      <c r="N140" s="14" t="n">
        <f aca="true">$B$16+NORMINV(RAND(),0,SQRT($B$13*($B$7+$B$8^2))*$B$9*(1-$B$10))</f>
        <v>4106.71274666375</v>
      </c>
      <c r="O140" s="14" t="n">
        <f aca="true">$B$16+NORMINV(RAND(),0,SQRT($B$13*($B$7+$B$8^2))*$B$9*(1-$B$10))</f>
        <v>4400.01186167439</v>
      </c>
      <c r="P140" s="14" t="n">
        <f aca="true">$B$16+NORMINV(RAND(),0,SQRT($B$13*($B$7+$B$8^2))*$B$9*(1-$B$10))</f>
        <v>3687.95949445836</v>
      </c>
      <c r="Q140" s="14" t="n">
        <f aca="true">$B$16+NORMINV(RAND(),0,SQRT($B$13*($B$7+$B$8^2))*$B$9*(1-$B$10))</f>
        <v>3782.8965275207</v>
      </c>
      <c r="R140" s="14" t="n">
        <f aca="false">$B$4-13*($B$5+$B$6)/30-IF($B$11&lt;=13,$B$12,0)+0</f>
        <v>8876.66666666667</v>
      </c>
      <c r="S140" s="14" t="n">
        <f aca="false">$B$4-27*($B$5+$B$6)/30-IF($B$11&lt;=27,$B$12,0)+L140</f>
        <v>10440.9968003367</v>
      </c>
      <c r="T140" s="14" t="n">
        <f aca="false">$B$4-41*($B$5+$B$6)/30-IF($B$11&lt;=41,$B$12,0)+L140+M140</f>
        <v>1326.59880737805</v>
      </c>
      <c r="U140" s="14" t="n">
        <f aca="false">$B$4-55*($B$5+$B$6)/30-IF($B$11&lt;=55,$B$12,0)+L140+M140+N140</f>
        <v>3146.64488737513</v>
      </c>
      <c r="V140" s="14" t="n">
        <f aca="false">$B$4-69*($B$5+$B$6)/30-IF($B$11&lt;=69,$B$12,0)+L140+M140+N140+O140</f>
        <v>5259.99008238286</v>
      </c>
      <c r="W140" s="14" t="n">
        <f aca="false">$B$4-83*($B$5+$B$6)/30-IF($B$11&lt;=83,$B$12,0)+L140+M140+N140+O140+P140</f>
        <v>6661.28291017455</v>
      </c>
      <c r="X140" s="14" t="n">
        <f aca="false">$B$4-90*($B$5+$B$6)/30-IF($B$11&lt;=90,$B$12,0)+L140+M140+N140+O140+P140+Q140</f>
        <v>9300.84610436192</v>
      </c>
      <c r="AA140" s="14" t="n">
        <f aca="false">MIN(R140:X140)</f>
        <v>1326.59880737805</v>
      </c>
    </row>
    <row r="141" customFormat="false" ht="15" hidden="false" customHeight="false" outlineLevel="0" collapsed="false">
      <c r="K141" s="2" t="n">
        <v>136</v>
      </c>
      <c r="L141" s="14" t="n">
        <f aca="true">$B$16+NORMINV(RAND(),0,SQRT($B$13*($B$7+$B$8^2))*$B$9*(1-$B$10))</f>
        <v>4411.34244315157</v>
      </c>
      <c r="M141" s="14" t="n">
        <f aca="true">$B$16+NORMINV(RAND(),0,SQRT($B$13*($B$7+$B$8^2))*$B$9*(1-$B$10))</f>
        <v>4387.65751918789</v>
      </c>
      <c r="N141" s="14" t="n">
        <f aca="true">$B$16+NORMINV(RAND(),0,SQRT($B$13*($B$7+$B$8^2))*$B$9*(1-$B$10))</f>
        <v>4146.63898978335</v>
      </c>
      <c r="O141" s="14" t="n">
        <f aca="true">$B$16+NORMINV(RAND(),0,SQRT($B$13*($B$7+$B$8^2))*$B$9*(1-$B$10))</f>
        <v>4106.30526018053</v>
      </c>
      <c r="P141" s="14" t="n">
        <f aca="true">$B$16+NORMINV(RAND(),0,SQRT($B$13*($B$7+$B$8^2))*$B$9*(1-$B$10))</f>
        <v>3711.03086297494</v>
      </c>
      <c r="Q141" s="14" t="n">
        <f aca="true">$B$16+NORMINV(RAND(),0,SQRT($B$13*($B$7+$B$8^2))*$B$9*(1-$B$10))</f>
        <v>4080.868323795</v>
      </c>
      <c r="R141" s="14" t="n">
        <f aca="false">$B$4-13*($B$5+$B$6)/30-IF($B$11&lt;=13,$B$12,0)+0</f>
        <v>8876.66666666667</v>
      </c>
      <c r="S141" s="14" t="n">
        <f aca="false">$B$4-27*($B$5+$B$6)/30-IF($B$11&lt;=27,$B$12,0)+L141</f>
        <v>11001.3424431516</v>
      </c>
      <c r="T141" s="14" t="n">
        <f aca="false">$B$4-41*($B$5+$B$6)/30-IF($B$11&lt;=41,$B$12,0)+L141+M141</f>
        <v>1917.53329567279</v>
      </c>
      <c r="U141" s="14" t="n">
        <f aca="false">$B$4-55*($B$5+$B$6)/30-IF($B$11&lt;=55,$B$12,0)+L141+M141+N141</f>
        <v>3777.50561878948</v>
      </c>
      <c r="V141" s="14" t="n">
        <f aca="false">$B$4-69*($B$5+$B$6)/30-IF($B$11&lt;=69,$B$12,0)+L141+M141+N141+O141</f>
        <v>5597.14421230334</v>
      </c>
      <c r="W141" s="14" t="n">
        <f aca="false">$B$4-83*($B$5+$B$6)/30-IF($B$11&lt;=83,$B$12,0)+L141+M141+N141+O141+P141</f>
        <v>7021.50840861162</v>
      </c>
      <c r="X141" s="14" t="n">
        <f aca="false">$B$4-90*($B$5+$B$6)/30-IF($B$11&lt;=90,$B$12,0)+L141+M141+N141+O141+P141+Q141</f>
        <v>9959.04339907329</v>
      </c>
      <c r="AA141" s="14" t="n">
        <f aca="false">MIN(R141:X141)</f>
        <v>1917.53329567279</v>
      </c>
    </row>
    <row r="142" customFormat="false" ht="15" hidden="false" customHeight="false" outlineLevel="0" collapsed="false">
      <c r="K142" s="2" t="n">
        <v>137</v>
      </c>
      <c r="L142" s="14" t="n">
        <f aca="true">$B$16+NORMINV(RAND(),0,SQRT($B$13*($B$7+$B$8^2))*$B$9*(1-$B$10))</f>
        <v>4099.04746353319</v>
      </c>
      <c r="M142" s="14" t="n">
        <f aca="true">$B$16+NORMINV(RAND(),0,SQRT($B$13*($B$7+$B$8^2))*$B$9*(1-$B$10))</f>
        <v>4592.90301014576</v>
      </c>
      <c r="N142" s="14" t="n">
        <f aca="true">$B$16+NORMINV(RAND(),0,SQRT($B$13*($B$7+$B$8^2))*$B$9*(1-$B$10))</f>
        <v>4387.90250011446</v>
      </c>
      <c r="O142" s="14" t="n">
        <f aca="true">$B$16+NORMINV(RAND(),0,SQRT($B$13*($B$7+$B$8^2))*$B$9*(1-$B$10))</f>
        <v>5023.04024616018</v>
      </c>
      <c r="P142" s="14" t="n">
        <f aca="true">$B$16+NORMINV(RAND(),0,SQRT($B$13*($B$7+$B$8^2))*$B$9*(1-$B$10))</f>
        <v>3626.30045946033</v>
      </c>
      <c r="Q142" s="14" t="n">
        <f aca="true">$B$16+NORMINV(RAND(),0,SQRT($B$13*($B$7+$B$8^2))*$B$9*(1-$B$10))</f>
        <v>3898.74282858209</v>
      </c>
      <c r="R142" s="14" t="n">
        <f aca="false">$B$4-13*($B$5+$B$6)/30-IF($B$11&lt;=13,$B$12,0)+0</f>
        <v>8876.66666666667</v>
      </c>
      <c r="S142" s="14" t="n">
        <f aca="false">$B$4-27*($B$5+$B$6)/30-IF($B$11&lt;=27,$B$12,0)+L142</f>
        <v>10689.0474635332</v>
      </c>
      <c r="T142" s="14" t="n">
        <f aca="false">$B$4-41*($B$5+$B$6)/30-IF($B$11&lt;=41,$B$12,0)+L142+M142</f>
        <v>1810.48380701228</v>
      </c>
      <c r="U142" s="14" t="n">
        <f aca="false">$B$4-55*($B$5+$B$6)/30-IF($B$11&lt;=55,$B$12,0)+L142+M142+N142</f>
        <v>3911.71964046008</v>
      </c>
      <c r="V142" s="14" t="n">
        <f aca="false">$B$4-69*($B$5+$B$6)/30-IF($B$11&lt;=69,$B$12,0)+L142+M142+N142+O142</f>
        <v>6648.09321995359</v>
      </c>
      <c r="W142" s="14" t="n">
        <f aca="false">$B$4-83*($B$5+$B$6)/30-IF($B$11&lt;=83,$B$12,0)+L142+M142+N142+O142+P142</f>
        <v>7987.72701274726</v>
      </c>
      <c r="X142" s="14" t="n">
        <f aca="false">$B$4-90*($B$5+$B$6)/30-IF($B$11&lt;=90,$B$12,0)+L142+M142+N142+O142+P142+Q142</f>
        <v>10743.136507996</v>
      </c>
      <c r="AA142" s="14" t="n">
        <f aca="false">MIN(R142:X142)</f>
        <v>1810.48380701228</v>
      </c>
    </row>
    <row r="143" customFormat="false" ht="15" hidden="false" customHeight="false" outlineLevel="0" collapsed="false">
      <c r="K143" s="2" t="n">
        <v>138</v>
      </c>
      <c r="L143" s="14" t="n">
        <f aca="true">$B$16+NORMINV(RAND(),0,SQRT($B$13*($B$7+$B$8^2))*$B$9*(1-$B$10))</f>
        <v>4004.23808677038</v>
      </c>
      <c r="M143" s="14" t="n">
        <f aca="true">$B$16+NORMINV(RAND(),0,SQRT($B$13*($B$7+$B$8^2))*$B$9*(1-$B$10))</f>
        <v>3811.82656859595</v>
      </c>
      <c r="N143" s="14" t="n">
        <f aca="true">$B$16+NORMINV(RAND(),0,SQRT($B$13*($B$7+$B$8^2))*$B$9*(1-$B$10))</f>
        <v>3902.83080262795</v>
      </c>
      <c r="O143" s="14" t="n">
        <f aca="true">$B$16+NORMINV(RAND(),0,SQRT($B$13*($B$7+$B$8^2))*$B$9*(1-$B$10))</f>
        <v>3900.48794041353</v>
      </c>
      <c r="P143" s="14" t="n">
        <f aca="true">$B$16+NORMINV(RAND(),0,SQRT($B$13*($B$7+$B$8^2))*$B$9*(1-$B$10))</f>
        <v>4299.30179189123</v>
      </c>
      <c r="Q143" s="14" t="n">
        <f aca="true">$B$16+NORMINV(RAND(),0,SQRT($B$13*($B$7+$B$8^2))*$B$9*(1-$B$10))</f>
        <v>3677.7998244321</v>
      </c>
      <c r="R143" s="14" t="n">
        <f aca="false">$B$4-13*($B$5+$B$6)/30-IF($B$11&lt;=13,$B$12,0)+0</f>
        <v>8876.66666666667</v>
      </c>
      <c r="S143" s="14" t="n">
        <f aca="false">$B$4-27*($B$5+$B$6)/30-IF($B$11&lt;=27,$B$12,0)+L143</f>
        <v>10594.2380867704</v>
      </c>
      <c r="T143" s="14" t="n">
        <f aca="false">$B$4-41*($B$5+$B$6)/30-IF($B$11&lt;=41,$B$12,0)+L143+M143</f>
        <v>934.597988699658</v>
      </c>
      <c r="U143" s="14" t="n">
        <f aca="false">$B$4-55*($B$5+$B$6)/30-IF($B$11&lt;=55,$B$12,0)+L143+M143+N143</f>
        <v>2550.76212466095</v>
      </c>
      <c r="V143" s="14" t="n">
        <f aca="false">$B$4-69*($B$5+$B$6)/30-IF($B$11&lt;=69,$B$12,0)+L143+M143+N143+O143</f>
        <v>4164.58339840781</v>
      </c>
      <c r="W143" s="14" t="n">
        <f aca="false">$B$4-83*($B$5+$B$6)/30-IF($B$11&lt;=83,$B$12,0)+L143+M143+N143+O143+P143</f>
        <v>6177.21852363238</v>
      </c>
      <c r="X143" s="14" t="n">
        <f aca="false">$B$4-90*($B$5+$B$6)/30-IF($B$11&lt;=90,$B$12,0)+L143+M143+N143+O143+P143+Q143</f>
        <v>8711.68501473115</v>
      </c>
      <c r="AA143" s="14" t="n">
        <f aca="false">MIN(R143:X143)</f>
        <v>934.597988699658</v>
      </c>
    </row>
    <row r="144" customFormat="false" ht="15" hidden="false" customHeight="false" outlineLevel="0" collapsed="false">
      <c r="K144" s="2" t="n">
        <v>139</v>
      </c>
      <c r="L144" s="14" t="n">
        <f aca="true">$B$16+NORMINV(RAND(),0,SQRT($B$13*($B$7+$B$8^2))*$B$9*(1-$B$10))</f>
        <v>4486.14778346144</v>
      </c>
      <c r="M144" s="14" t="n">
        <f aca="true">$B$16+NORMINV(RAND(),0,SQRT($B$13*($B$7+$B$8^2))*$B$9*(1-$B$10))</f>
        <v>4382.28714694377</v>
      </c>
      <c r="N144" s="14" t="n">
        <f aca="true">$B$16+NORMINV(RAND(),0,SQRT($B$13*($B$7+$B$8^2))*$B$9*(1-$B$10))</f>
        <v>4014.84232955444</v>
      </c>
      <c r="O144" s="14" t="n">
        <f aca="true">$B$16+NORMINV(RAND(),0,SQRT($B$13*($B$7+$B$8^2))*$B$9*(1-$B$10))</f>
        <v>4212.51128879715</v>
      </c>
      <c r="P144" s="14" t="n">
        <f aca="true">$B$16+NORMINV(RAND(),0,SQRT($B$13*($B$7+$B$8^2))*$B$9*(1-$B$10))</f>
        <v>3814.78784543866</v>
      </c>
      <c r="Q144" s="14" t="n">
        <f aca="true">$B$16+NORMINV(RAND(),0,SQRT($B$13*($B$7+$B$8^2))*$B$9*(1-$B$10))</f>
        <v>4587.62768734488</v>
      </c>
      <c r="R144" s="14" t="n">
        <f aca="false">$B$4-13*($B$5+$B$6)/30-IF($B$11&lt;=13,$B$12,0)+0</f>
        <v>8876.66666666667</v>
      </c>
      <c r="S144" s="14" t="n">
        <f aca="false">$B$4-27*($B$5+$B$6)/30-IF($B$11&lt;=27,$B$12,0)+L144</f>
        <v>11076.1477834614</v>
      </c>
      <c r="T144" s="14" t="n">
        <f aca="false">$B$4-41*($B$5+$B$6)/30-IF($B$11&lt;=41,$B$12,0)+L144+M144</f>
        <v>1986.96826373854</v>
      </c>
      <c r="U144" s="14" t="n">
        <f aca="false">$B$4-55*($B$5+$B$6)/30-IF($B$11&lt;=55,$B$12,0)+L144+M144+N144</f>
        <v>3715.14392662631</v>
      </c>
      <c r="V144" s="14" t="n">
        <f aca="false">$B$4-69*($B$5+$B$6)/30-IF($B$11&lt;=69,$B$12,0)+L144+M144+N144+O144</f>
        <v>5640.98854875679</v>
      </c>
      <c r="W144" s="14" t="n">
        <f aca="false">$B$4-83*($B$5+$B$6)/30-IF($B$11&lt;=83,$B$12,0)+L144+M144+N144+O144+P144</f>
        <v>7169.10972752879</v>
      </c>
      <c r="X144" s="14" t="n">
        <f aca="false">$B$4-90*($B$5+$B$6)/30-IF($B$11&lt;=90,$B$12,0)+L144+M144+N144+O144+P144+Q144</f>
        <v>10613.4040815403</v>
      </c>
      <c r="AA144" s="14" t="n">
        <f aca="false">MIN(R144:X144)</f>
        <v>1986.96826373854</v>
      </c>
    </row>
    <row r="145" customFormat="false" ht="15" hidden="false" customHeight="false" outlineLevel="0" collapsed="false">
      <c r="K145" s="2" t="n">
        <v>140</v>
      </c>
      <c r="L145" s="14" t="n">
        <f aca="true">$B$16+NORMINV(RAND(),0,SQRT($B$13*($B$7+$B$8^2))*$B$9*(1-$B$10))</f>
        <v>4032.47697931044</v>
      </c>
      <c r="M145" s="14" t="n">
        <f aca="true">$B$16+NORMINV(RAND(),0,SQRT($B$13*($B$7+$B$8^2))*$B$9*(1-$B$10))</f>
        <v>4154.36983173853</v>
      </c>
      <c r="N145" s="14" t="n">
        <f aca="true">$B$16+NORMINV(RAND(),0,SQRT($B$13*($B$7+$B$8^2))*$B$9*(1-$B$10))</f>
        <v>3596.36674946512</v>
      </c>
      <c r="O145" s="14" t="n">
        <f aca="true">$B$16+NORMINV(RAND(),0,SQRT($B$13*($B$7+$B$8^2))*$B$9*(1-$B$10))</f>
        <v>3896.31877353513</v>
      </c>
      <c r="P145" s="14" t="n">
        <f aca="true">$B$16+NORMINV(RAND(),0,SQRT($B$13*($B$7+$B$8^2))*$B$9*(1-$B$10))</f>
        <v>4131.31646126049</v>
      </c>
      <c r="Q145" s="14" t="n">
        <f aca="true">$B$16+NORMINV(RAND(),0,SQRT($B$13*($B$7+$B$8^2))*$B$9*(1-$B$10))</f>
        <v>3315.84964679673</v>
      </c>
      <c r="R145" s="14" t="n">
        <f aca="false">$B$4-13*($B$5+$B$6)/30-IF($B$11&lt;=13,$B$12,0)+0</f>
        <v>8876.66666666667</v>
      </c>
      <c r="S145" s="14" t="n">
        <f aca="false">$B$4-27*($B$5+$B$6)/30-IF($B$11&lt;=27,$B$12,0)+L145</f>
        <v>10622.4769793104</v>
      </c>
      <c r="T145" s="14" t="n">
        <f aca="false">$B$4-41*($B$5+$B$6)/30-IF($B$11&lt;=41,$B$12,0)+L145+M145</f>
        <v>1305.3801443823</v>
      </c>
      <c r="U145" s="14" t="n">
        <f aca="false">$B$4-55*($B$5+$B$6)/30-IF($B$11&lt;=55,$B$12,0)+L145+M145+N145</f>
        <v>2615.08022718076</v>
      </c>
      <c r="V145" s="14" t="n">
        <f aca="false">$B$4-69*($B$5+$B$6)/30-IF($B$11&lt;=69,$B$12,0)+L145+M145+N145+O145</f>
        <v>4224.73233404922</v>
      </c>
      <c r="W145" s="14" t="n">
        <f aca="false">$B$4-83*($B$5+$B$6)/30-IF($B$11&lt;=83,$B$12,0)+L145+M145+N145+O145+P145</f>
        <v>6069.38212864304</v>
      </c>
      <c r="X145" s="14" t="n">
        <f aca="false">$B$4-90*($B$5+$B$6)/30-IF($B$11&lt;=90,$B$12,0)+L145+M145+N145+O145+P145+Q145</f>
        <v>8241.89844210644</v>
      </c>
      <c r="AA145" s="14" t="n">
        <f aca="false">MIN(R145:X145)</f>
        <v>1305.3801443823</v>
      </c>
    </row>
    <row r="146" customFormat="false" ht="15" hidden="false" customHeight="false" outlineLevel="0" collapsed="false">
      <c r="K146" s="2" t="n">
        <v>141</v>
      </c>
      <c r="L146" s="14" t="n">
        <f aca="true">$B$16+NORMINV(RAND(),0,SQRT($B$13*($B$7+$B$8^2))*$B$9*(1-$B$10))</f>
        <v>3896.82346108056</v>
      </c>
      <c r="M146" s="14" t="n">
        <f aca="true">$B$16+NORMINV(RAND(),0,SQRT($B$13*($B$7+$B$8^2))*$B$9*(1-$B$10))</f>
        <v>3993.33581299206</v>
      </c>
      <c r="N146" s="14" t="n">
        <f aca="true">$B$16+NORMINV(RAND(),0,SQRT($B$13*($B$7+$B$8^2))*$B$9*(1-$B$10))</f>
        <v>5024.73303270433</v>
      </c>
      <c r="O146" s="14" t="n">
        <f aca="true">$B$16+NORMINV(RAND(),0,SQRT($B$13*($B$7+$B$8^2))*$B$9*(1-$B$10))</f>
        <v>3820.61185613146</v>
      </c>
      <c r="P146" s="14" t="n">
        <f aca="true">$B$16+NORMINV(RAND(),0,SQRT($B$13*($B$7+$B$8^2))*$B$9*(1-$B$10))</f>
        <v>3928.66181727545</v>
      </c>
      <c r="Q146" s="14" t="n">
        <f aca="true">$B$16+NORMINV(RAND(),0,SQRT($B$13*($B$7+$B$8^2))*$B$9*(1-$B$10))</f>
        <v>4168.94441387113</v>
      </c>
      <c r="R146" s="14" t="n">
        <f aca="false">$B$4-13*($B$5+$B$6)/30-IF($B$11&lt;=13,$B$12,0)+0</f>
        <v>8876.66666666667</v>
      </c>
      <c r="S146" s="14" t="n">
        <f aca="false">$B$4-27*($B$5+$B$6)/30-IF($B$11&lt;=27,$B$12,0)+L146</f>
        <v>10486.8234610806</v>
      </c>
      <c r="T146" s="14" t="n">
        <f aca="false">$B$4-41*($B$5+$B$6)/30-IF($B$11&lt;=41,$B$12,0)+L146+M146</f>
        <v>1008.69260740595</v>
      </c>
      <c r="U146" s="14" t="n">
        <f aca="false">$B$4-55*($B$5+$B$6)/30-IF($B$11&lt;=55,$B$12,0)+L146+M146+N146</f>
        <v>3746.75897344361</v>
      </c>
      <c r="V146" s="14" t="n">
        <f aca="false">$B$4-69*($B$5+$B$6)/30-IF($B$11&lt;=69,$B$12,0)+L146+M146+N146+O146</f>
        <v>5280.7041629084</v>
      </c>
      <c r="W146" s="14" t="n">
        <f aca="false">$B$4-83*($B$5+$B$6)/30-IF($B$11&lt;=83,$B$12,0)+L146+M146+N146+O146+P146</f>
        <v>6922.69931351718</v>
      </c>
      <c r="X146" s="14" t="n">
        <f aca="false">$B$4-90*($B$5+$B$6)/30-IF($B$11&lt;=90,$B$12,0)+L146+M146+N146+O146+P146+Q146</f>
        <v>9948.31039405498</v>
      </c>
      <c r="AA146" s="14" t="n">
        <f aca="false">MIN(R146:X146)</f>
        <v>1008.69260740595</v>
      </c>
    </row>
    <row r="147" customFormat="false" ht="15" hidden="false" customHeight="false" outlineLevel="0" collapsed="false">
      <c r="K147" s="2" t="n">
        <v>142</v>
      </c>
      <c r="L147" s="14" t="n">
        <f aca="true">$B$16+NORMINV(RAND(),0,SQRT($B$13*($B$7+$B$8^2))*$B$9*(1-$B$10))</f>
        <v>4402.25377671665</v>
      </c>
      <c r="M147" s="14" t="n">
        <f aca="true">$B$16+NORMINV(RAND(),0,SQRT($B$13*($B$7+$B$8^2))*$B$9*(1-$B$10))</f>
        <v>4291.40197323592</v>
      </c>
      <c r="N147" s="14" t="n">
        <f aca="true">$B$16+NORMINV(RAND(),0,SQRT($B$13*($B$7+$B$8^2))*$B$9*(1-$B$10))</f>
        <v>4144.66615402923</v>
      </c>
      <c r="O147" s="14" t="n">
        <f aca="true">$B$16+NORMINV(RAND(),0,SQRT($B$13*($B$7+$B$8^2))*$B$9*(1-$B$10))</f>
        <v>4369.25958157249</v>
      </c>
      <c r="P147" s="14" t="n">
        <f aca="true">$B$16+NORMINV(RAND(),0,SQRT($B$13*($B$7+$B$8^2))*$B$9*(1-$B$10))</f>
        <v>4214.65469302597</v>
      </c>
      <c r="Q147" s="14" t="n">
        <f aca="true">$B$16+NORMINV(RAND(),0,SQRT($B$13*($B$7+$B$8^2))*$B$9*(1-$B$10))</f>
        <v>4318.63890897174</v>
      </c>
      <c r="R147" s="14" t="n">
        <f aca="false">$B$4-13*($B$5+$B$6)/30-IF($B$11&lt;=13,$B$12,0)+0</f>
        <v>8876.66666666667</v>
      </c>
      <c r="S147" s="14" t="n">
        <f aca="false">$B$4-27*($B$5+$B$6)/30-IF($B$11&lt;=27,$B$12,0)+L147</f>
        <v>10992.2537767167</v>
      </c>
      <c r="T147" s="14" t="n">
        <f aca="false">$B$4-41*($B$5+$B$6)/30-IF($B$11&lt;=41,$B$12,0)+L147+M147</f>
        <v>1812.1890832859</v>
      </c>
      <c r="U147" s="14" t="n">
        <f aca="false">$B$4-55*($B$5+$B$6)/30-IF($B$11&lt;=55,$B$12,0)+L147+M147+N147</f>
        <v>3670.18857064846</v>
      </c>
      <c r="V147" s="14" t="n">
        <f aca="false">$B$4-69*($B$5+$B$6)/30-IF($B$11&lt;=69,$B$12,0)+L147+M147+N147+O147</f>
        <v>5752.78148555429</v>
      </c>
      <c r="W147" s="14" t="n">
        <f aca="false">$B$4-83*($B$5+$B$6)/30-IF($B$11&lt;=83,$B$12,0)+L147+M147+N147+O147+P147</f>
        <v>7680.76951191359</v>
      </c>
      <c r="X147" s="14" t="n">
        <f aca="false">$B$4-90*($B$5+$B$6)/30-IF($B$11&lt;=90,$B$12,0)+L147+M147+N147+O147+P147+Q147</f>
        <v>10856.075087552</v>
      </c>
      <c r="AA147" s="14" t="n">
        <f aca="false">MIN(R147:X147)</f>
        <v>1812.1890832859</v>
      </c>
    </row>
    <row r="148" customFormat="false" ht="15" hidden="false" customHeight="false" outlineLevel="0" collapsed="false">
      <c r="K148" s="2" t="n">
        <v>143</v>
      </c>
      <c r="L148" s="14" t="n">
        <f aca="true">$B$16+NORMINV(RAND(),0,SQRT($B$13*($B$7+$B$8^2))*$B$9*(1-$B$10))</f>
        <v>4040.25439002498</v>
      </c>
      <c r="M148" s="14" t="n">
        <f aca="true">$B$16+NORMINV(RAND(),0,SQRT($B$13*($B$7+$B$8^2))*$B$9*(1-$B$10))</f>
        <v>4023.96292593813</v>
      </c>
      <c r="N148" s="14" t="n">
        <f aca="true">$B$16+NORMINV(RAND(),0,SQRT($B$13*($B$7+$B$8^2))*$B$9*(1-$B$10))</f>
        <v>4246.8769487199</v>
      </c>
      <c r="O148" s="14" t="n">
        <f aca="true">$B$16+NORMINV(RAND(),0,SQRT($B$13*($B$7+$B$8^2))*$B$9*(1-$B$10))</f>
        <v>4631.64748989813</v>
      </c>
      <c r="P148" s="14" t="n">
        <f aca="true">$B$16+NORMINV(RAND(),0,SQRT($B$13*($B$7+$B$8^2))*$B$9*(1-$B$10))</f>
        <v>3890.12840798397</v>
      </c>
      <c r="Q148" s="14" t="n">
        <f aca="true">$B$16+NORMINV(RAND(),0,SQRT($B$13*($B$7+$B$8^2))*$B$9*(1-$B$10))</f>
        <v>3273.65331332532</v>
      </c>
      <c r="R148" s="14" t="n">
        <f aca="false">$B$4-13*($B$5+$B$6)/30-IF($B$11&lt;=13,$B$12,0)+0</f>
        <v>8876.66666666667</v>
      </c>
      <c r="S148" s="14" t="n">
        <f aca="false">$B$4-27*($B$5+$B$6)/30-IF($B$11&lt;=27,$B$12,0)+L148</f>
        <v>10630.254390025</v>
      </c>
      <c r="T148" s="14" t="n">
        <f aca="false">$B$4-41*($B$5+$B$6)/30-IF($B$11&lt;=41,$B$12,0)+L148+M148</f>
        <v>1182.75064929644</v>
      </c>
      <c r="U148" s="14" t="n">
        <f aca="false">$B$4-55*($B$5+$B$6)/30-IF($B$11&lt;=55,$B$12,0)+L148+M148+N148</f>
        <v>3142.96093134968</v>
      </c>
      <c r="V148" s="14" t="n">
        <f aca="false">$B$4-69*($B$5+$B$6)/30-IF($B$11&lt;=69,$B$12,0)+L148+M148+N148+O148</f>
        <v>5487.94175458114</v>
      </c>
      <c r="W148" s="14" t="n">
        <f aca="false">$B$4-83*($B$5+$B$6)/30-IF($B$11&lt;=83,$B$12,0)+L148+M148+N148+O148+P148</f>
        <v>7091.40349589844</v>
      </c>
      <c r="X148" s="14" t="n">
        <f aca="false">$B$4-90*($B$5+$B$6)/30-IF($B$11&lt;=90,$B$12,0)+L148+M148+N148+O148+P148+Q148</f>
        <v>9221.72347589043</v>
      </c>
      <c r="AA148" s="14" t="n">
        <f aca="false">MIN(R148:X148)</f>
        <v>1182.75064929644</v>
      </c>
    </row>
    <row r="149" customFormat="false" ht="15" hidden="false" customHeight="false" outlineLevel="0" collapsed="false">
      <c r="K149" s="2" t="n">
        <v>144</v>
      </c>
      <c r="L149" s="14" t="n">
        <f aca="true">$B$16+NORMINV(RAND(),0,SQRT($B$13*($B$7+$B$8^2))*$B$9*(1-$B$10))</f>
        <v>4007.15478184274</v>
      </c>
      <c r="M149" s="14" t="n">
        <f aca="true">$B$16+NORMINV(RAND(),0,SQRT($B$13*($B$7+$B$8^2))*$B$9*(1-$B$10))</f>
        <v>3980.93942214425</v>
      </c>
      <c r="N149" s="14" t="n">
        <f aca="true">$B$16+NORMINV(RAND(),0,SQRT($B$13*($B$7+$B$8^2))*$B$9*(1-$B$10))</f>
        <v>3958.09449661158</v>
      </c>
      <c r="O149" s="14" t="n">
        <f aca="true">$B$16+NORMINV(RAND(),0,SQRT($B$13*($B$7+$B$8^2))*$B$9*(1-$B$10))</f>
        <v>4053.17113622808</v>
      </c>
      <c r="P149" s="14" t="n">
        <f aca="true">$B$16+NORMINV(RAND(),0,SQRT($B$13*($B$7+$B$8^2))*$B$9*(1-$B$10))</f>
        <v>4139.63245278479</v>
      </c>
      <c r="Q149" s="14" t="n">
        <f aca="true">$B$16+NORMINV(RAND(),0,SQRT($B$13*($B$7+$B$8^2))*$B$9*(1-$B$10))</f>
        <v>3238.01710020798</v>
      </c>
      <c r="R149" s="14" t="n">
        <f aca="false">$B$4-13*($B$5+$B$6)/30-IF($B$11&lt;=13,$B$12,0)+0</f>
        <v>8876.66666666667</v>
      </c>
      <c r="S149" s="14" t="n">
        <f aca="false">$B$4-27*($B$5+$B$6)/30-IF($B$11&lt;=27,$B$12,0)+L149</f>
        <v>10597.1547818427</v>
      </c>
      <c r="T149" s="14" t="n">
        <f aca="false">$B$4-41*($B$5+$B$6)/30-IF($B$11&lt;=41,$B$12,0)+L149+M149</f>
        <v>1106.62753732033</v>
      </c>
      <c r="U149" s="14" t="n">
        <f aca="false">$B$4-55*($B$5+$B$6)/30-IF($B$11&lt;=55,$B$12,0)+L149+M149+N149</f>
        <v>2778.05536726524</v>
      </c>
      <c r="V149" s="14" t="n">
        <f aca="false">$B$4-69*($B$5+$B$6)/30-IF($B$11&lt;=69,$B$12,0)+L149+M149+N149+O149</f>
        <v>4544.55983682666</v>
      </c>
      <c r="W149" s="14" t="n">
        <f aca="false">$B$4-83*($B$5+$B$6)/30-IF($B$11&lt;=83,$B$12,0)+L149+M149+N149+O149+P149</f>
        <v>6397.52562294479</v>
      </c>
      <c r="X149" s="14" t="n">
        <f aca="false">$B$4-90*($B$5+$B$6)/30-IF($B$11&lt;=90,$B$12,0)+L149+M149+N149+O149+P149+Q149</f>
        <v>8492.20938981944</v>
      </c>
      <c r="AA149" s="14" t="n">
        <f aca="false">MIN(R149:X149)</f>
        <v>1106.62753732033</v>
      </c>
    </row>
    <row r="150" customFormat="false" ht="15" hidden="false" customHeight="false" outlineLevel="0" collapsed="false">
      <c r="K150" s="2" t="n">
        <v>145</v>
      </c>
      <c r="L150" s="14" t="n">
        <f aca="true">$B$16+NORMINV(RAND(),0,SQRT($B$13*($B$7+$B$8^2))*$B$9*(1-$B$10))</f>
        <v>4373.0691496776</v>
      </c>
      <c r="M150" s="14" t="n">
        <f aca="true">$B$16+NORMINV(RAND(),0,SQRT($B$13*($B$7+$B$8^2))*$B$9*(1-$B$10))</f>
        <v>3987.35635943192</v>
      </c>
      <c r="N150" s="14" t="n">
        <f aca="true">$B$16+NORMINV(RAND(),0,SQRT($B$13*($B$7+$B$8^2))*$B$9*(1-$B$10))</f>
        <v>4109.51531847332</v>
      </c>
      <c r="O150" s="14" t="n">
        <f aca="true">$B$16+NORMINV(RAND(),0,SQRT($B$13*($B$7+$B$8^2))*$B$9*(1-$B$10))</f>
        <v>3946.14495180559</v>
      </c>
      <c r="P150" s="14" t="n">
        <f aca="true">$B$16+NORMINV(RAND(),0,SQRT($B$13*($B$7+$B$8^2))*$B$9*(1-$B$10))</f>
        <v>3975.99933603931</v>
      </c>
      <c r="Q150" s="14" t="n">
        <f aca="true">$B$16+NORMINV(RAND(),0,SQRT($B$13*($B$7+$B$8^2))*$B$9*(1-$B$10))</f>
        <v>4384.8628202287</v>
      </c>
      <c r="R150" s="14" t="n">
        <f aca="false">$B$4-13*($B$5+$B$6)/30-IF($B$11&lt;=13,$B$12,0)+0</f>
        <v>8876.66666666667</v>
      </c>
      <c r="S150" s="14" t="n">
        <f aca="false">$B$4-27*($B$5+$B$6)/30-IF($B$11&lt;=27,$B$12,0)+L150</f>
        <v>10963.0691496776</v>
      </c>
      <c r="T150" s="14" t="n">
        <f aca="false">$B$4-41*($B$5+$B$6)/30-IF($B$11&lt;=41,$B$12,0)+L150+M150</f>
        <v>1478.95884244286</v>
      </c>
      <c r="U150" s="14" t="n">
        <f aca="false">$B$4-55*($B$5+$B$6)/30-IF($B$11&lt;=55,$B$12,0)+L150+M150+N150</f>
        <v>3301.80749424951</v>
      </c>
      <c r="V150" s="14" t="n">
        <f aca="false">$B$4-69*($B$5+$B$6)/30-IF($B$11&lt;=69,$B$12,0)+L150+M150+N150+O150</f>
        <v>4961.28577938843</v>
      </c>
      <c r="W150" s="14" t="n">
        <f aca="false">$B$4-83*($B$5+$B$6)/30-IF($B$11&lt;=83,$B$12,0)+L150+M150+N150+O150+P150</f>
        <v>6650.61844876107</v>
      </c>
      <c r="X150" s="14" t="n">
        <f aca="false">$B$4-90*($B$5+$B$6)/30-IF($B$11&lt;=90,$B$12,0)+L150+M150+N150+O150+P150+Q150</f>
        <v>9892.14793565644</v>
      </c>
      <c r="AA150" s="14" t="n">
        <f aca="false">MIN(R150:X150)</f>
        <v>1478.95884244286</v>
      </c>
    </row>
    <row r="151" customFormat="false" ht="15" hidden="false" customHeight="false" outlineLevel="0" collapsed="false">
      <c r="K151" s="2" t="n">
        <v>146</v>
      </c>
      <c r="L151" s="14" t="n">
        <f aca="true">$B$16+NORMINV(RAND(),0,SQRT($B$13*($B$7+$B$8^2))*$B$9*(1-$B$10))</f>
        <v>4004.75880478952</v>
      </c>
      <c r="M151" s="14" t="n">
        <f aca="true">$B$16+NORMINV(RAND(),0,SQRT($B$13*($B$7+$B$8^2))*$B$9*(1-$B$10))</f>
        <v>3538.38692112466</v>
      </c>
      <c r="N151" s="14" t="n">
        <f aca="true">$B$16+NORMINV(RAND(),0,SQRT($B$13*($B$7+$B$8^2))*$B$9*(1-$B$10))</f>
        <v>3345.38987994718</v>
      </c>
      <c r="O151" s="14" t="n">
        <f aca="true">$B$16+NORMINV(RAND(),0,SQRT($B$13*($B$7+$B$8^2))*$B$9*(1-$B$10))</f>
        <v>4455.92352016324</v>
      </c>
      <c r="P151" s="14" t="n">
        <f aca="true">$B$16+NORMINV(RAND(),0,SQRT($B$13*($B$7+$B$8^2))*$B$9*(1-$B$10))</f>
        <v>4298.29686869906</v>
      </c>
      <c r="Q151" s="14" t="n">
        <f aca="true">$B$16+NORMINV(RAND(),0,SQRT($B$13*($B$7+$B$8^2))*$B$9*(1-$B$10))</f>
        <v>4617.08504760762</v>
      </c>
      <c r="R151" s="14" t="n">
        <f aca="false">$B$4-13*($B$5+$B$6)/30-IF($B$11&lt;=13,$B$12,0)+0</f>
        <v>8876.66666666667</v>
      </c>
      <c r="S151" s="14" t="n">
        <f aca="false">$B$4-27*($B$5+$B$6)/30-IF($B$11&lt;=27,$B$12,0)+L151</f>
        <v>10594.7588047895</v>
      </c>
      <c r="T151" s="14" t="n">
        <f aca="false">$B$4-41*($B$5+$B$6)/30-IF($B$11&lt;=41,$B$12,0)+L151+M151</f>
        <v>661.679059247509</v>
      </c>
      <c r="U151" s="14" t="n">
        <f aca="false">$B$4-55*($B$5+$B$6)/30-IF($B$11&lt;=55,$B$12,0)+L151+M151+N151</f>
        <v>1720.40227252802</v>
      </c>
      <c r="V151" s="14" t="n">
        <f aca="false">$B$4-69*($B$5+$B$6)/30-IF($B$11&lt;=69,$B$12,0)+L151+M151+N151+O151</f>
        <v>3889.6591260246</v>
      </c>
      <c r="W151" s="14" t="n">
        <f aca="false">$B$4-83*($B$5+$B$6)/30-IF($B$11&lt;=83,$B$12,0)+L151+M151+N151+O151+P151</f>
        <v>5901.28932805699</v>
      </c>
      <c r="X151" s="14" t="n">
        <f aca="false">$B$4-90*($B$5+$B$6)/30-IF($B$11&lt;=90,$B$12,0)+L151+M151+N151+O151+P151+Q151</f>
        <v>9375.04104233128</v>
      </c>
      <c r="AA151" s="14" t="n">
        <f aca="false">MIN(R151:X151)</f>
        <v>661.679059247509</v>
      </c>
    </row>
    <row r="152" customFormat="false" ht="15" hidden="false" customHeight="false" outlineLevel="0" collapsed="false">
      <c r="K152" s="2" t="n">
        <v>147</v>
      </c>
      <c r="L152" s="14" t="n">
        <f aca="true">$B$16+NORMINV(RAND(),0,SQRT($B$13*($B$7+$B$8^2))*$B$9*(1-$B$10))</f>
        <v>4375.49311488893</v>
      </c>
      <c r="M152" s="14" t="n">
        <f aca="true">$B$16+NORMINV(RAND(),0,SQRT($B$13*($B$7+$B$8^2))*$B$9*(1-$B$10))</f>
        <v>3825.30282059806</v>
      </c>
      <c r="N152" s="14" t="n">
        <f aca="true">$B$16+NORMINV(RAND(),0,SQRT($B$13*($B$7+$B$8^2))*$B$9*(1-$B$10))</f>
        <v>4320.40982654631</v>
      </c>
      <c r="O152" s="14" t="n">
        <f aca="true">$B$16+NORMINV(RAND(),0,SQRT($B$13*($B$7+$B$8^2))*$B$9*(1-$B$10))</f>
        <v>3968.89200513817</v>
      </c>
      <c r="P152" s="14" t="n">
        <f aca="true">$B$16+NORMINV(RAND(),0,SQRT($B$13*($B$7+$B$8^2))*$B$9*(1-$B$10))</f>
        <v>4619.91813583539</v>
      </c>
      <c r="Q152" s="14" t="n">
        <f aca="true">$B$16+NORMINV(RAND(),0,SQRT($B$13*($B$7+$B$8^2))*$B$9*(1-$B$10))</f>
        <v>4380.83120960715</v>
      </c>
      <c r="R152" s="14" t="n">
        <f aca="false">$B$4-13*($B$5+$B$6)/30-IF($B$11&lt;=13,$B$12,0)+0</f>
        <v>8876.66666666667</v>
      </c>
      <c r="S152" s="14" t="n">
        <f aca="false">$B$4-27*($B$5+$B$6)/30-IF($B$11&lt;=27,$B$12,0)+L152</f>
        <v>10965.4931148889</v>
      </c>
      <c r="T152" s="14" t="n">
        <f aca="false">$B$4-41*($B$5+$B$6)/30-IF($B$11&lt;=41,$B$12,0)+L152+M152</f>
        <v>1319.32926882032</v>
      </c>
      <c r="U152" s="14" t="n">
        <f aca="false">$B$4-55*($B$5+$B$6)/30-IF($B$11&lt;=55,$B$12,0)+L152+M152+N152</f>
        <v>3353.07242869997</v>
      </c>
      <c r="V152" s="14" t="n">
        <f aca="false">$B$4-69*($B$5+$B$6)/30-IF($B$11&lt;=69,$B$12,0)+L152+M152+N152+O152</f>
        <v>5035.29776717148</v>
      </c>
      <c r="W152" s="14" t="n">
        <f aca="false">$B$4-83*($B$5+$B$6)/30-IF($B$11&lt;=83,$B$12,0)+L152+M152+N152+O152+P152</f>
        <v>7368.5492363402</v>
      </c>
      <c r="X152" s="14" t="n">
        <f aca="false">$B$4-90*($B$5+$B$6)/30-IF($B$11&lt;=90,$B$12,0)+L152+M152+N152+O152+P152+Q152</f>
        <v>10606.047112614</v>
      </c>
      <c r="AA152" s="14" t="n">
        <f aca="false">MIN(R152:X152)</f>
        <v>1319.32926882032</v>
      </c>
    </row>
    <row r="153" customFormat="false" ht="15" hidden="false" customHeight="false" outlineLevel="0" collapsed="false">
      <c r="K153" s="2" t="n">
        <v>148</v>
      </c>
      <c r="L153" s="14" t="n">
        <f aca="true">$B$16+NORMINV(RAND(),0,SQRT($B$13*($B$7+$B$8^2))*$B$9*(1-$B$10))</f>
        <v>3813.38300859883</v>
      </c>
      <c r="M153" s="14" t="n">
        <f aca="true">$B$16+NORMINV(RAND(),0,SQRT($B$13*($B$7+$B$8^2))*$B$9*(1-$B$10))</f>
        <v>4012.92035883239</v>
      </c>
      <c r="N153" s="14" t="n">
        <f aca="true">$B$16+NORMINV(RAND(),0,SQRT($B$13*($B$7+$B$8^2))*$B$9*(1-$B$10))</f>
        <v>3957.93628898327</v>
      </c>
      <c r="O153" s="14" t="n">
        <f aca="true">$B$16+NORMINV(RAND(),0,SQRT($B$13*($B$7+$B$8^2))*$B$9*(1-$B$10))</f>
        <v>4345.56586312231</v>
      </c>
      <c r="P153" s="14" t="n">
        <f aca="true">$B$16+NORMINV(RAND(),0,SQRT($B$13*($B$7+$B$8^2))*$B$9*(1-$B$10))</f>
        <v>3699.12718028843</v>
      </c>
      <c r="Q153" s="14" t="n">
        <f aca="true">$B$16+NORMINV(RAND(),0,SQRT($B$13*($B$7+$B$8^2))*$B$9*(1-$B$10))</f>
        <v>4321.05733896036</v>
      </c>
      <c r="R153" s="14" t="n">
        <f aca="false">$B$4-13*($B$5+$B$6)/30-IF($B$11&lt;=13,$B$12,0)+0</f>
        <v>8876.66666666667</v>
      </c>
      <c r="S153" s="14" t="n">
        <f aca="false">$B$4-27*($B$5+$B$6)/30-IF($B$11&lt;=27,$B$12,0)+L153</f>
        <v>10403.3830085988</v>
      </c>
      <c r="T153" s="14" t="n">
        <f aca="false">$B$4-41*($B$5+$B$6)/30-IF($B$11&lt;=41,$B$12,0)+L153+M153</f>
        <v>944.836700764554</v>
      </c>
      <c r="U153" s="14" t="n">
        <f aca="false">$B$4-55*($B$5+$B$6)/30-IF($B$11&lt;=55,$B$12,0)+L153+M153+N153</f>
        <v>2616.10632308115</v>
      </c>
      <c r="V153" s="14" t="n">
        <f aca="false">$B$4-69*($B$5+$B$6)/30-IF($B$11&lt;=69,$B$12,0)+L153+M153+N153+O153</f>
        <v>4675.0055195368</v>
      </c>
      <c r="W153" s="14" t="n">
        <f aca="false">$B$4-83*($B$5+$B$6)/30-IF($B$11&lt;=83,$B$12,0)+L153+M153+N153+O153+P153</f>
        <v>6087.46603315857</v>
      </c>
      <c r="X153" s="14" t="n">
        <f aca="false">$B$4-90*($B$5+$B$6)/30-IF($B$11&lt;=90,$B$12,0)+L153+M153+N153+O153+P153+Q153</f>
        <v>9265.1900387856</v>
      </c>
      <c r="AA153" s="14" t="n">
        <f aca="false">MIN(R153:X153)</f>
        <v>944.836700764554</v>
      </c>
    </row>
    <row r="154" customFormat="false" ht="15" hidden="false" customHeight="false" outlineLevel="0" collapsed="false">
      <c r="K154" s="2" t="n">
        <v>149</v>
      </c>
      <c r="L154" s="14" t="n">
        <f aca="true">$B$16+NORMINV(RAND(),0,SQRT($B$13*($B$7+$B$8^2))*$B$9*(1-$B$10))</f>
        <v>4212.76902523273</v>
      </c>
      <c r="M154" s="14" t="n">
        <f aca="true">$B$16+NORMINV(RAND(),0,SQRT($B$13*($B$7+$B$8^2))*$B$9*(1-$B$10))</f>
        <v>3380.29630931469</v>
      </c>
      <c r="N154" s="14" t="n">
        <f aca="true">$B$16+NORMINV(RAND(),0,SQRT($B$13*($B$7+$B$8^2))*$B$9*(1-$B$10))</f>
        <v>3906.61290270271</v>
      </c>
      <c r="O154" s="14" t="n">
        <f aca="true">$B$16+NORMINV(RAND(),0,SQRT($B$13*($B$7+$B$8^2))*$B$9*(1-$B$10))</f>
        <v>4117.47282915066</v>
      </c>
      <c r="P154" s="14" t="n">
        <f aca="true">$B$16+NORMINV(RAND(),0,SQRT($B$13*($B$7+$B$8^2))*$B$9*(1-$B$10))</f>
        <v>4615.79465067415</v>
      </c>
      <c r="Q154" s="14" t="n">
        <f aca="true">$B$16+NORMINV(RAND(),0,SQRT($B$13*($B$7+$B$8^2))*$B$9*(1-$B$10))</f>
        <v>3728.78461583086</v>
      </c>
      <c r="R154" s="14" t="n">
        <f aca="false">$B$4-13*($B$5+$B$6)/30-IF($B$11&lt;=13,$B$12,0)+0</f>
        <v>8876.66666666667</v>
      </c>
      <c r="S154" s="14" t="n">
        <f aca="false">$B$4-27*($B$5+$B$6)/30-IF($B$11&lt;=27,$B$12,0)+L154</f>
        <v>10802.7690252327</v>
      </c>
      <c r="T154" s="14" t="n">
        <f aca="false">$B$4-41*($B$5+$B$6)/30-IF($B$11&lt;=41,$B$12,0)+L154+M154</f>
        <v>711.598667880752</v>
      </c>
      <c r="U154" s="14" t="n">
        <f aca="false">$B$4-55*($B$5+$B$6)/30-IF($B$11&lt;=55,$B$12,0)+L154+M154+N154</f>
        <v>2331.5449039168</v>
      </c>
      <c r="V154" s="14" t="n">
        <f aca="false">$B$4-69*($B$5+$B$6)/30-IF($B$11&lt;=69,$B$12,0)+L154+M154+N154+O154</f>
        <v>4162.35106640079</v>
      </c>
      <c r="W154" s="14" t="n">
        <f aca="false">$B$4-83*($B$5+$B$6)/30-IF($B$11&lt;=83,$B$12,0)+L154+M154+N154+O154+P154</f>
        <v>6491.47905040828</v>
      </c>
      <c r="X154" s="14" t="n">
        <f aca="false">$B$4-90*($B$5+$B$6)/30-IF($B$11&lt;=90,$B$12,0)+L154+M154+N154+O154+P154+Q154</f>
        <v>9076.93033290581</v>
      </c>
      <c r="AA154" s="14" t="n">
        <f aca="false">MIN(R154:X154)</f>
        <v>711.598667880752</v>
      </c>
    </row>
    <row r="155" customFormat="false" ht="15" hidden="false" customHeight="false" outlineLevel="0" collapsed="false">
      <c r="K155" s="2" t="n">
        <v>150</v>
      </c>
      <c r="L155" s="14" t="n">
        <f aca="true">$B$16+NORMINV(RAND(),0,SQRT($B$13*($B$7+$B$8^2))*$B$9*(1-$B$10))</f>
        <v>3662.51456911258</v>
      </c>
      <c r="M155" s="14" t="n">
        <f aca="true">$B$16+NORMINV(RAND(),0,SQRT($B$13*($B$7+$B$8^2))*$B$9*(1-$B$10))</f>
        <v>4392.69156152371</v>
      </c>
      <c r="N155" s="14" t="n">
        <f aca="true">$B$16+NORMINV(RAND(),0,SQRT($B$13*($B$7+$B$8^2))*$B$9*(1-$B$10))</f>
        <v>4477.62601177677</v>
      </c>
      <c r="O155" s="14" t="n">
        <f aca="true">$B$16+NORMINV(RAND(),0,SQRT($B$13*($B$7+$B$8^2))*$B$9*(1-$B$10))</f>
        <v>3996.55797724046</v>
      </c>
      <c r="P155" s="14" t="n">
        <f aca="true">$B$16+NORMINV(RAND(),0,SQRT($B$13*($B$7+$B$8^2))*$B$9*(1-$B$10))</f>
        <v>4565.03157731407</v>
      </c>
      <c r="Q155" s="14" t="n">
        <f aca="true">$B$16+NORMINV(RAND(),0,SQRT($B$13*($B$7+$B$8^2))*$B$9*(1-$B$10))</f>
        <v>4363.98972108369</v>
      </c>
      <c r="R155" s="14" t="n">
        <f aca="false">$B$4-13*($B$5+$B$6)/30-IF($B$11&lt;=13,$B$12,0)+0</f>
        <v>8876.66666666667</v>
      </c>
      <c r="S155" s="14" t="n">
        <f aca="false">$B$4-27*($B$5+$B$6)/30-IF($B$11&lt;=27,$B$12,0)+L155</f>
        <v>10252.5145691126</v>
      </c>
      <c r="T155" s="14" t="n">
        <f aca="false">$B$4-41*($B$5+$B$6)/30-IF($B$11&lt;=41,$B$12,0)+L155+M155</f>
        <v>1173.73946396962</v>
      </c>
      <c r="U155" s="14" t="n">
        <f aca="false">$B$4-55*($B$5+$B$6)/30-IF($B$11&lt;=55,$B$12,0)+L155+M155+N155</f>
        <v>3364.69880907972</v>
      </c>
      <c r="V155" s="14" t="n">
        <f aca="false">$B$4-69*($B$5+$B$6)/30-IF($B$11&lt;=69,$B$12,0)+L155+M155+N155+O155</f>
        <v>5074.59011965352</v>
      </c>
      <c r="W155" s="14" t="n">
        <f aca="false">$B$4-83*($B$5+$B$6)/30-IF($B$11&lt;=83,$B$12,0)+L155+M155+N155+O155+P155</f>
        <v>7352.95503030092</v>
      </c>
      <c r="X155" s="14" t="n">
        <f aca="false">$B$4-90*($B$5+$B$6)/30-IF($B$11&lt;=90,$B$12,0)+L155+M155+N155+O155+P155+Q155</f>
        <v>10573.6114180513</v>
      </c>
      <c r="AA155" s="14" t="n">
        <f aca="false">MIN(R155:X155)</f>
        <v>1173.73946396962</v>
      </c>
    </row>
    <row r="156" customFormat="false" ht="15" hidden="false" customHeight="false" outlineLevel="0" collapsed="false">
      <c r="K156" s="2" t="n">
        <v>151</v>
      </c>
      <c r="L156" s="14" t="n">
        <f aca="true">$B$16+NORMINV(RAND(),0,SQRT($B$13*($B$7+$B$8^2))*$B$9*(1-$B$10))</f>
        <v>3914.23357195911</v>
      </c>
      <c r="M156" s="14" t="n">
        <f aca="true">$B$16+NORMINV(RAND(),0,SQRT($B$13*($B$7+$B$8^2))*$B$9*(1-$B$10))</f>
        <v>3876.08205966603</v>
      </c>
      <c r="N156" s="14" t="n">
        <f aca="true">$B$16+NORMINV(RAND(),0,SQRT($B$13*($B$7+$B$8^2))*$B$9*(1-$B$10))</f>
        <v>4363.81429885876</v>
      </c>
      <c r="O156" s="14" t="n">
        <f aca="true">$B$16+NORMINV(RAND(),0,SQRT($B$13*($B$7+$B$8^2))*$B$9*(1-$B$10))</f>
        <v>4362.17134256068</v>
      </c>
      <c r="P156" s="14" t="n">
        <f aca="true">$B$16+NORMINV(RAND(),0,SQRT($B$13*($B$7+$B$8^2))*$B$9*(1-$B$10))</f>
        <v>3881.63034491671</v>
      </c>
      <c r="Q156" s="14" t="n">
        <f aca="true">$B$16+NORMINV(RAND(),0,SQRT($B$13*($B$7+$B$8^2))*$B$9*(1-$B$10))</f>
        <v>4064.79443461087</v>
      </c>
      <c r="R156" s="14" t="n">
        <f aca="false">$B$4-13*($B$5+$B$6)/30-IF($B$11&lt;=13,$B$12,0)+0</f>
        <v>8876.66666666667</v>
      </c>
      <c r="S156" s="14" t="n">
        <f aca="false">$B$4-27*($B$5+$B$6)/30-IF($B$11&lt;=27,$B$12,0)+L156</f>
        <v>10504.2335719591</v>
      </c>
      <c r="T156" s="14" t="n">
        <f aca="false">$B$4-41*($B$5+$B$6)/30-IF($B$11&lt;=41,$B$12,0)+L156+M156</f>
        <v>908.848964958475</v>
      </c>
      <c r="U156" s="14" t="n">
        <f aca="false">$B$4-55*($B$5+$B$6)/30-IF($B$11&lt;=55,$B$12,0)+L156+M156+N156</f>
        <v>2985.99659715056</v>
      </c>
      <c r="V156" s="14" t="n">
        <f aca="false">$B$4-69*($B$5+$B$6)/30-IF($B$11&lt;=69,$B$12,0)+L156+M156+N156+O156</f>
        <v>5061.50127304458</v>
      </c>
      <c r="W156" s="14" t="n">
        <f aca="false">$B$4-83*($B$5+$B$6)/30-IF($B$11&lt;=83,$B$12,0)+L156+M156+N156+O156+P156</f>
        <v>6656.46495129462</v>
      </c>
      <c r="X156" s="14" t="n">
        <f aca="false">$B$4-90*($B$5+$B$6)/30-IF($B$11&lt;=90,$B$12,0)+L156+M156+N156+O156+P156+Q156</f>
        <v>9577.92605257216</v>
      </c>
      <c r="AA156" s="14" t="n">
        <f aca="false">MIN(R156:X156)</f>
        <v>908.848964958475</v>
      </c>
    </row>
    <row r="157" customFormat="false" ht="15" hidden="false" customHeight="false" outlineLevel="0" collapsed="false">
      <c r="K157" s="2" t="n">
        <v>152</v>
      </c>
      <c r="L157" s="14" t="n">
        <f aca="true">$B$16+NORMINV(RAND(),0,SQRT($B$13*($B$7+$B$8^2))*$B$9*(1-$B$10))</f>
        <v>4082.02055296408</v>
      </c>
      <c r="M157" s="14" t="n">
        <f aca="true">$B$16+NORMINV(RAND(),0,SQRT($B$13*($B$7+$B$8^2))*$B$9*(1-$B$10))</f>
        <v>4626.52543205307</v>
      </c>
      <c r="N157" s="14" t="n">
        <f aca="true">$B$16+NORMINV(RAND(),0,SQRT($B$13*($B$7+$B$8^2))*$B$9*(1-$B$10))</f>
        <v>3919.35197718902</v>
      </c>
      <c r="O157" s="14" t="n">
        <f aca="true">$B$16+NORMINV(RAND(),0,SQRT($B$13*($B$7+$B$8^2))*$B$9*(1-$B$10))</f>
        <v>3503.87479910474</v>
      </c>
      <c r="P157" s="14" t="n">
        <f aca="true">$B$16+NORMINV(RAND(),0,SQRT($B$13*($B$7+$B$8^2))*$B$9*(1-$B$10))</f>
        <v>3581.58692706392</v>
      </c>
      <c r="Q157" s="14" t="n">
        <f aca="true">$B$16+NORMINV(RAND(),0,SQRT($B$13*($B$7+$B$8^2))*$B$9*(1-$B$10))</f>
        <v>4208.49102959906</v>
      </c>
      <c r="R157" s="14" t="n">
        <f aca="false">$B$4-13*($B$5+$B$6)/30-IF($B$11&lt;=13,$B$12,0)+0</f>
        <v>8876.66666666667</v>
      </c>
      <c r="S157" s="14" t="n">
        <f aca="false">$B$4-27*($B$5+$B$6)/30-IF($B$11&lt;=27,$B$12,0)+L157</f>
        <v>10672.0205529641</v>
      </c>
      <c r="T157" s="14" t="n">
        <f aca="false">$B$4-41*($B$5+$B$6)/30-IF($B$11&lt;=41,$B$12,0)+L157+M157</f>
        <v>1827.07931835048</v>
      </c>
      <c r="U157" s="14" t="n">
        <f aca="false">$B$4-55*($B$5+$B$6)/30-IF($B$11&lt;=55,$B$12,0)+L157+M157+N157</f>
        <v>3459.76462887283</v>
      </c>
      <c r="V157" s="14" t="n">
        <f aca="false">$B$4-69*($B$5+$B$6)/30-IF($B$11&lt;=69,$B$12,0)+L157+M157+N157+O157</f>
        <v>4676.9727613109</v>
      </c>
      <c r="W157" s="14" t="n">
        <f aca="false">$B$4-83*($B$5+$B$6)/30-IF($B$11&lt;=83,$B$12,0)+L157+M157+N157+O157+P157</f>
        <v>5971.89302170816</v>
      </c>
      <c r="X157" s="14" t="n">
        <f aca="false">$B$4-90*($B$5+$B$6)/30-IF($B$11&lt;=90,$B$12,0)+L157+M157+N157+O157+P157+Q157</f>
        <v>9037.05071797389</v>
      </c>
      <c r="AA157" s="14" t="n">
        <f aca="false">MIN(R157:X157)</f>
        <v>1827.07931835048</v>
      </c>
    </row>
    <row r="158" customFormat="false" ht="15" hidden="false" customHeight="false" outlineLevel="0" collapsed="false">
      <c r="K158" s="2" t="n">
        <v>153</v>
      </c>
      <c r="L158" s="14" t="n">
        <f aca="true">$B$16+NORMINV(RAND(),0,SQRT($B$13*($B$7+$B$8^2))*$B$9*(1-$B$10))</f>
        <v>3697.27221113996</v>
      </c>
      <c r="M158" s="14" t="n">
        <f aca="true">$B$16+NORMINV(RAND(),0,SQRT($B$13*($B$7+$B$8^2))*$B$9*(1-$B$10))</f>
        <v>3839.80006096646</v>
      </c>
      <c r="N158" s="14" t="n">
        <f aca="true">$B$16+NORMINV(RAND(),0,SQRT($B$13*($B$7+$B$8^2))*$B$9*(1-$B$10))</f>
        <v>3726.19500881607</v>
      </c>
      <c r="O158" s="14" t="n">
        <f aca="true">$B$16+NORMINV(RAND(),0,SQRT($B$13*($B$7+$B$8^2))*$B$9*(1-$B$10))</f>
        <v>3894.3144771053</v>
      </c>
      <c r="P158" s="14" t="n">
        <f aca="true">$B$16+NORMINV(RAND(),0,SQRT($B$13*($B$7+$B$8^2))*$B$9*(1-$B$10))</f>
        <v>3616.68369282833</v>
      </c>
      <c r="Q158" s="14" t="n">
        <f aca="true">$B$16+NORMINV(RAND(),0,SQRT($B$13*($B$7+$B$8^2))*$B$9*(1-$B$10))</f>
        <v>4123.40182594198</v>
      </c>
      <c r="R158" s="14" t="n">
        <f aca="false">$B$4-13*($B$5+$B$6)/30-IF($B$11&lt;=13,$B$12,0)+0</f>
        <v>8876.66666666667</v>
      </c>
      <c r="S158" s="14" t="n">
        <f aca="false">$B$4-27*($B$5+$B$6)/30-IF($B$11&lt;=27,$B$12,0)+L158</f>
        <v>10287.27221114</v>
      </c>
      <c r="T158" s="14" t="n">
        <f aca="false">$B$4-41*($B$5+$B$6)/30-IF($B$11&lt;=41,$B$12,0)+L158+M158</f>
        <v>655.605605439744</v>
      </c>
      <c r="U158" s="14" t="n">
        <f aca="false">$B$4-55*($B$5+$B$6)/30-IF($B$11&lt;=55,$B$12,0)+L158+M158+N158</f>
        <v>2095.13394758915</v>
      </c>
      <c r="V158" s="14" t="n">
        <f aca="false">$B$4-69*($B$5+$B$6)/30-IF($B$11&lt;=69,$B$12,0)+L158+M158+N158+O158</f>
        <v>3702.78175802778</v>
      </c>
      <c r="W158" s="14" t="n">
        <f aca="false">$B$4-83*($B$5+$B$6)/30-IF($B$11&lt;=83,$B$12,0)+L158+M158+N158+O158+P158</f>
        <v>5032.79878418945</v>
      </c>
      <c r="X158" s="14" t="n">
        <f aca="false">$B$4-90*($B$5+$B$6)/30-IF($B$11&lt;=90,$B$12,0)+L158+M158+N158+O158+P158+Q158</f>
        <v>8012.8672767981</v>
      </c>
      <c r="AA158" s="14" t="n">
        <f aca="false">MIN(R158:X158)</f>
        <v>655.605605439744</v>
      </c>
    </row>
    <row r="159" customFormat="false" ht="15" hidden="false" customHeight="false" outlineLevel="0" collapsed="false">
      <c r="K159" s="2" t="n">
        <v>154</v>
      </c>
      <c r="L159" s="14" t="n">
        <f aca="true">$B$16+NORMINV(RAND(),0,SQRT($B$13*($B$7+$B$8^2))*$B$9*(1-$B$10))</f>
        <v>3416.21735800816</v>
      </c>
      <c r="M159" s="14" t="n">
        <f aca="true">$B$16+NORMINV(RAND(),0,SQRT($B$13*($B$7+$B$8^2))*$B$9*(1-$B$10))</f>
        <v>4128.45967018873</v>
      </c>
      <c r="N159" s="14" t="n">
        <f aca="true">$B$16+NORMINV(RAND(),0,SQRT($B$13*($B$7+$B$8^2))*$B$9*(1-$B$10))</f>
        <v>4103.8188362225</v>
      </c>
      <c r="O159" s="14" t="n">
        <f aca="true">$B$16+NORMINV(RAND(),0,SQRT($B$13*($B$7+$B$8^2))*$B$9*(1-$B$10))</f>
        <v>3892.04111605472</v>
      </c>
      <c r="P159" s="14" t="n">
        <f aca="true">$B$16+NORMINV(RAND(),0,SQRT($B$13*($B$7+$B$8^2))*$B$9*(1-$B$10))</f>
        <v>4509.6476519055</v>
      </c>
      <c r="Q159" s="14" t="n">
        <f aca="true">$B$16+NORMINV(RAND(),0,SQRT($B$13*($B$7+$B$8^2))*$B$9*(1-$B$10))</f>
        <v>4345.71384008576</v>
      </c>
      <c r="R159" s="14" t="n">
        <f aca="false">$B$4-13*($B$5+$B$6)/30-IF($B$11&lt;=13,$B$12,0)+0</f>
        <v>8876.66666666667</v>
      </c>
      <c r="S159" s="14" t="n">
        <f aca="false">$B$4-27*($B$5+$B$6)/30-IF($B$11&lt;=27,$B$12,0)+L159</f>
        <v>10006.2173580082</v>
      </c>
      <c r="T159" s="14" t="n">
        <f aca="false">$B$4-41*($B$5+$B$6)/30-IF($B$11&lt;=41,$B$12,0)+L159+M159</f>
        <v>663.210361530218</v>
      </c>
      <c r="U159" s="14" t="n">
        <f aca="false">$B$4-55*($B$5+$B$6)/30-IF($B$11&lt;=55,$B$12,0)+L159+M159+N159</f>
        <v>2480.36253108605</v>
      </c>
      <c r="V159" s="14" t="n">
        <f aca="false">$B$4-69*($B$5+$B$6)/30-IF($B$11&lt;=69,$B$12,0)+L159+M159+N159+O159</f>
        <v>4085.73698047411</v>
      </c>
      <c r="W159" s="14" t="n">
        <f aca="false">$B$4-83*($B$5+$B$6)/30-IF($B$11&lt;=83,$B$12,0)+L159+M159+N159+O159+P159</f>
        <v>6308.71796571294</v>
      </c>
      <c r="X159" s="14" t="n">
        <f aca="false">$B$4-90*($B$5+$B$6)/30-IF($B$11&lt;=90,$B$12,0)+L159+M159+N159+O159+P159+Q159</f>
        <v>9511.09847246536</v>
      </c>
      <c r="AA159" s="14" t="n">
        <f aca="false">MIN(R159:X159)</f>
        <v>663.210361530218</v>
      </c>
    </row>
    <row r="160" customFormat="false" ht="15" hidden="false" customHeight="false" outlineLevel="0" collapsed="false">
      <c r="K160" s="2" t="n">
        <v>155</v>
      </c>
      <c r="L160" s="14" t="n">
        <f aca="true">$B$16+NORMINV(RAND(),0,SQRT($B$13*($B$7+$B$8^2))*$B$9*(1-$B$10))</f>
        <v>4124.34628483623</v>
      </c>
      <c r="M160" s="14" t="n">
        <f aca="true">$B$16+NORMINV(RAND(),0,SQRT($B$13*($B$7+$B$8^2))*$B$9*(1-$B$10))</f>
        <v>3501.92929296367</v>
      </c>
      <c r="N160" s="14" t="n">
        <f aca="true">$B$16+NORMINV(RAND(),0,SQRT($B$13*($B$7+$B$8^2))*$B$9*(1-$B$10))</f>
        <v>3805.69773194834</v>
      </c>
      <c r="O160" s="14" t="n">
        <f aca="true">$B$16+NORMINV(RAND(),0,SQRT($B$13*($B$7+$B$8^2))*$B$9*(1-$B$10))</f>
        <v>4460.94053455883</v>
      </c>
      <c r="P160" s="14" t="n">
        <f aca="true">$B$16+NORMINV(RAND(),0,SQRT($B$13*($B$7+$B$8^2))*$B$9*(1-$B$10))</f>
        <v>3189.44092128148</v>
      </c>
      <c r="Q160" s="14" t="n">
        <f aca="true">$B$16+NORMINV(RAND(),0,SQRT($B$13*($B$7+$B$8^2))*$B$9*(1-$B$10))</f>
        <v>4249.60791465538</v>
      </c>
      <c r="R160" s="14" t="n">
        <f aca="false">$B$4-13*($B$5+$B$6)/30-IF($B$11&lt;=13,$B$12,0)+0</f>
        <v>8876.66666666667</v>
      </c>
      <c r="S160" s="14" t="n">
        <f aca="false">$B$4-27*($B$5+$B$6)/30-IF($B$11&lt;=27,$B$12,0)+L160</f>
        <v>10714.3462848362</v>
      </c>
      <c r="T160" s="14" t="n">
        <f aca="false">$B$4-41*($B$5+$B$6)/30-IF($B$11&lt;=41,$B$12,0)+L160+M160</f>
        <v>744.808911133233</v>
      </c>
      <c r="U160" s="14" t="n">
        <f aca="false">$B$4-55*($B$5+$B$6)/30-IF($B$11&lt;=55,$B$12,0)+L160+M160+N160</f>
        <v>2263.83997641491</v>
      </c>
      <c r="V160" s="14" t="n">
        <f aca="false">$B$4-69*($B$5+$B$6)/30-IF($B$11&lt;=69,$B$12,0)+L160+M160+N160+O160</f>
        <v>4438.11384430707</v>
      </c>
      <c r="W160" s="14" t="n">
        <f aca="false">$B$4-83*($B$5+$B$6)/30-IF($B$11&lt;=83,$B$12,0)+L160+M160+N160+O160+P160</f>
        <v>5340.88809892189</v>
      </c>
      <c r="X160" s="14" t="n">
        <f aca="false">$B$4-90*($B$5+$B$6)/30-IF($B$11&lt;=90,$B$12,0)+L160+M160+N160+O160+P160+Q160</f>
        <v>8447.16268024393</v>
      </c>
      <c r="AA160" s="14" t="n">
        <f aca="false">MIN(R160:X160)</f>
        <v>744.808911133233</v>
      </c>
    </row>
    <row r="161" customFormat="false" ht="15" hidden="false" customHeight="false" outlineLevel="0" collapsed="false">
      <c r="K161" s="2" t="n">
        <v>156</v>
      </c>
      <c r="L161" s="14" t="n">
        <f aca="true">$B$16+NORMINV(RAND(),0,SQRT($B$13*($B$7+$B$8^2))*$B$9*(1-$B$10))</f>
        <v>4098.90859496569</v>
      </c>
      <c r="M161" s="14" t="n">
        <f aca="true">$B$16+NORMINV(RAND(),0,SQRT($B$13*($B$7+$B$8^2))*$B$9*(1-$B$10))</f>
        <v>3808.84406438307</v>
      </c>
      <c r="N161" s="14" t="n">
        <f aca="true">$B$16+NORMINV(RAND(),0,SQRT($B$13*($B$7+$B$8^2))*$B$9*(1-$B$10))</f>
        <v>4292.00390371525</v>
      </c>
      <c r="O161" s="14" t="n">
        <f aca="true">$B$16+NORMINV(RAND(),0,SQRT($B$13*($B$7+$B$8^2))*$B$9*(1-$B$10))</f>
        <v>4407.79195426486</v>
      </c>
      <c r="P161" s="14" t="n">
        <f aca="true">$B$16+NORMINV(RAND(),0,SQRT($B$13*($B$7+$B$8^2))*$B$9*(1-$B$10))</f>
        <v>3895.92799582032</v>
      </c>
      <c r="Q161" s="14" t="n">
        <f aca="true">$B$16+NORMINV(RAND(),0,SQRT($B$13*($B$7+$B$8^2))*$B$9*(1-$B$10))</f>
        <v>4235.06190391608</v>
      </c>
      <c r="R161" s="14" t="n">
        <f aca="false">$B$4-13*($B$5+$B$6)/30-IF($B$11&lt;=13,$B$12,0)+0</f>
        <v>8876.66666666667</v>
      </c>
      <c r="S161" s="14" t="n">
        <f aca="false">$B$4-27*($B$5+$B$6)/30-IF($B$11&lt;=27,$B$12,0)+L161</f>
        <v>10688.9085949657</v>
      </c>
      <c r="T161" s="14" t="n">
        <f aca="false">$B$4-41*($B$5+$B$6)/30-IF($B$11&lt;=41,$B$12,0)+L161+M161</f>
        <v>1026.28599268209</v>
      </c>
      <c r="U161" s="14" t="n">
        <f aca="false">$B$4-55*($B$5+$B$6)/30-IF($B$11&lt;=55,$B$12,0)+L161+M161+N161</f>
        <v>3031.62322973068</v>
      </c>
      <c r="V161" s="14" t="n">
        <f aca="false">$B$4-69*($B$5+$B$6)/30-IF($B$11&lt;=69,$B$12,0)+L161+M161+N161+O161</f>
        <v>5152.74851732887</v>
      </c>
      <c r="W161" s="14" t="n">
        <f aca="false">$B$4-83*($B$5+$B$6)/30-IF($B$11&lt;=83,$B$12,0)+L161+M161+N161+O161+P161</f>
        <v>6762.00984648253</v>
      </c>
      <c r="X161" s="14" t="n">
        <f aca="false">$B$4-90*($B$5+$B$6)/30-IF($B$11&lt;=90,$B$12,0)+L161+M161+N161+O161+P161+Q161</f>
        <v>9853.73841706527</v>
      </c>
      <c r="AA161" s="14" t="n">
        <f aca="false">MIN(R161:X161)</f>
        <v>1026.28599268209</v>
      </c>
    </row>
    <row r="162" customFormat="false" ht="15" hidden="false" customHeight="false" outlineLevel="0" collapsed="false">
      <c r="K162" s="2" t="n">
        <v>157</v>
      </c>
      <c r="L162" s="14" t="n">
        <f aca="true">$B$16+NORMINV(RAND(),0,SQRT($B$13*($B$7+$B$8^2))*$B$9*(1-$B$10))</f>
        <v>3931.01219334708</v>
      </c>
      <c r="M162" s="14" t="n">
        <f aca="true">$B$16+NORMINV(RAND(),0,SQRT($B$13*($B$7+$B$8^2))*$B$9*(1-$B$10))</f>
        <v>4312.32376714672</v>
      </c>
      <c r="N162" s="14" t="n">
        <f aca="true">$B$16+NORMINV(RAND(),0,SQRT($B$13*($B$7+$B$8^2))*$B$9*(1-$B$10))</f>
        <v>4468.21334087054</v>
      </c>
      <c r="O162" s="14" t="n">
        <f aca="true">$B$16+NORMINV(RAND(),0,SQRT($B$13*($B$7+$B$8^2))*$B$9*(1-$B$10))</f>
        <v>3868.9688952064</v>
      </c>
      <c r="P162" s="14" t="n">
        <f aca="true">$B$16+NORMINV(RAND(),0,SQRT($B$13*($B$7+$B$8^2))*$B$9*(1-$B$10))</f>
        <v>4478.33784058149</v>
      </c>
      <c r="Q162" s="14" t="n">
        <f aca="true">$B$16+NORMINV(RAND(),0,SQRT($B$13*($B$7+$B$8^2))*$B$9*(1-$B$10))</f>
        <v>4721.22135754455</v>
      </c>
      <c r="R162" s="14" t="n">
        <f aca="false">$B$4-13*($B$5+$B$6)/30-IF($B$11&lt;=13,$B$12,0)+0</f>
        <v>8876.66666666667</v>
      </c>
      <c r="S162" s="14" t="n">
        <f aca="false">$B$4-27*($B$5+$B$6)/30-IF($B$11&lt;=27,$B$12,0)+L162</f>
        <v>10521.0121933471</v>
      </c>
      <c r="T162" s="14" t="n">
        <f aca="false">$B$4-41*($B$5+$B$6)/30-IF($B$11&lt;=41,$B$12,0)+L162+M162</f>
        <v>1361.86929382713</v>
      </c>
      <c r="U162" s="14" t="n">
        <f aca="false">$B$4-55*($B$5+$B$6)/30-IF($B$11&lt;=55,$B$12,0)+L162+M162+N162</f>
        <v>3543.415968031</v>
      </c>
      <c r="V162" s="14" t="n">
        <f aca="false">$B$4-69*($B$5+$B$6)/30-IF($B$11&lt;=69,$B$12,0)+L162+M162+N162+O162</f>
        <v>5125.71819657074</v>
      </c>
      <c r="W162" s="14" t="n">
        <f aca="false">$B$4-83*($B$5+$B$6)/30-IF($B$11&lt;=83,$B$12,0)+L162+M162+N162+O162+P162</f>
        <v>7317.38937048556</v>
      </c>
      <c r="X162" s="14" t="n">
        <f aca="false">$B$4-90*($B$5+$B$6)/30-IF($B$11&lt;=90,$B$12,0)+L162+M162+N162+O162+P162+Q162</f>
        <v>10895.2773946968</v>
      </c>
      <c r="AA162" s="14" t="n">
        <f aca="false">MIN(R162:X162)</f>
        <v>1361.86929382713</v>
      </c>
    </row>
    <row r="163" customFormat="false" ht="15" hidden="false" customHeight="false" outlineLevel="0" collapsed="false">
      <c r="K163" s="2" t="n">
        <v>158</v>
      </c>
      <c r="L163" s="14" t="n">
        <f aca="true">$B$16+NORMINV(RAND(),0,SQRT($B$13*($B$7+$B$8^2))*$B$9*(1-$B$10))</f>
        <v>3838.1957126354</v>
      </c>
      <c r="M163" s="14" t="n">
        <f aca="true">$B$16+NORMINV(RAND(),0,SQRT($B$13*($B$7+$B$8^2))*$B$9*(1-$B$10))</f>
        <v>4012.81946653476</v>
      </c>
      <c r="N163" s="14" t="n">
        <f aca="true">$B$16+NORMINV(RAND(),0,SQRT($B$13*($B$7+$B$8^2))*$B$9*(1-$B$10))</f>
        <v>3745.32942902873</v>
      </c>
      <c r="O163" s="14" t="n">
        <f aca="true">$B$16+NORMINV(RAND(),0,SQRT($B$13*($B$7+$B$8^2))*$B$9*(1-$B$10))</f>
        <v>4447.52165144215</v>
      </c>
      <c r="P163" s="14" t="n">
        <f aca="true">$B$16+NORMINV(RAND(),0,SQRT($B$13*($B$7+$B$8^2))*$B$9*(1-$B$10))</f>
        <v>4290.31707514456</v>
      </c>
      <c r="Q163" s="14" t="n">
        <f aca="true">$B$16+NORMINV(RAND(),0,SQRT($B$13*($B$7+$B$8^2))*$B$9*(1-$B$10))</f>
        <v>4144.78411792751</v>
      </c>
      <c r="R163" s="14" t="n">
        <f aca="false">$B$4-13*($B$5+$B$6)/30-IF($B$11&lt;=13,$B$12,0)+0</f>
        <v>8876.66666666667</v>
      </c>
      <c r="S163" s="14" t="n">
        <f aca="false">$B$4-27*($B$5+$B$6)/30-IF($B$11&lt;=27,$B$12,0)+L163</f>
        <v>10428.1957126354</v>
      </c>
      <c r="T163" s="14" t="n">
        <f aca="false">$B$4-41*($B$5+$B$6)/30-IF($B$11&lt;=41,$B$12,0)+L163+M163</f>
        <v>969.548512503491</v>
      </c>
      <c r="U163" s="14" t="n">
        <f aca="false">$B$4-55*($B$5+$B$6)/30-IF($B$11&lt;=55,$B$12,0)+L163+M163+N163</f>
        <v>2428.21127486555</v>
      </c>
      <c r="V163" s="14" t="n">
        <f aca="false">$B$4-69*($B$5+$B$6)/30-IF($B$11&lt;=69,$B$12,0)+L163+M163+N163+O163</f>
        <v>4589.06625964104</v>
      </c>
      <c r="W163" s="14" t="n">
        <f aca="false">$B$4-83*($B$5+$B$6)/30-IF($B$11&lt;=83,$B$12,0)+L163+M163+N163+O163+P163</f>
        <v>6592.71666811893</v>
      </c>
      <c r="X163" s="14" t="n">
        <f aca="false">$B$4-90*($B$5+$B$6)/30-IF($B$11&lt;=90,$B$12,0)+L163+M163+N163+O163+P163+Q163</f>
        <v>9594.16745271311</v>
      </c>
      <c r="AA163" s="14" t="n">
        <f aca="false">MIN(R163:X163)</f>
        <v>969.548512503491</v>
      </c>
    </row>
    <row r="164" customFormat="false" ht="15" hidden="false" customHeight="false" outlineLevel="0" collapsed="false">
      <c r="K164" s="2" t="n">
        <v>159</v>
      </c>
      <c r="L164" s="14" t="n">
        <f aca="true">$B$16+NORMINV(RAND(),0,SQRT($B$13*($B$7+$B$8^2))*$B$9*(1-$B$10))</f>
        <v>4505.87476318577</v>
      </c>
      <c r="M164" s="14" t="n">
        <f aca="true">$B$16+NORMINV(RAND(),0,SQRT($B$13*($B$7+$B$8^2))*$B$9*(1-$B$10))</f>
        <v>4224.24106785905</v>
      </c>
      <c r="N164" s="14" t="n">
        <f aca="true">$B$16+NORMINV(RAND(),0,SQRT($B$13*($B$7+$B$8^2))*$B$9*(1-$B$10))</f>
        <v>3743.93095305073</v>
      </c>
      <c r="O164" s="14" t="n">
        <f aca="true">$B$16+NORMINV(RAND(),0,SQRT($B$13*($B$7+$B$8^2))*$B$9*(1-$B$10))</f>
        <v>4283.34818382317</v>
      </c>
      <c r="P164" s="14" t="n">
        <f aca="true">$B$16+NORMINV(RAND(),0,SQRT($B$13*($B$7+$B$8^2))*$B$9*(1-$B$10))</f>
        <v>4361.39342495811</v>
      </c>
      <c r="Q164" s="14" t="n">
        <f aca="true">$B$16+NORMINV(RAND(),0,SQRT($B$13*($B$7+$B$8^2))*$B$9*(1-$B$10))</f>
        <v>4214.67595252148</v>
      </c>
      <c r="R164" s="14" t="n">
        <f aca="false">$B$4-13*($B$5+$B$6)/30-IF($B$11&lt;=13,$B$12,0)+0</f>
        <v>8876.66666666667</v>
      </c>
      <c r="S164" s="14" t="n">
        <f aca="false">$B$4-27*($B$5+$B$6)/30-IF($B$11&lt;=27,$B$12,0)+L164</f>
        <v>11095.8747631858</v>
      </c>
      <c r="T164" s="14" t="n">
        <f aca="false">$B$4-41*($B$5+$B$6)/30-IF($B$11&lt;=41,$B$12,0)+L164+M164</f>
        <v>1848.64916437815</v>
      </c>
      <c r="U164" s="14" t="n">
        <f aca="false">$B$4-55*($B$5+$B$6)/30-IF($B$11&lt;=55,$B$12,0)+L164+M164+N164</f>
        <v>3305.91345076222</v>
      </c>
      <c r="V164" s="14" t="n">
        <f aca="false">$B$4-69*($B$5+$B$6)/30-IF($B$11&lt;=69,$B$12,0)+L164+M164+N164+O164</f>
        <v>5302.59496791872</v>
      </c>
      <c r="W164" s="14" t="n">
        <f aca="false">$B$4-83*($B$5+$B$6)/30-IF($B$11&lt;=83,$B$12,0)+L164+M164+N164+O164+P164</f>
        <v>7377.32172621017</v>
      </c>
      <c r="X164" s="14" t="n">
        <f aca="false">$B$4-90*($B$5+$B$6)/30-IF($B$11&lt;=90,$B$12,0)+L164+M164+N164+O164+P164+Q164</f>
        <v>10448.6643453983</v>
      </c>
      <c r="AA164" s="14" t="n">
        <f aca="false">MIN(R164:X164)</f>
        <v>1848.64916437815</v>
      </c>
    </row>
    <row r="165" customFormat="false" ht="15" hidden="false" customHeight="false" outlineLevel="0" collapsed="false">
      <c r="K165" s="2" t="n">
        <v>160</v>
      </c>
      <c r="L165" s="14" t="n">
        <f aca="true">$B$16+NORMINV(RAND(),0,SQRT($B$13*($B$7+$B$8^2))*$B$9*(1-$B$10))</f>
        <v>4143.04744518097</v>
      </c>
      <c r="M165" s="14" t="n">
        <f aca="true">$B$16+NORMINV(RAND(),0,SQRT($B$13*($B$7+$B$8^2))*$B$9*(1-$B$10))</f>
        <v>4005.64155860331</v>
      </c>
      <c r="N165" s="14" t="n">
        <f aca="true">$B$16+NORMINV(RAND(),0,SQRT($B$13*($B$7+$B$8^2))*$B$9*(1-$B$10))</f>
        <v>4352.71229038217</v>
      </c>
      <c r="O165" s="14" t="n">
        <f aca="true">$B$16+NORMINV(RAND(),0,SQRT($B$13*($B$7+$B$8^2))*$B$9*(1-$B$10))</f>
        <v>3841.78491816336</v>
      </c>
      <c r="P165" s="14" t="n">
        <f aca="true">$B$16+NORMINV(RAND(),0,SQRT($B$13*($B$7+$B$8^2))*$B$9*(1-$B$10))</f>
        <v>4140.98276618004</v>
      </c>
      <c r="Q165" s="14" t="n">
        <f aca="true">$B$16+NORMINV(RAND(),0,SQRT($B$13*($B$7+$B$8^2))*$B$9*(1-$B$10))</f>
        <v>4228.69294972216</v>
      </c>
      <c r="R165" s="14" t="n">
        <f aca="false">$B$4-13*($B$5+$B$6)/30-IF($B$11&lt;=13,$B$12,0)+0</f>
        <v>8876.66666666667</v>
      </c>
      <c r="S165" s="14" t="n">
        <f aca="false">$B$4-27*($B$5+$B$6)/30-IF($B$11&lt;=27,$B$12,0)+L165</f>
        <v>10733.047445181</v>
      </c>
      <c r="T165" s="14" t="n">
        <f aca="false">$B$4-41*($B$5+$B$6)/30-IF($B$11&lt;=41,$B$12,0)+L165+M165</f>
        <v>1267.22233711761</v>
      </c>
      <c r="U165" s="14" t="n">
        <f aca="false">$B$4-55*($B$5+$B$6)/30-IF($B$11&lt;=55,$B$12,0)+L165+M165+N165</f>
        <v>3333.26796083312</v>
      </c>
      <c r="V165" s="14" t="n">
        <f aca="false">$B$4-69*($B$5+$B$6)/30-IF($B$11&lt;=69,$B$12,0)+L165+M165+N165+O165</f>
        <v>4888.38621232982</v>
      </c>
      <c r="W165" s="14" t="n">
        <f aca="false">$B$4-83*($B$5+$B$6)/30-IF($B$11&lt;=83,$B$12,0)+L165+M165+N165+O165+P165</f>
        <v>6742.70231184319</v>
      </c>
      <c r="X165" s="14" t="n">
        <f aca="false">$B$4-90*($B$5+$B$6)/30-IF($B$11&lt;=90,$B$12,0)+L165+M165+N165+O165+P165+Q165</f>
        <v>9828.06192823201</v>
      </c>
      <c r="AA165" s="14" t="n">
        <f aca="false">MIN(R165:X165)</f>
        <v>1267.22233711761</v>
      </c>
    </row>
    <row r="166" customFormat="false" ht="15" hidden="false" customHeight="false" outlineLevel="0" collapsed="false">
      <c r="K166" s="2" t="n">
        <v>161</v>
      </c>
      <c r="L166" s="14" t="n">
        <f aca="true">$B$16+NORMINV(RAND(),0,SQRT($B$13*($B$7+$B$8^2))*$B$9*(1-$B$10))</f>
        <v>4511.35514032326</v>
      </c>
      <c r="M166" s="14" t="n">
        <f aca="true">$B$16+NORMINV(RAND(),0,SQRT($B$13*($B$7+$B$8^2))*$B$9*(1-$B$10))</f>
        <v>3609.64494675074</v>
      </c>
      <c r="N166" s="14" t="n">
        <f aca="true">$B$16+NORMINV(RAND(),0,SQRT($B$13*($B$7+$B$8^2))*$B$9*(1-$B$10))</f>
        <v>4461.12655247363</v>
      </c>
      <c r="O166" s="14" t="n">
        <f aca="true">$B$16+NORMINV(RAND(),0,SQRT($B$13*($B$7+$B$8^2))*$B$9*(1-$B$10))</f>
        <v>3834.25009942162</v>
      </c>
      <c r="P166" s="14" t="n">
        <f aca="true">$B$16+NORMINV(RAND(),0,SQRT($B$13*($B$7+$B$8^2))*$B$9*(1-$B$10))</f>
        <v>4058.78388106027</v>
      </c>
      <c r="Q166" s="14" t="n">
        <f aca="true">$B$16+NORMINV(RAND(),0,SQRT($B$13*($B$7+$B$8^2))*$B$9*(1-$B$10))</f>
        <v>3897.23424942895</v>
      </c>
      <c r="R166" s="14" t="n">
        <f aca="false">$B$4-13*($B$5+$B$6)/30-IF($B$11&lt;=13,$B$12,0)+0</f>
        <v>8876.66666666667</v>
      </c>
      <c r="S166" s="14" t="n">
        <f aca="false">$B$4-27*($B$5+$B$6)/30-IF($B$11&lt;=27,$B$12,0)+L166</f>
        <v>11101.3551403233</v>
      </c>
      <c r="T166" s="14" t="n">
        <f aca="false">$B$4-41*($B$5+$B$6)/30-IF($B$11&lt;=41,$B$12,0)+L166+M166</f>
        <v>1239.53342040733</v>
      </c>
      <c r="U166" s="14" t="n">
        <f aca="false">$B$4-55*($B$5+$B$6)/30-IF($B$11&lt;=55,$B$12,0)+L166+M166+N166</f>
        <v>3413.99330621429</v>
      </c>
      <c r="V166" s="14" t="n">
        <f aca="false">$B$4-69*($B$5+$B$6)/30-IF($B$11&lt;=69,$B$12,0)+L166+M166+N166+O166</f>
        <v>4961.57673896925</v>
      </c>
      <c r="W166" s="14" t="n">
        <f aca="false">$B$4-83*($B$5+$B$6)/30-IF($B$11&lt;=83,$B$12,0)+L166+M166+N166+O166+P166</f>
        <v>6733.69395336286</v>
      </c>
      <c r="X166" s="14" t="n">
        <f aca="false">$B$4-90*($B$5+$B$6)/30-IF($B$11&lt;=90,$B$12,0)+L166+M166+N166+O166+P166+Q166</f>
        <v>9487.59486945847</v>
      </c>
      <c r="AA166" s="14" t="n">
        <f aca="false">MIN(R166:X166)</f>
        <v>1239.53342040733</v>
      </c>
    </row>
    <row r="167" customFormat="false" ht="15" hidden="false" customHeight="false" outlineLevel="0" collapsed="false">
      <c r="K167" s="2" t="n">
        <v>162</v>
      </c>
      <c r="L167" s="14" t="n">
        <f aca="true">$B$16+NORMINV(RAND(),0,SQRT($B$13*($B$7+$B$8^2))*$B$9*(1-$B$10))</f>
        <v>4033.51318495066</v>
      </c>
      <c r="M167" s="14" t="n">
        <f aca="true">$B$16+NORMINV(RAND(),0,SQRT($B$13*($B$7+$B$8^2))*$B$9*(1-$B$10))</f>
        <v>4170.88103819472</v>
      </c>
      <c r="N167" s="14" t="n">
        <f aca="true">$B$16+NORMINV(RAND(),0,SQRT($B$13*($B$7+$B$8^2))*$B$9*(1-$B$10))</f>
        <v>3894.8047612088</v>
      </c>
      <c r="O167" s="14" t="n">
        <f aca="true">$B$16+NORMINV(RAND(),0,SQRT($B$13*($B$7+$B$8^2))*$B$9*(1-$B$10))</f>
        <v>4081.64468275873</v>
      </c>
      <c r="P167" s="14" t="n">
        <f aca="true">$B$16+NORMINV(RAND(),0,SQRT($B$13*($B$7+$B$8^2))*$B$9*(1-$B$10))</f>
        <v>3774.6771657043</v>
      </c>
      <c r="Q167" s="14" t="n">
        <f aca="true">$B$16+NORMINV(RAND(),0,SQRT($B$13*($B$7+$B$8^2))*$B$9*(1-$B$10))</f>
        <v>4330.22262500596</v>
      </c>
      <c r="R167" s="14" t="n">
        <f aca="false">$B$4-13*($B$5+$B$6)/30-IF($B$11&lt;=13,$B$12,0)+0</f>
        <v>8876.66666666667</v>
      </c>
      <c r="S167" s="14" t="n">
        <f aca="false">$B$4-27*($B$5+$B$6)/30-IF($B$11&lt;=27,$B$12,0)+L167</f>
        <v>10623.5131849507</v>
      </c>
      <c r="T167" s="14" t="n">
        <f aca="false">$B$4-41*($B$5+$B$6)/30-IF($B$11&lt;=41,$B$12,0)+L167+M167</f>
        <v>1322.92755647872</v>
      </c>
      <c r="U167" s="14" t="n">
        <f aca="false">$B$4-55*($B$5+$B$6)/30-IF($B$11&lt;=55,$B$12,0)+L167+M167+N167</f>
        <v>2931.06565102085</v>
      </c>
      <c r="V167" s="14" t="n">
        <f aca="false">$B$4-69*($B$5+$B$6)/30-IF($B$11&lt;=69,$B$12,0)+L167+M167+N167+O167</f>
        <v>4726.04366711292</v>
      </c>
      <c r="W167" s="14" t="n">
        <f aca="false">$B$4-83*($B$5+$B$6)/30-IF($B$11&lt;=83,$B$12,0)+L167+M167+N167+O167+P167</f>
        <v>6214.05416615055</v>
      </c>
      <c r="X167" s="14" t="n">
        <f aca="false">$B$4-90*($B$5+$B$6)/30-IF($B$11&lt;=90,$B$12,0)+L167+M167+N167+O167+P167+Q167</f>
        <v>9400.94345782318</v>
      </c>
      <c r="AA167" s="14" t="n">
        <f aca="false">MIN(R167:X167)</f>
        <v>1322.92755647872</v>
      </c>
    </row>
    <row r="168" customFormat="false" ht="15" hidden="false" customHeight="false" outlineLevel="0" collapsed="false">
      <c r="K168" s="2" t="n">
        <v>163</v>
      </c>
      <c r="L168" s="14" t="n">
        <f aca="true">$B$16+NORMINV(RAND(),0,SQRT($B$13*($B$7+$B$8^2))*$B$9*(1-$B$10))</f>
        <v>4351.56814356891</v>
      </c>
      <c r="M168" s="14" t="n">
        <f aca="true">$B$16+NORMINV(RAND(),0,SQRT($B$13*($B$7+$B$8^2))*$B$9*(1-$B$10))</f>
        <v>4403.15420564924</v>
      </c>
      <c r="N168" s="14" t="n">
        <f aca="true">$B$16+NORMINV(RAND(),0,SQRT($B$13*($B$7+$B$8^2))*$B$9*(1-$B$10))</f>
        <v>3689.19192015893</v>
      </c>
      <c r="O168" s="14" t="n">
        <f aca="true">$B$16+NORMINV(RAND(),0,SQRT($B$13*($B$7+$B$8^2))*$B$9*(1-$B$10))</f>
        <v>4005.88469164228</v>
      </c>
      <c r="P168" s="14" t="n">
        <f aca="true">$B$16+NORMINV(RAND(),0,SQRT($B$13*($B$7+$B$8^2))*$B$9*(1-$B$10))</f>
        <v>4150.12087858048</v>
      </c>
      <c r="Q168" s="14" t="n">
        <f aca="true">$B$16+NORMINV(RAND(),0,SQRT($B$13*($B$7+$B$8^2))*$B$9*(1-$B$10))</f>
        <v>3877.24880137448</v>
      </c>
      <c r="R168" s="14" t="n">
        <f aca="false">$B$4-13*($B$5+$B$6)/30-IF($B$11&lt;=13,$B$12,0)+0</f>
        <v>8876.66666666667</v>
      </c>
      <c r="S168" s="14" t="n">
        <f aca="false">$B$4-27*($B$5+$B$6)/30-IF($B$11&lt;=27,$B$12,0)+L168</f>
        <v>10941.5681435689</v>
      </c>
      <c r="T168" s="14" t="n">
        <f aca="false">$B$4-41*($B$5+$B$6)/30-IF($B$11&lt;=41,$B$12,0)+L168+M168</f>
        <v>1873.25568255149</v>
      </c>
      <c r="U168" s="14" t="n">
        <f aca="false">$B$4-55*($B$5+$B$6)/30-IF($B$11&lt;=55,$B$12,0)+L168+M168+N168</f>
        <v>3275.78093604375</v>
      </c>
      <c r="V168" s="14" t="n">
        <f aca="false">$B$4-69*($B$5+$B$6)/30-IF($B$11&lt;=69,$B$12,0)+L168+M168+N168+O168</f>
        <v>4994.99896101936</v>
      </c>
      <c r="W168" s="14" t="n">
        <f aca="false">$B$4-83*($B$5+$B$6)/30-IF($B$11&lt;=83,$B$12,0)+L168+M168+N168+O168+P168</f>
        <v>6858.45317293317</v>
      </c>
      <c r="X168" s="14" t="n">
        <f aca="false">$B$4-90*($B$5+$B$6)/30-IF($B$11&lt;=90,$B$12,0)+L168+M168+N168+O168+P168+Q168</f>
        <v>9592.36864097432</v>
      </c>
      <c r="AA168" s="14" t="n">
        <f aca="false">MIN(R168:X168)</f>
        <v>1873.25568255149</v>
      </c>
    </row>
    <row r="169" customFormat="false" ht="15" hidden="false" customHeight="false" outlineLevel="0" collapsed="false">
      <c r="K169" s="2" t="n">
        <v>164</v>
      </c>
      <c r="L169" s="14" t="n">
        <f aca="true">$B$16+NORMINV(RAND(),0,SQRT($B$13*($B$7+$B$8^2))*$B$9*(1-$B$10))</f>
        <v>3953.79169231324</v>
      </c>
      <c r="M169" s="14" t="n">
        <f aca="true">$B$16+NORMINV(RAND(),0,SQRT($B$13*($B$7+$B$8^2))*$B$9*(1-$B$10))</f>
        <v>4388.87646440752</v>
      </c>
      <c r="N169" s="14" t="n">
        <f aca="true">$B$16+NORMINV(RAND(),0,SQRT($B$13*($B$7+$B$8^2))*$B$9*(1-$B$10))</f>
        <v>4024.6739670382</v>
      </c>
      <c r="O169" s="14" t="n">
        <f aca="true">$B$16+NORMINV(RAND(),0,SQRT($B$13*($B$7+$B$8^2))*$B$9*(1-$B$10))</f>
        <v>4211.07296362813</v>
      </c>
      <c r="P169" s="14" t="n">
        <f aca="true">$B$16+NORMINV(RAND(),0,SQRT($B$13*($B$7+$B$8^2))*$B$9*(1-$B$10))</f>
        <v>3253.66485834661</v>
      </c>
      <c r="Q169" s="14" t="n">
        <f aca="true">$B$16+NORMINV(RAND(),0,SQRT($B$13*($B$7+$B$8^2))*$B$9*(1-$B$10))</f>
        <v>3997.25757784108</v>
      </c>
      <c r="R169" s="14" t="n">
        <f aca="false">$B$4-13*($B$5+$B$6)/30-IF($B$11&lt;=13,$B$12,0)+0</f>
        <v>8876.66666666667</v>
      </c>
      <c r="S169" s="14" t="n">
        <f aca="false">$B$4-27*($B$5+$B$6)/30-IF($B$11&lt;=27,$B$12,0)+L169</f>
        <v>10543.7916923132</v>
      </c>
      <c r="T169" s="14" t="n">
        <f aca="false">$B$4-41*($B$5+$B$6)/30-IF($B$11&lt;=41,$B$12,0)+L169+M169</f>
        <v>1461.20149005409</v>
      </c>
      <c r="U169" s="14" t="n">
        <f aca="false">$B$4-55*($B$5+$B$6)/30-IF($B$11&lt;=55,$B$12,0)+L169+M169+N169</f>
        <v>3199.20879042562</v>
      </c>
      <c r="V169" s="14" t="n">
        <f aca="false">$B$4-69*($B$5+$B$6)/30-IF($B$11&lt;=69,$B$12,0)+L169+M169+N169+O169</f>
        <v>5123.61508738708</v>
      </c>
      <c r="W169" s="14" t="n">
        <f aca="false">$B$4-83*($B$5+$B$6)/30-IF($B$11&lt;=83,$B$12,0)+L169+M169+N169+O169+P169</f>
        <v>6090.61327906703</v>
      </c>
      <c r="X169" s="14" t="n">
        <f aca="false">$B$4-90*($B$5+$B$6)/30-IF($B$11&lt;=90,$B$12,0)+L169+M169+N169+O169+P169+Q169</f>
        <v>8944.53752357477</v>
      </c>
      <c r="AA169" s="14" t="n">
        <f aca="false">MIN(R169:X169)</f>
        <v>1461.20149005409</v>
      </c>
    </row>
    <row r="170" customFormat="false" ht="15" hidden="false" customHeight="false" outlineLevel="0" collapsed="false">
      <c r="K170" s="2" t="n">
        <v>165</v>
      </c>
      <c r="L170" s="14" t="n">
        <f aca="true">$B$16+NORMINV(RAND(),0,SQRT($B$13*($B$7+$B$8^2))*$B$9*(1-$B$10))</f>
        <v>4391.21222269128</v>
      </c>
      <c r="M170" s="14" t="n">
        <f aca="true">$B$16+NORMINV(RAND(),0,SQRT($B$13*($B$7+$B$8^2))*$B$9*(1-$B$10))</f>
        <v>4093.10250110956</v>
      </c>
      <c r="N170" s="14" t="n">
        <f aca="true">$B$16+NORMINV(RAND(),0,SQRT($B$13*($B$7+$B$8^2))*$B$9*(1-$B$10))</f>
        <v>4525.46485312179</v>
      </c>
      <c r="O170" s="14" t="n">
        <f aca="true">$B$16+NORMINV(RAND(),0,SQRT($B$13*($B$7+$B$8^2))*$B$9*(1-$B$10))</f>
        <v>4473.8184051679</v>
      </c>
      <c r="P170" s="14" t="n">
        <f aca="true">$B$16+NORMINV(RAND(),0,SQRT($B$13*($B$7+$B$8^2))*$B$9*(1-$B$10))</f>
        <v>3804.99605416914</v>
      </c>
      <c r="Q170" s="14" t="n">
        <f aca="true">$B$16+NORMINV(RAND(),0,SQRT($B$13*($B$7+$B$8^2))*$B$9*(1-$B$10))</f>
        <v>3551.831104811</v>
      </c>
      <c r="R170" s="14" t="n">
        <f aca="false">$B$4-13*($B$5+$B$6)/30-IF($B$11&lt;=13,$B$12,0)+0</f>
        <v>8876.66666666667</v>
      </c>
      <c r="S170" s="14" t="n">
        <f aca="false">$B$4-27*($B$5+$B$6)/30-IF($B$11&lt;=27,$B$12,0)+L170</f>
        <v>10981.2122226913</v>
      </c>
      <c r="T170" s="14" t="n">
        <f aca="false">$B$4-41*($B$5+$B$6)/30-IF($B$11&lt;=41,$B$12,0)+L170+M170</f>
        <v>1602.84805713417</v>
      </c>
      <c r="U170" s="14" t="n">
        <f aca="false">$B$4-55*($B$5+$B$6)/30-IF($B$11&lt;=55,$B$12,0)+L170+M170+N170</f>
        <v>3841.6462435893</v>
      </c>
      <c r="V170" s="14" t="n">
        <f aca="false">$B$4-69*($B$5+$B$6)/30-IF($B$11&lt;=69,$B$12,0)+L170+M170+N170+O170</f>
        <v>6028.79798209053</v>
      </c>
      <c r="W170" s="14" t="n">
        <f aca="false">$B$4-83*($B$5+$B$6)/30-IF($B$11&lt;=83,$B$12,0)+L170+M170+N170+O170+P170</f>
        <v>7547.12736959301</v>
      </c>
      <c r="X170" s="14" t="n">
        <f aca="false">$B$4-90*($B$5+$B$6)/30-IF($B$11&lt;=90,$B$12,0)+L170+M170+N170+O170+P170+Q170</f>
        <v>9955.62514107068</v>
      </c>
      <c r="AA170" s="14" t="n">
        <f aca="false">MIN(R170:X170)</f>
        <v>1602.84805713417</v>
      </c>
    </row>
    <row r="171" customFormat="false" ht="15" hidden="false" customHeight="false" outlineLevel="0" collapsed="false">
      <c r="K171" s="2" t="n">
        <v>166</v>
      </c>
      <c r="L171" s="14" t="n">
        <f aca="true">$B$16+NORMINV(RAND(),0,SQRT($B$13*($B$7+$B$8^2))*$B$9*(1-$B$10))</f>
        <v>3386.44785957976</v>
      </c>
      <c r="M171" s="14" t="n">
        <f aca="true">$B$16+NORMINV(RAND(),0,SQRT($B$13*($B$7+$B$8^2))*$B$9*(1-$B$10))</f>
        <v>3676.27362671525</v>
      </c>
      <c r="N171" s="14" t="n">
        <f aca="true">$B$16+NORMINV(RAND(),0,SQRT($B$13*($B$7+$B$8^2))*$B$9*(1-$B$10))</f>
        <v>4205.0052621368</v>
      </c>
      <c r="O171" s="14" t="n">
        <f aca="true">$B$16+NORMINV(RAND(),0,SQRT($B$13*($B$7+$B$8^2))*$B$9*(1-$B$10))</f>
        <v>3932.88903156562</v>
      </c>
      <c r="P171" s="14" t="n">
        <f aca="true">$B$16+NORMINV(RAND(),0,SQRT($B$13*($B$7+$B$8^2))*$B$9*(1-$B$10))</f>
        <v>4441.1383749137</v>
      </c>
      <c r="Q171" s="14" t="n">
        <f aca="true">$B$16+NORMINV(RAND(),0,SQRT($B$13*($B$7+$B$8^2))*$B$9*(1-$B$10))</f>
        <v>3548.31298824638</v>
      </c>
      <c r="R171" s="14" t="n">
        <f aca="false">$B$4-13*($B$5+$B$6)/30-IF($B$11&lt;=13,$B$12,0)+0</f>
        <v>8876.66666666667</v>
      </c>
      <c r="S171" s="14" t="n">
        <f aca="false">$B$4-27*($B$5+$B$6)/30-IF($B$11&lt;=27,$B$12,0)+L171</f>
        <v>9976.44785957976</v>
      </c>
      <c r="T171" s="14" t="n">
        <f aca="false">$B$4-41*($B$5+$B$6)/30-IF($B$11&lt;=41,$B$12,0)+L171+M171</f>
        <v>181.254819628339</v>
      </c>
      <c r="U171" s="14" t="n">
        <f aca="false">$B$4-55*($B$5+$B$6)/30-IF($B$11&lt;=55,$B$12,0)+L171+M171+N171</f>
        <v>2099.59341509847</v>
      </c>
      <c r="V171" s="14" t="n">
        <f aca="false">$B$4-69*($B$5+$B$6)/30-IF($B$11&lt;=69,$B$12,0)+L171+M171+N171+O171</f>
        <v>3745.81577999743</v>
      </c>
      <c r="W171" s="14" t="n">
        <f aca="false">$B$4-83*($B$5+$B$6)/30-IF($B$11&lt;=83,$B$12,0)+L171+M171+N171+O171+P171</f>
        <v>5900.28748824446</v>
      </c>
      <c r="X171" s="14" t="n">
        <f aca="false">$B$4-90*($B$5+$B$6)/30-IF($B$11&lt;=90,$B$12,0)+L171+M171+N171+O171+P171+Q171</f>
        <v>8305.26714315751</v>
      </c>
      <c r="AA171" s="14" t="n">
        <f aca="false">MIN(R171:X171)</f>
        <v>181.254819628339</v>
      </c>
    </row>
    <row r="172" customFormat="false" ht="15" hidden="false" customHeight="false" outlineLevel="0" collapsed="false">
      <c r="K172" s="2" t="n">
        <v>167</v>
      </c>
      <c r="L172" s="14" t="n">
        <f aca="true">$B$16+NORMINV(RAND(),0,SQRT($B$13*($B$7+$B$8^2))*$B$9*(1-$B$10))</f>
        <v>3416.54244857983</v>
      </c>
      <c r="M172" s="14" t="n">
        <f aca="true">$B$16+NORMINV(RAND(),0,SQRT($B$13*($B$7+$B$8^2))*$B$9*(1-$B$10))</f>
        <v>4340.53461739347</v>
      </c>
      <c r="N172" s="14" t="n">
        <f aca="true">$B$16+NORMINV(RAND(),0,SQRT($B$13*($B$7+$B$8^2))*$B$9*(1-$B$10))</f>
        <v>3603.96180204605</v>
      </c>
      <c r="O172" s="14" t="n">
        <f aca="true">$B$16+NORMINV(RAND(),0,SQRT($B$13*($B$7+$B$8^2))*$B$9*(1-$B$10))</f>
        <v>4331.67523451466</v>
      </c>
      <c r="P172" s="14" t="n">
        <f aca="true">$B$16+NORMINV(RAND(),0,SQRT($B$13*($B$7+$B$8^2))*$B$9*(1-$B$10))</f>
        <v>4197.61146739965</v>
      </c>
      <c r="Q172" s="14" t="n">
        <f aca="true">$B$16+NORMINV(RAND(),0,SQRT($B$13*($B$7+$B$8^2))*$B$9*(1-$B$10))</f>
        <v>4239.49563395064</v>
      </c>
      <c r="R172" s="14" t="n">
        <f aca="false">$B$4-13*($B$5+$B$6)/30-IF($B$11&lt;=13,$B$12,0)+0</f>
        <v>8876.66666666667</v>
      </c>
      <c r="S172" s="14" t="n">
        <f aca="false">$B$4-27*($B$5+$B$6)/30-IF($B$11&lt;=27,$B$12,0)+L172</f>
        <v>10006.5424485798</v>
      </c>
      <c r="T172" s="14" t="n">
        <f aca="false">$B$4-41*($B$5+$B$6)/30-IF($B$11&lt;=41,$B$12,0)+L172+M172</f>
        <v>875.610399306636</v>
      </c>
      <c r="U172" s="14" t="n">
        <f aca="false">$B$4-55*($B$5+$B$6)/30-IF($B$11&lt;=55,$B$12,0)+L172+M172+N172</f>
        <v>2192.90553468602</v>
      </c>
      <c r="V172" s="14" t="n">
        <f aca="false">$B$4-69*($B$5+$B$6)/30-IF($B$11&lt;=69,$B$12,0)+L172+M172+N172+O172</f>
        <v>4237.91410253401</v>
      </c>
      <c r="W172" s="14" t="n">
        <f aca="false">$B$4-83*($B$5+$B$6)/30-IF($B$11&lt;=83,$B$12,0)+L172+M172+N172+O172+P172</f>
        <v>6148.858903267</v>
      </c>
      <c r="X172" s="14" t="n">
        <f aca="false">$B$4-90*($B$5+$B$6)/30-IF($B$11&lt;=90,$B$12,0)+L172+M172+N172+O172+P172+Q172</f>
        <v>9245.0212038843</v>
      </c>
      <c r="AA172" s="14" t="n">
        <f aca="false">MIN(R172:X172)</f>
        <v>875.610399306636</v>
      </c>
    </row>
    <row r="173" customFormat="false" ht="15" hidden="false" customHeight="false" outlineLevel="0" collapsed="false">
      <c r="K173" s="2" t="n">
        <v>168</v>
      </c>
      <c r="L173" s="14" t="n">
        <f aca="true">$B$16+NORMINV(RAND(),0,SQRT($B$13*($B$7+$B$8^2))*$B$9*(1-$B$10))</f>
        <v>3695.51811499434</v>
      </c>
      <c r="M173" s="14" t="n">
        <f aca="true">$B$16+NORMINV(RAND(),0,SQRT($B$13*($B$7+$B$8^2))*$B$9*(1-$B$10))</f>
        <v>3845.27997040608</v>
      </c>
      <c r="N173" s="14" t="n">
        <f aca="true">$B$16+NORMINV(RAND(),0,SQRT($B$13*($B$7+$B$8^2))*$B$9*(1-$B$10))</f>
        <v>3631.88549184507</v>
      </c>
      <c r="O173" s="14" t="n">
        <f aca="true">$B$16+NORMINV(RAND(),0,SQRT($B$13*($B$7+$B$8^2))*$B$9*(1-$B$10))</f>
        <v>4237.72782601525</v>
      </c>
      <c r="P173" s="14" t="n">
        <f aca="true">$B$16+NORMINV(RAND(),0,SQRT($B$13*($B$7+$B$8^2))*$B$9*(1-$B$10))</f>
        <v>4304.52629959792</v>
      </c>
      <c r="Q173" s="14" t="n">
        <f aca="true">$B$16+NORMINV(RAND(),0,SQRT($B$13*($B$7+$B$8^2))*$B$9*(1-$B$10))</f>
        <v>4145.85088976122</v>
      </c>
      <c r="R173" s="14" t="n">
        <f aca="false">$B$4-13*($B$5+$B$6)/30-IF($B$11&lt;=13,$B$12,0)+0</f>
        <v>8876.66666666667</v>
      </c>
      <c r="S173" s="14" t="n">
        <f aca="false">$B$4-27*($B$5+$B$6)/30-IF($B$11&lt;=27,$B$12,0)+L173</f>
        <v>10285.5181149943</v>
      </c>
      <c r="T173" s="14" t="n">
        <f aca="false">$B$4-41*($B$5+$B$6)/30-IF($B$11&lt;=41,$B$12,0)+L173+M173</f>
        <v>659.331418733746</v>
      </c>
      <c r="U173" s="14" t="n">
        <f aca="false">$B$4-55*($B$5+$B$6)/30-IF($B$11&lt;=55,$B$12,0)+L173+M173+N173</f>
        <v>2004.55024391215</v>
      </c>
      <c r="V173" s="14" t="n">
        <f aca="false">$B$4-69*($B$5+$B$6)/30-IF($B$11&lt;=69,$B$12,0)+L173+M173+N173+O173</f>
        <v>3955.61140326074</v>
      </c>
      <c r="W173" s="14" t="n">
        <f aca="false">$B$4-83*($B$5+$B$6)/30-IF($B$11&lt;=83,$B$12,0)+L173+M173+N173+O173+P173</f>
        <v>5973.47103619199</v>
      </c>
      <c r="X173" s="14" t="n">
        <f aca="false">$B$4-90*($B$5+$B$6)/30-IF($B$11&lt;=90,$B$12,0)+L173+M173+N173+O173+P173+Q173</f>
        <v>8975.98859261988</v>
      </c>
      <c r="AA173" s="14" t="n">
        <f aca="false">MIN(R173:X173)</f>
        <v>659.331418733746</v>
      </c>
    </row>
    <row r="174" customFormat="false" ht="15" hidden="false" customHeight="false" outlineLevel="0" collapsed="false">
      <c r="K174" s="2" t="n">
        <v>169</v>
      </c>
      <c r="L174" s="14" t="n">
        <f aca="true">$B$16+NORMINV(RAND(),0,SQRT($B$13*($B$7+$B$8^2))*$B$9*(1-$B$10))</f>
        <v>3929.28746763257</v>
      </c>
      <c r="M174" s="14" t="n">
        <f aca="true">$B$16+NORMINV(RAND(),0,SQRT($B$13*($B$7+$B$8^2))*$B$9*(1-$B$10))</f>
        <v>4484.37668017589</v>
      </c>
      <c r="N174" s="14" t="n">
        <f aca="true">$B$16+NORMINV(RAND(),0,SQRT($B$13*($B$7+$B$8^2))*$B$9*(1-$B$10))</f>
        <v>3813.67951889106</v>
      </c>
      <c r="O174" s="14" t="n">
        <f aca="true">$B$16+NORMINV(RAND(),0,SQRT($B$13*($B$7+$B$8^2))*$B$9*(1-$B$10))</f>
        <v>3877.93147509266</v>
      </c>
      <c r="P174" s="14" t="n">
        <f aca="true">$B$16+NORMINV(RAND(),0,SQRT($B$13*($B$7+$B$8^2))*$B$9*(1-$B$10))</f>
        <v>3833.64404679286</v>
      </c>
      <c r="Q174" s="14" t="n">
        <f aca="true">$B$16+NORMINV(RAND(),0,SQRT($B$13*($B$7+$B$8^2))*$B$9*(1-$B$10))</f>
        <v>3415.73103287823</v>
      </c>
      <c r="R174" s="14" t="n">
        <f aca="false">$B$4-13*($B$5+$B$6)/30-IF($B$11&lt;=13,$B$12,0)+0</f>
        <v>8876.66666666667</v>
      </c>
      <c r="S174" s="14" t="n">
        <f aca="false">$B$4-27*($B$5+$B$6)/30-IF($B$11&lt;=27,$B$12,0)+L174</f>
        <v>10519.2874676326</v>
      </c>
      <c r="T174" s="14" t="n">
        <f aca="false">$B$4-41*($B$5+$B$6)/30-IF($B$11&lt;=41,$B$12,0)+L174+M174</f>
        <v>1532.19748114179</v>
      </c>
      <c r="U174" s="14" t="n">
        <f aca="false">$B$4-55*($B$5+$B$6)/30-IF($B$11&lt;=55,$B$12,0)+L174+M174+N174</f>
        <v>3059.21033336618</v>
      </c>
      <c r="V174" s="14" t="n">
        <f aca="false">$B$4-69*($B$5+$B$6)/30-IF($B$11&lt;=69,$B$12,0)+L174+M174+N174+O174</f>
        <v>4650.47514179217</v>
      </c>
      <c r="W174" s="14" t="n">
        <f aca="false">$B$4-83*($B$5+$B$6)/30-IF($B$11&lt;=83,$B$12,0)+L174+M174+N174+O174+P174</f>
        <v>6197.45252191837</v>
      </c>
      <c r="X174" s="14" t="n">
        <f aca="false">$B$4-90*($B$5+$B$6)/30-IF($B$11&lt;=90,$B$12,0)+L174+M174+N174+O174+P174+Q174</f>
        <v>8469.85022146326</v>
      </c>
      <c r="AA174" s="14" t="n">
        <f aca="false">MIN(R174:X174)</f>
        <v>1532.19748114179</v>
      </c>
    </row>
    <row r="175" customFormat="false" ht="15" hidden="false" customHeight="false" outlineLevel="0" collapsed="false">
      <c r="K175" s="2" t="n">
        <v>170</v>
      </c>
      <c r="L175" s="14" t="n">
        <f aca="true">$B$16+NORMINV(RAND(),0,SQRT($B$13*($B$7+$B$8^2))*$B$9*(1-$B$10))</f>
        <v>4357.83464941544</v>
      </c>
      <c r="M175" s="14" t="n">
        <f aca="true">$B$16+NORMINV(RAND(),0,SQRT($B$13*($B$7+$B$8^2))*$B$9*(1-$B$10))</f>
        <v>4183.35211459562</v>
      </c>
      <c r="N175" s="14" t="n">
        <f aca="true">$B$16+NORMINV(RAND(),0,SQRT($B$13*($B$7+$B$8^2))*$B$9*(1-$B$10))</f>
        <v>4118.81259742027</v>
      </c>
      <c r="O175" s="14" t="n">
        <f aca="true">$B$16+NORMINV(RAND(),0,SQRT($B$13*($B$7+$B$8^2))*$B$9*(1-$B$10))</f>
        <v>3526.74956298239</v>
      </c>
      <c r="P175" s="14" t="n">
        <f aca="true">$B$16+NORMINV(RAND(),0,SQRT($B$13*($B$7+$B$8^2))*$B$9*(1-$B$10))</f>
        <v>4436.69846092509</v>
      </c>
      <c r="Q175" s="14" t="n">
        <f aca="true">$B$16+NORMINV(RAND(),0,SQRT($B$13*($B$7+$B$8^2))*$B$9*(1-$B$10))</f>
        <v>3862.86514354221</v>
      </c>
      <c r="R175" s="14" t="n">
        <f aca="false">$B$4-13*($B$5+$B$6)/30-IF($B$11&lt;=13,$B$12,0)+0</f>
        <v>8876.66666666667</v>
      </c>
      <c r="S175" s="14" t="n">
        <f aca="false">$B$4-27*($B$5+$B$6)/30-IF($B$11&lt;=27,$B$12,0)+L175</f>
        <v>10947.8346494154</v>
      </c>
      <c r="T175" s="14" t="n">
        <f aca="false">$B$4-41*($B$5+$B$6)/30-IF($B$11&lt;=41,$B$12,0)+L175+M175</f>
        <v>1659.72009734439</v>
      </c>
      <c r="U175" s="14" t="n">
        <f aca="false">$B$4-55*($B$5+$B$6)/30-IF($B$11&lt;=55,$B$12,0)+L175+M175+N175</f>
        <v>3491.866028098</v>
      </c>
      <c r="V175" s="14" t="n">
        <f aca="false">$B$4-69*($B$5+$B$6)/30-IF($B$11&lt;=69,$B$12,0)+L175+M175+N175+O175</f>
        <v>4731.94892441373</v>
      </c>
      <c r="W175" s="14" t="n">
        <f aca="false">$B$4-83*($B$5+$B$6)/30-IF($B$11&lt;=83,$B$12,0)+L175+M175+N175+O175+P175</f>
        <v>6881.98071867215</v>
      </c>
      <c r="X175" s="14" t="n">
        <f aca="false">$B$4-90*($B$5+$B$6)/30-IF($B$11&lt;=90,$B$12,0)+L175+M175+N175+O175+P175+Q175</f>
        <v>9601.51252888103</v>
      </c>
      <c r="AA175" s="14" t="n">
        <f aca="false">MIN(R175:X175)</f>
        <v>1659.72009734439</v>
      </c>
    </row>
    <row r="176" customFormat="false" ht="15" hidden="false" customHeight="false" outlineLevel="0" collapsed="false">
      <c r="K176" s="2" t="n">
        <v>171</v>
      </c>
      <c r="L176" s="14" t="n">
        <f aca="true">$B$16+NORMINV(RAND(),0,SQRT($B$13*($B$7+$B$8^2))*$B$9*(1-$B$10))</f>
        <v>4105.17242886672</v>
      </c>
      <c r="M176" s="14" t="n">
        <f aca="true">$B$16+NORMINV(RAND(),0,SQRT($B$13*($B$7+$B$8^2))*$B$9*(1-$B$10))</f>
        <v>3958.48187291144</v>
      </c>
      <c r="N176" s="14" t="n">
        <f aca="true">$B$16+NORMINV(RAND(),0,SQRT($B$13*($B$7+$B$8^2))*$B$9*(1-$B$10))</f>
        <v>4038.6024306535</v>
      </c>
      <c r="O176" s="14" t="n">
        <f aca="true">$B$16+NORMINV(RAND(),0,SQRT($B$13*($B$7+$B$8^2))*$B$9*(1-$B$10))</f>
        <v>4310.49449228632</v>
      </c>
      <c r="P176" s="14" t="n">
        <f aca="true">$B$16+NORMINV(RAND(),0,SQRT($B$13*($B$7+$B$8^2))*$B$9*(1-$B$10))</f>
        <v>3684.93891090982</v>
      </c>
      <c r="Q176" s="14" t="n">
        <f aca="true">$B$16+NORMINV(RAND(),0,SQRT($B$13*($B$7+$B$8^2))*$B$9*(1-$B$10))</f>
        <v>4248.57208069803</v>
      </c>
      <c r="R176" s="14" t="n">
        <f aca="false">$B$4-13*($B$5+$B$6)/30-IF($B$11&lt;=13,$B$12,0)+0</f>
        <v>8876.66666666667</v>
      </c>
      <c r="S176" s="14" t="n">
        <f aca="false">$B$4-27*($B$5+$B$6)/30-IF($B$11&lt;=27,$B$12,0)+L176</f>
        <v>10695.1724288667</v>
      </c>
      <c r="T176" s="14" t="n">
        <f aca="false">$B$4-41*($B$5+$B$6)/30-IF($B$11&lt;=41,$B$12,0)+L176+M176</f>
        <v>1182.18763511149</v>
      </c>
      <c r="U176" s="14" t="n">
        <f aca="false">$B$4-55*($B$5+$B$6)/30-IF($B$11&lt;=55,$B$12,0)+L176+M176+N176</f>
        <v>2934.12339909832</v>
      </c>
      <c r="V176" s="14" t="n">
        <f aca="false">$B$4-69*($B$5+$B$6)/30-IF($B$11&lt;=69,$B$12,0)+L176+M176+N176+O176</f>
        <v>4957.95122471798</v>
      </c>
      <c r="W176" s="14" t="n">
        <f aca="false">$B$4-83*($B$5+$B$6)/30-IF($B$11&lt;=83,$B$12,0)+L176+M176+N176+O176+P176</f>
        <v>6356.22346896113</v>
      </c>
      <c r="X176" s="14" t="n">
        <f aca="false">$B$4-90*($B$5+$B$6)/30-IF($B$11&lt;=90,$B$12,0)+L176+M176+N176+O176+P176+Q176</f>
        <v>9461.46221632583</v>
      </c>
      <c r="AA176" s="14" t="n">
        <f aca="false">MIN(R176:X176)</f>
        <v>1182.18763511149</v>
      </c>
    </row>
    <row r="177" customFormat="false" ht="15" hidden="false" customHeight="false" outlineLevel="0" collapsed="false">
      <c r="K177" s="2" t="n">
        <v>172</v>
      </c>
      <c r="L177" s="14" t="n">
        <f aca="true">$B$16+NORMINV(RAND(),0,SQRT($B$13*($B$7+$B$8^2))*$B$9*(1-$B$10))</f>
        <v>4342.64222603902</v>
      </c>
      <c r="M177" s="14" t="n">
        <f aca="true">$B$16+NORMINV(RAND(),0,SQRT($B$13*($B$7+$B$8^2))*$B$9*(1-$B$10))</f>
        <v>4616.14305017428</v>
      </c>
      <c r="N177" s="14" t="n">
        <f aca="true">$B$16+NORMINV(RAND(),0,SQRT($B$13*($B$7+$B$8^2))*$B$9*(1-$B$10))</f>
        <v>4328.6712414488</v>
      </c>
      <c r="O177" s="14" t="n">
        <f aca="true">$B$16+NORMINV(RAND(),0,SQRT($B$13*($B$7+$B$8^2))*$B$9*(1-$B$10))</f>
        <v>3924.94420347517</v>
      </c>
      <c r="P177" s="14" t="n">
        <f aca="true">$B$16+NORMINV(RAND(),0,SQRT($B$13*($B$7+$B$8^2))*$B$9*(1-$B$10))</f>
        <v>3916.80256044129</v>
      </c>
      <c r="Q177" s="14" t="n">
        <f aca="true">$B$16+NORMINV(RAND(),0,SQRT($B$13*($B$7+$B$8^2))*$B$9*(1-$B$10))</f>
        <v>3954.75149931651</v>
      </c>
      <c r="R177" s="14" t="n">
        <f aca="false">$B$4-13*($B$5+$B$6)/30-IF($B$11&lt;=13,$B$12,0)+0</f>
        <v>8876.66666666667</v>
      </c>
      <c r="S177" s="14" t="n">
        <f aca="false">$B$4-27*($B$5+$B$6)/30-IF($B$11&lt;=27,$B$12,0)+L177</f>
        <v>10932.642226039</v>
      </c>
      <c r="T177" s="14" t="n">
        <f aca="false">$B$4-41*($B$5+$B$6)/30-IF($B$11&lt;=41,$B$12,0)+L177+M177</f>
        <v>2077.31860954663</v>
      </c>
      <c r="U177" s="14" t="n">
        <f aca="false">$B$4-55*($B$5+$B$6)/30-IF($B$11&lt;=55,$B$12,0)+L177+M177+N177</f>
        <v>4119.32318432877</v>
      </c>
      <c r="V177" s="14" t="n">
        <f aca="false">$B$4-69*($B$5+$B$6)/30-IF($B$11&lt;=69,$B$12,0)+L177+M177+N177+O177</f>
        <v>5757.60072113727</v>
      </c>
      <c r="W177" s="14" t="n">
        <f aca="false">$B$4-83*($B$5+$B$6)/30-IF($B$11&lt;=83,$B$12,0)+L177+M177+N177+O177+P177</f>
        <v>7387.7366149119</v>
      </c>
      <c r="X177" s="14" t="n">
        <f aca="false">$B$4-90*($B$5+$B$6)/30-IF($B$11&lt;=90,$B$12,0)+L177+M177+N177+O177+P177+Q177</f>
        <v>10199.1547808951</v>
      </c>
      <c r="AA177" s="14" t="n">
        <f aca="false">MIN(R177:X177)</f>
        <v>2077.31860954663</v>
      </c>
    </row>
    <row r="178" customFormat="false" ht="15" hidden="false" customHeight="false" outlineLevel="0" collapsed="false">
      <c r="K178" s="2" t="n">
        <v>173</v>
      </c>
      <c r="L178" s="14" t="n">
        <f aca="true">$B$16+NORMINV(RAND(),0,SQRT($B$13*($B$7+$B$8^2))*$B$9*(1-$B$10))</f>
        <v>3386.3246795014</v>
      </c>
      <c r="M178" s="14" t="n">
        <f aca="true">$B$16+NORMINV(RAND(),0,SQRT($B$13*($B$7+$B$8^2))*$B$9*(1-$B$10))</f>
        <v>3786.63662597638</v>
      </c>
      <c r="N178" s="14" t="n">
        <f aca="true">$B$16+NORMINV(RAND(),0,SQRT($B$13*($B$7+$B$8^2))*$B$9*(1-$B$10))</f>
        <v>3611.09836678236</v>
      </c>
      <c r="O178" s="14" t="n">
        <f aca="true">$B$16+NORMINV(RAND(),0,SQRT($B$13*($B$7+$B$8^2))*$B$9*(1-$B$10))</f>
        <v>4740.06246070085</v>
      </c>
      <c r="P178" s="14" t="n">
        <f aca="true">$B$16+NORMINV(RAND(),0,SQRT($B$13*($B$7+$B$8^2))*$B$9*(1-$B$10))</f>
        <v>3471.54952312251</v>
      </c>
      <c r="Q178" s="14" t="n">
        <f aca="true">$B$16+NORMINV(RAND(),0,SQRT($B$13*($B$7+$B$8^2))*$B$9*(1-$B$10))</f>
        <v>4010.86088851604</v>
      </c>
      <c r="R178" s="14" t="n">
        <f aca="false">$B$4-13*($B$5+$B$6)/30-IF($B$11&lt;=13,$B$12,0)+0</f>
        <v>8876.66666666667</v>
      </c>
      <c r="S178" s="14" t="n">
        <f aca="false">$B$4-27*($B$5+$B$6)/30-IF($B$11&lt;=27,$B$12,0)+L178</f>
        <v>9976.3246795014</v>
      </c>
      <c r="T178" s="14" t="n">
        <f aca="false">$B$4-41*($B$5+$B$6)/30-IF($B$11&lt;=41,$B$12,0)+L178+M178</f>
        <v>291.494638811111</v>
      </c>
      <c r="U178" s="14" t="n">
        <f aca="false">$B$4-55*($B$5+$B$6)/30-IF($B$11&lt;=55,$B$12,0)+L178+M178+N178</f>
        <v>1615.9263389268</v>
      </c>
      <c r="V178" s="14" t="n">
        <f aca="false">$B$4-69*($B$5+$B$6)/30-IF($B$11&lt;=69,$B$12,0)+L178+M178+N178+O178</f>
        <v>4069.32213296099</v>
      </c>
      <c r="W178" s="14" t="n">
        <f aca="false">$B$4-83*($B$5+$B$6)/30-IF($B$11&lt;=83,$B$12,0)+L178+M178+N178+O178+P178</f>
        <v>5254.20498941683</v>
      </c>
      <c r="X178" s="14" t="n">
        <f aca="false">$B$4-90*($B$5+$B$6)/30-IF($B$11&lt;=90,$B$12,0)+L178+M178+N178+O178+P178+Q178</f>
        <v>8121.73254459954</v>
      </c>
      <c r="AA178" s="14" t="n">
        <f aca="false">MIN(R178:X178)</f>
        <v>291.494638811111</v>
      </c>
    </row>
    <row r="179" customFormat="false" ht="15" hidden="false" customHeight="false" outlineLevel="0" collapsed="false">
      <c r="K179" s="2" t="n">
        <v>174</v>
      </c>
      <c r="L179" s="14" t="n">
        <f aca="true">$B$16+NORMINV(RAND(),0,SQRT($B$13*($B$7+$B$8^2))*$B$9*(1-$B$10))</f>
        <v>3787.22994941353</v>
      </c>
      <c r="M179" s="14" t="n">
        <f aca="true">$B$16+NORMINV(RAND(),0,SQRT($B$13*($B$7+$B$8^2))*$B$9*(1-$B$10))</f>
        <v>3640.00736253081</v>
      </c>
      <c r="N179" s="14" t="n">
        <f aca="true">$B$16+NORMINV(RAND(),0,SQRT($B$13*($B$7+$B$8^2))*$B$9*(1-$B$10))</f>
        <v>3934.38016174371</v>
      </c>
      <c r="O179" s="14" t="n">
        <f aca="true">$B$16+NORMINV(RAND(),0,SQRT($B$13*($B$7+$B$8^2))*$B$9*(1-$B$10))</f>
        <v>4170.82652026166</v>
      </c>
      <c r="P179" s="14" t="n">
        <f aca="true">$B$16+NORMINV(RAND(),0,SQRT($B$13*($B$7+$B$8^2))*$B$9*(1-$B$10))</f>
        <v>4792.79935845625</v>
      </c>
      <c r="Q179" s="14" t="n">
        <f aca="true">$B$16+NORMINV(RAND(),0,SQRT($B$13*($B$7+$B$8^2))*$B$9*(1-$B$10))</f>
        <v>4307.78050200196</v>
      </c>
      <c r="R179" s="14" t="n">
        <f aca="false">$B$4-13*($B$5+$B$6)/30-IF($B$11&lt;=13,$B$12,0)+0</f>
        <v>8876.66666666667</v>
      </c>
      <c r="S179" s="14" t="n">
        <f aca="false">$B$4-27*($B$5+$B$6)/30-IF($B$11&lt;=27,$B$12,0)+L179</f>
        <v>10377.2299494135</v>
      </c>
      <c r="T179" s="14" t="n">
        <f aca="false">$B$4-41*($B$5+$B$6)/30-IF($B$11&lt;=41,$B$12,0)+L179+M179</f>
        <v>545.770645277673</v>
      </c>
      <c r="U179" s="14" t="n">
        <f aca="false">$B$4-55*($B$5+$B$6)/30-IF($B$11&lt;=55,$B$12,0)+L179+M179+N179</f>
        <v>2193.48414035472</v>
      </c>
      <c r="V179" s="14" t="n">
        <f aca="false">$B$4-69*($B$5+$B$6)/30-IF($B$11&lt;=69,$B$12,0)+L179+M179+N179+O179</f>
        <v>4077.64399394971</v>
      </c>
      <c r="W179" s="14" t="n">
        <f aca="false">$B$4-83*($B$5+$B$6)/30-IF($B$11&lt;=83,$B$12,0)+L179+M179+N179+O179+P179</f>
        <v>6583.77668573929</v>
      </c>
      <c r="X179" s="14" t="n">
        <f aca="false">$B$4-90*($B$5+$B$6)/30-IF($B$11&lt;=90,$B$12,0)+L179+M179+N179+O179+P179+Q179</f>
        <v>9748.22385440792</v>
      </c>
      <c r="AA179" s="14" t="n">
        <f aca="false">MIN(R179:X179)</f>
        <v>545.770645277673</v>
      </c>
    </row>
    <row r="180" customFormat="false" ht="15" hidden="false" customHeight="false" outlineLevel="0" collapsed="false">
      <c r="K180" s="2" t="n">
        <v>175</v>
      </c>
      <c r="L180" s="14" t="n">
        <f aca="true">$B$16+NORMINV(RAND(),0,SQRT($B$13*($B$7+$B$8^2))*$B$9*(1-$B$10))</f>
        <v>4785.05918999593</v>
      </c>
      <c r="M180" s="14" t="n">
        <f aca="true">$B$16+NORMINV(RAND(),0,SQRT($B$13*($B$7+$B$8^2))*$B$9*(1-$B$10))</f>
        <v>4116.73366652658</v>
      </c>
      <c r="N180" s="14" t="n">
        <f aca="true">$B$16+NORMINV(RAND(),0,SQRT($B$13*($B$7+$B$8^2))*$B$9*(1-$B$10))</f>
        <v>3636.48237645131</v>
      </c>
      <c r="O180" s="14" t="n">
        <f aca="true">$B$16+NORMINV(RAND(),0,SQRT($B$13*($B$7+$B$8^2))*$B$9*(1-$B$10))</f>
        <v>4132.69150576591</v>
      </c>
      <c r="P180" s="14" t="n">
        <f aca="true">$B$16+NORMINV(RAND(),0,SQRT($B$13*($B$7+$B$8^2))*$B$9*(1-$B$10))</f>
        <v>3906.69050056329</v>
      </c>
      <c r="Q180" s="14" t="n">
        <f aca="true">$B$16+NORMINV(RAND(),0,SQRT($B$13*($B$7+$B$8^2))*$B$9*(1-$B$10))</f>
        <v>3415.0782782843</v>
      </c>
      <c r="R180" s="14" t="n">
        <f aca="false">$B$4-13*($B$5+$B$6)/30-IF($B$11&lt;=13,$B$12,0)+0</f>
        <v>8876.66666666667</v>
      </c>
      <c r="S180" s="14" t="n">
        <f aca="false">$B$4-27*($B$5+$B$6)/30-IF($B$11&lt;=27,$B$12,0)+L180</f>
        <v>11375.0591899959</v>
      </c>
      <c r="T180" s="14" t="n">
        <f aca="false">$B$4-41*($B$5+$B$6)/30-IF($B$11&lt;=41,$B$12,0)+L180+M180</f>
        <v>2020.32618985585</v>
      </c>
      <c r="U180" s="14" t="n">
        <f aca="false">$B$4-55*($B$5+$B$6)/30-IF($B$11&lt;=55,$B$12,0)+L180+M180+N180</f>
        <v>3370.14189964049</v>
      </c>
      <c r="V180" s="14" t="n">
        <f aca="false">$B$4-69*($B$5+$B$6)/30-IF($B$11&lt;=69,$B$12,0)+L180+M180+N180+O180</f>
        <v>5216.16673873974</v>
      </c>
      <c r="W180" s="14" t="n">
        <f aca="false">$B$4-83*($B$5+$B$6)/30-IF($B$11&lt;=83,$B$12,0)+L180+M180+N180+O180+P180</f>
        <v>6836.19057263637</v>
      </c>
      <c r="X180" s="14" t="n">
        <f aca="false">$B$4-90*($B$5+$B$6)/30-IF($B$11&lt;=90,$B$12,0)+L180+M180+N180+O180+P180+Q180</f>
        <v>9107.93551758734</v>
      </c>
      <c r="AA180" s="14" t="n">
        <f aca="false">MIN(R180:X180)</f>
        <v>2020.32618985585</v>
      </c>
    </row>
    <row r="181" customFormat="false" ht="15" hidden="false" customHeight="false" outlineLevel="0" collapsed="false">
      <c r="K181" s="2" t="n">
        <v>176</v>
      </c>
      <c r="L181" s="14" t="n">
        <f aca="true">$B$16+NORMINV(RAND(),0,SQRT($B$13*($B$7+$B$8^2))*$B$9*(1-$B$10))</f>
        <v>3855.05142121949</v>
      </c>
      <c r="M181" s="14" t="n">
        <f aca="true">$B$16+NORMINV(RAND(),0,SQRT($B$13*($B$7+$B$8^2))*$B$9*(1-$B$10))</f>
        <v>4012.57299810259</v>
      </c>
      <c r="N181" s="14" t="n">
        <f aca="true">$B$16+NORMINV(RAND(),0,SQRT($B$13*($B$7+$B$8^2))*$B$9*(1-$B$10))</f>
        <v>4270.286382177</v>
      </c>
      <c r="O181" s="14" t="n">
        <f aca="true">$B$16+NORMINV(RAND(),0,SQRT($B$13*($B$7+$B$8^2))*$B$9*(1-$B$10))</f>
        <v>3838.28968188669</v>
      </c>
      <c r="P181" s="14" t="n">
        <f aca="true">$B$16+NORMINV(RAND(),0,SQRT($B$13*($B$7+$B$8^2))*$B$9*(1-$B$10))</f>
        <v>4492.09605398307</v>
      </c>
      <c r="Q181" s="14" t="n">
        <f aca="true">$B$16+NORMINV(RAND(),0,SQRT($B$13*($B$7+$B$8^2))*$B$9*(1-$B$10))</f>
        <v>3898.71600895264</v>
      </c>
      <c r="R181" s="14" t="n">
        <f aca="false">$B$4-13*($B$5+$B$6)/30-IF($B$11&lt;=13,$B$12,0)+0</f>
        <v>8876.66666666667</v>
      </c>
      <c r="S181" s="14" t="n">
        <f aca="false">$B$4-27*($B$5+$B$6)/30-IF($B$11&lt;=27,$B$12,0)+L181</f>
        <v>10445.0514212195</v>
      </c>
      <c r="T181" s="14" t="n">
        <f aca="false">$B$4-41*($B$5+$B$6)/30-IF($B$11&lt;=41,$B$12,0)+L181+M181</f>
        <v>986.157752655414</v>
      </c>
      <c r="U181" s="14" t="n">
        <f aca="false">$B$4-55*($B$5+$B$6)/30-IF($B$11&lt;=55,$B$12,0)+L181+M181+N181</f>
        <v>2969.77746816575</v>
      </c>
      <c r="V181" s="14" t="n">
        <f aca="false">$B$4-69*($B$5+$B$6)/30-IF($B$11&lt;=69,$B$12,0)+L181+M181+N181+O181</f>
        <v>4521.40048338577</v>
      </c>
      <c r="W181" s="14" t="n">
        <f aca="false">$B$4-83*($B$5+$B$6)/30-IF($B$11&lt;=83,$B$12,0)+L181+M181+N181+O181+P181</f>
        <v>6726.82987070218</v>
      </c>
      <c r="X181" s="14" t="n">
        <f aca="false">$B$4-90*($B$5+$B$6)/30-IF($B$11&lt;=90,$B$12,0)+L181+M181+N181+O181+P181+Q181</f>
        <v>9482.21254632148</v>
      </c>
      <c r="AA181" s="14" t="n">
        <f aca="false">MIN(R181:X181)</f>
        <v>986.157752655414</v>
      </c>
    </row>
    <row r="182" customFormat="false" ht="15" hidden="false" customHeight="false" outlineLevel="0" collapsed="false">
      <c r="K182" s="2" t="n">
        <v>177</v>
      </c>
      <c r="L182" s="14" t="n">
        <f aca="true">$B$16+NORMINV(RAND(),0,SQRT($B$13*($B$7+$B$8^2))*$B$9*(1-$B$10))</f>
        <v>4049.07395528687</v>
      </c>
      <c r="M182" s="14" t="n">
        <f aca="true">$B$16+NORMINV(RAND(),0,SQRT($B$13*($B$7+$B$8^2))*$B$9*(1-$B$10))</f>
        <v>4351.92505827285</v>
      </c>
      <c r="N182" s="14" t="n">
        <f aca="true">$B$16+NORMINV(RAND(),0,SQRT($B$13*($B$7+$B$8^2))*$B$9*(1-$B$10))</f>
        <v>4097.18861094632</v>
      </c>
      <c r="O182" s="14" t="n">
        <f aca="true">$B$16+NORMINV(RAND(),0,SQRT($B$13*($B$7+$B$8^2))*$B$9*(1-$B$10))</f>
        <v>3497.4225795367</v>
      </c>
      <c r="P182" s="14" t="n">
        <f aca="true">$B$16+NORMINV(RAND(),0,SQRT($B$13*($B$7+$B$8^2))*$B$9*(1-$B$10))</f>
        <v>3119.21290507623</v>
      </c>
      <c r="Q182" s="14" t="n">
        <f aca="true">$B$16+NORMINV(RAND(),0,SQRT($B$13*($B$7+$B$8^2))*$B$9*(1-$B$10))</f>
        <v>3769.83422641278</v>
      </c>
      <c r="R182" s="14" t="n">
        <f aca="false">$B$4-13*($B$5+$B$6)/30-IF($B$11&lt;=13,$B$12,0)+0</f>
        <v>8876.66666666667</v>
      </c>
      <c r="S182" s="14" t="n">
        <f aca="false">$B$4-27*($B$5+$B$6)/30-IF($B$11&lt;=27,$B$12,0)+L182</f>
        <v>10639.0739552869</v>
      </c>
      <c r="T182" s="14" t="n">
        <f aca="false">$B$4-41*($B$5+$B$6)/30-IF($B$11&lt;=41,$B$12,0)+L182+M182</f>
        <v>1519.53234689305</v>
      </c>
      <c r="U182" s="14" t="n">
        <f aca="false">$B$4-55*($B$5+$B$6)/30-IF($B$11&lt;=55,$B$12,0)+L182+M182+N182</f>
        <v>3330.0542911727</v>
      </c>
      <c r="V182" s="14" t="n">
        <f aca="false">$B$4-69*($B$5+$B$6)/30-IF($B$11&lt;=69,$B$12,0)+L182+M182+N182+O182</f>
        <v>4540.81020404273</v>
      </c>
      <c r="W182" s="14" t="n">
        <f aca="false">$B$4-83*($B$5+$B$6)/30-IF($B$11&lt;=83,$B$12,0)+L182+M182+N182+O182+P182</f>
        <v>5373.3564424523</v>
      </c>
      <c r="X182" s="14" t="n">
        <f aca="false">$B$4-90*($B$5+$B$6)/30-IF($B$11&lt;=90,$B$12,0)+L182+M182+N182+O182+P182+Q182</f>
        <v>7999.85733553174</v>
      </c>
      <c r="AA182" s="14" t="n">
        <f aca="false">MIN(R182:X182)</f>
        <v>1519.53234689305</v>
      </c>
    </row>
    <row r="183" customFormat="false" ht="15" hidden="false" customHeight="false" outlineLevel="0" collapsed="false">
      <c r="K183" s="2" t="n">
        <v>178</v>
      </c>
      <c r="L183" s="14" t="n">
        <f aca="true">$B$16+NORMINV(RAND(),0,SQRT($B$13*($B$7+$B$8^2))*$B$9*(1-$B$10))</f>
        <v>4172.84180977668</v>
      </c>
      <c r="M183" s="14" t="n">
        <f aca="true">$B$16+NORMINV(RAND(),0,SQRT($B$13*($B$7+$B$8^2))*$B$9*(1-$B$10))</f>
        <v>4362.07227978193</v>
      </c>
      <c r="N183" s="14" t="n">
        <f aca="true">$B$16+NORMINV(RAND(),0,SQRT($B$13*($B$7+$B$8^2))*$B$9*(1-$B$10))</f>
        <v>4349.41889927929</v>
      </c>
      <c r="O183" s="14" t="n">
        <f aca="true">$B$16+NORMINV(RAND(),0,SQRT($B$13*($B$7+$B$8^2))*$B$9*(1-$B$10))</f>
        <v>4242.85033781124</v>
      </c>
      <c r="P183" s="14" t="n">
        <f aca="true">$B$16+NORMINV(RAND(),0,SQRT($B$13*($B$7+$B$8^2))*$B$9*(1-$B$10))</f>
        <v>3965.15496879026</v>
      </c>
      <c r="Q183" s="14" t="n">
        <f aca="true">$B$16+NORMINV(RAND(),0,SQRT($B$13*($B$7+$B$8^2))*$B$9*(1-$B$10))</f>
        <v>3556.21698984258</v>
      </c>
      <c r="R183" s="14" t="n">
        <f aca="false">$B$4-13*($B$5+$B$6)/30-IF($B$11&lt;=13,$B$12,0)+0</f>
        <v>8876.66666666667</v>
      </c>
      <c r="S183" s="14" t="n">
        <f aca="false">$B$4-27*($B$5+$B$6)/30-IF($B$11&lt;=27,$B$12,0)+L183</f>
        <v>10762.8418097767</v>
      </c>
      <c r="T183" s="14" t="n">
        <f aca="false">$B$4-41*($B$5+$B$6)/30-IF($B$11&lt;=41,$B$12,0)+L183+M183</f>
        <v>1653.44742289194</v>
      </c>
      <c r="U183" s="14" t="n">
        <f aca="false">$B$4-55*($B$5+$B$6)/30-IF($B$11&lt;=55,$B$12,0)+L183+M183+N183</f>
        <v>3716.19965550457</v>
      </c>
      <c r="V183" s="14" t="n">
        <f aca="false">$B$4-69*($B$5+$B$6)/30-IF($B$11&lt;=69,$B$12,0)+L183+M183+N183+O183</f>
        <v>5672.38332664914</v>
      </c>
      <c r="W183" s="14" t="n">
        <f aca="false">$B$4-83*($B$5+$B$6)/30-IF($B$11&lt;=83,$B$12,0)+L183+M183+N183+O183+P183</f>
        <v>7350.87162877273</v>
      </c>
      <c r="X183" s="14" t="n">
        <f aca="false">$B$4-90*($B$5+$B$6)/30-IF($B$11&lt;=90,$B$12,0)+L183+M183+N183+O183+P183+Q183</f>
        <v>9763.75528528198</v>
      </c>
      <c r="AA183" s="14" t="n">
        <f aca="false">MIN(R183:X183)</f>
        <v>1653.44742289194</v>
      </c>
    </row>
    <row r="184" customFormat="false" ht="15" hidden="false" customHeight="false" outlineLevel="0" collapsed="false">
      <c r="K184" s="2" t="n">
        <v>179</v>
      </c>
      <c r="L184" s="14" t="n">
        <f aca="true">$B$16+NORMINV(RAND(),0,SQRT($B$13*($B$7+$B$8^2))*$B$9*(1-$B$10))</f>
        <v>3464.79857207403</v>
      </c>
      <c r="M184" s="14" t="n">
        <f aca="true">$B$16+NORMINV(RAND(),0,SQRT($B$13*($B$7+$B$8^2))*$B$9*(1-$B$10))</f>
        <v>3967.14412970957</v>
      </c>
      <c r="N184" s="14" t="n">
        <f aca="true">$B$16+NORMINV(RAND(),0,SQRT($B$13*($B$7+$B$8^2))*$B$9*(1-$B$10))</f>
        <v>3390.83101601676</v>
      </c>
      <c r="O184" s="14" t="n">
        <f aca="true">$B$16+NORMINV(RAND(),0,SQRT($B$13*($B$7+$B$8^2))*$B$9*(1-$B$10))</f>
        <v>4439.33048793171</v>
      </c>
      <c r="P184" s="14" t="n">
        <f aca="true">$B$16+NORMINV(RAND(),0,SQRT($B$13*($B$7+$B$8^2))*$B$9*(1-$B$10))</f>
        <v>4079.57072967655</v>
      </c>
      <c r="Q184" s="14" t="n">
        <f aca="true">$B$16+NORMINV(RAND(),0,SQRT($B$13*($B$7+$B$8^2))*$B$9*(1-$B$10))</f>
        <v>4103.54183393532</v>
      </c>
      <c r="R184" s="14" t="n">
        <f aca="false">$B$4-13*($B$5+$B$6)/30-IF($B$11&lt;=13,$B$12,0)+0</f>
        <v>8876.66666666667</v>
      </c>
      <c r="S184" s="14" t="n">
        <f aca="false">$B$4-27*($B$5+$B$6)/30-IF($B$11&lt;=27,$B$12,0)+L184</f>
        <v>10054.798572074</v>
      </c>
      <c r="T184" s="14" t="n">
        <f aca="false">$B$4-41*($B$5+$B$6)/30-IF($B$11&lt;=41,$B$12,0)+L184+M184</f>
        <v>550.476035116924</v>
      </c>
      <c r="U184" s="14" t="n">
        <f aca="false">$B$4-55*($B$5+$B$6)/30-IF($B$11&lt;=55,$B$12,0)+L184+M184+N184</f>
        <v>1654.64038446702</v>
      </c>
      <c r="V184" s="14" t="n">
        <f aca="false">$B$4-69*($B$5+$B$6)/30-IF($B$11&lt;=69,$B$12,0)+L184+M184+N184+O184</f>
        <v>3807.30420573206</v>
      </c>
      <c r="W184" s="14" t="n">
        <f aca="false">$B$4-83*($B$5+$B$6)/30-IF($B$11&lt;=83,$B$12,0)+L184+M184+N184+O184+P184</f>
        <v>5600.20826874195</v>
      </c>
      <c r="X184" s="14" t="n">
        <f aca="false">$B$4-90*($B$5+$B$6)/30-IF($B$11&lt;=90,$B$12,0)+L184+M184+N184+O184+P184+Q184</f>
        <v>8560.41676934394</v>
      </c>
      <c r="AA184" s="14" t="n">
        <f aca="false">MIN(R184:X184)</f>
        <v>550.476035116924</v>
      </c>
    </row>
    <row r="185" customFormat="false" ht="15" hidden="false" customHeight="false" outlineLevel="0" collapsed="false">
      <c r="K185" s="2" t="n">
        <v>180</v>
      </c>
      <c r="L185" s="14" t="n">
        <f aca="true">$B$16+NORMINV(RAND(),0,SQRT($B$13*($B$7+$B$8^2))*$B$9*(1-$B$10))</f>
        <v>4060.28571099526</v>
      </c>
      <c r="M185" s="14" t="n">
        <f aca="true">$B$16+NORMINV(RAND(),0,SQRT($B$13*($B$7+$B$8^2))*$B$9*(1-$B$10))</f>
        <v>4089.70091273249</v>
      </c>
      <c r="N185" s="14" t="n">
        <f aca="true">$B$16+NORMINV(RAND(),0,SQRT($B$13*($B$7+$B$8^2))*$B$9*(1-$B$10))</f>
        <v>3676.85674621094</v>
      </c>
      <c r="O185" s="14" t="n">
        <f aca="true">$B$16+NORMINV(RAND(),0,SQRT($B$13*($B$7+$B$8^2))*$B$9*(1-$B$10))</f>
        <v>4106.49875341168</v>
      </c>
      <c r="P185" s="14" t="n">
        <f aca="true">$B$16+NORMINV(RAND(),0,SQRT($B$13*($B$7+$B$8^2))*$B$9*(1-$B$10))</f>
        <v>4537.79856028783</v>
      </c>
      <c r="Q185" s="14" t="n">
        <f aca="true">$B$16+NORMINV(RAND(),0,SQRT($B$13*($B$7+$B$8^2))*$B$9*(1-$B$10))</f>
        <v>3898.47457242164</v>
      </c>
      <c r="R185" s="14" t="n">
        <f aca="false">$B$4-13*($B$5+$B$6)/30-IF($B$11&lt;=13,$B$12,0)+0</f>
        <v>8876.66666666667</v>
      </c>
      <c r="S185" s="14" t="n">
        <f aca="false">$B$4-27*($B$5+$B$6)/30-IF($B$11&lt;=27,$B$12,0)+L185</f>
        <v>10650.2857109953</v>
      </c>
      <c r="T185" s="14" t="n">
        <f aca="false">$B$4-41*($B$5+$B$6)/30-IF($B$11&lt;=41,$B$12,0)+L185+M185</f>
        <v>1268.51995706108</v>
      </c>
      <c r="U185" s="14" t="n">
        <f aca="false">$B$4-55*($B$5+$B$6)/30-IF($B$11&lt;=55,$B$12,0)+L185+M185+N185</f>
        <v>2658.71003660535</v>
      </c>
      <c r="V185" s="14" t="n">
        <f aca="false">$B$4-69*($B$5+$B$6)/30-IF($B$11&lt;=69,$B$12,0)+L185+M185+N185+O185</f>
        <v>4478.54212335036</v>
      </c>
      <c r="W185" s="14" t="n">
        <f aca="false">$B$4-83*($B$5+$B$6)/30-IF($B$11&lt;=83,$B$12,0)+L185+M185+N185+O185+P185</f>
        <v>6729.67401697153</v>
      </c>
      <c r="X185" s="14" t="n">
        <f aca="false">$B$4-90*($B$5+$B$6)/30-IF($B$11&lt;=90,$B$12,0)+L185+M185+N185+O185+P185+Q185</f>
        <v>9484.81525605983</v>
      </c>
      <c r="AA185" s="14" t="n">
        <f aca="false">MIN(R185:X185)</f>
        <v>1268.51995706108</v>
      </c>
    </row>
    <row r="186" customFormat="false" ht="15" hidden="false" customHeight="false" outlineLevel="0" collapsed="false">
      <c r="K186" s="2" t="n">
        <v>181</v>
      </c>
      <c r="L186" s="14" t="n">
        <f aca="true">$B$16+NORMINV(RAND(),0,SQRT($B$13*($B$7+$B$8^2))*$B$9*(1-$B$10))</f>
        <v>3860.89429854415</v>
      </c>
      <c r="M186" s="14" t="n">
        <f aca="true">$B$16+NORMINV(RAND(),0,SQRT($B$13*($B$7+$B$8^2))*$B$9*(1-$B$10))</f>
        <v>4444.17898203804</v>
      </c>
      <c r="N186" s="14" t="n">
        <f aca="true">$B$16+NORMINV(RAND(),0,SQRT($B$13*($B$7+$B$8^2))*$B$9*(1-$B$10))</f>
        <v>4122.77693733933</v>
      </c>
      <c r="O186" s="14" t="n">
        <f aca="true">$B$16+NORMINV(RAND(),0,SQRT($B$13*($B$7+$B$8^2))*$B$9*(1-$B$10))</f>
        <v>3367.41036941258</v>
      </c>
      <c r="P186" s="14" t="n">
        <f aca="true">$B$16+NORMINV(RAND(),0,SQRT($B$13*($B$7+$B$8^2))*$B$9*(1-$B$10))</f>
        <v>3572.80659955326</v>
      </c>
      <c r="Q186" s="14" t="n">
        <f aca="true">$B$16+NORMINV(RAND(),0,SQRT($B$13*($B$7+$B$8^2))*$B$9*(1-$B$10))</f>
        <v>4106.23952755735</v>
      </c>
      <c r="R186" s="14" t="n">
        <f aca="false">$B$4-13*($B$5+$B$6)/30-IF($B$11&lt;=13,$B$12,0)+0</f>
        <v>8876.66666666667</v>
      </c>
      <c r="S186" s="14" t="n">
        <f aca="false">$B$4-27*($B$5+$B$6)/30-IF($B$11&lt;=27,$B$12,0)+L186</f>
        <v>10450.8942985442</v>
      </c>
      <c r="T186" s="14" t="n">
        <f aca="false">$B$4-41*($B$5+$B$6)/30-IF($B$11&lt;=41,$B$12,0)+L186+M186</f>
        <v>1423.60661391552</v>
      </c>
      <c r="U186" s="14" t="n">
        <f aca="false">$B$4-55*($B$5+$B$6)/30-IF($B$11&lt;=55,$B$12,0)+L186+M186+N186</f>
        <v>3259.71688458819</v>
      </c>
      <c r="V186" s="14" t="n">
        <f aca="false">$B$4-69*($B$5+$B$6)/30-IF($B$11&lt;=69,$B$12,0)+L186+M186+N186+O186</f>
        <v>4340.4605873341</v>
      </c>
      <c r="W186" s="14" t="n">
        <f aca="false">$B$4-83*($B$5+$B$6)/30-IF($B$11&lt;=83,$B$12,0)+L186+M186+N186+O186+P186</f>
        <v>5626.60052022069</v>
      </c>
      <c r="X186" s="14" t="n">
        <f aca="false">$B$4-90*($B$5+$B$6)/30-IF($B$11&lt;=90,$B$12,0)+L186+M186+N186+O186+P186+Q186</f>
        <v>8589.50671444471</v>
      </c>
      <c r="AA186" s="14" t="n">
        <f aca="false">MIN(R186:X186)</f>
        <v>1423.60661391552</v>
      </c>
    </row>
    <row r="187" customFormat="false" ht="15" hidden="false" customHeight="false" outlineLevel="0" collapsed="false">
      <c r="K187" s="2" t="n">
        <v>182</v>
      </c>
      <c r="L187" s="14" t="n">
        <f aca="true">$B$16+NORMINV(RAND(),0,SQRT($B$13*($B$7+$B$8^2))*$B$9*(1-$B$10))</f>
        <v>3778.94942646635</v>
      </c>
      <c r="M187" s="14" t="n">
        <f aca="true">$B$16+NORMINV(RAND(),0,SQRT($B$13*($B$7+$B$8^2))*$B$9*(1-$B$10))</f>
        <v>3621.43868042272</v>
      </c>
      <c r="N187" s="14" t="n">
        <f aca="true">$B$16+NORMINV(RAND(),0,SQRT($B$13*($B$7+$B$8^2))*$B$9*(1-$B$10))</f>
        <v>4191.73570908462</v>
      </c>
      <c r="O187" s="14" t="n">
        <f aca="true">$B$16+NORMINV(RAND(),0,SQRT($B$13*($B$7+$B$8^2))*$B$9*(1-$B$10))</f>
        <v>4221.69777475814</v>
      </c>
      <c r="P187" s="14" t="n">
        <f aca="true">$B$16+NORMINV(RAND(),0,SQRT($B$13*($B$7+$B$8^2))*$B$9*(1-$B$10))</f>
        <v>3747.49881993595</v>
      </c>
      <c r="Q187" s="14" t="n">
        <f aca="true">$B$16+NORMINV(RAND(),0,SQRT($B$13*($B$7+$B$8^2))*$B$9*(1-$B$10))</f>
        <v>4768.90810238426</v>
      </c>
      <c r="R187" s="14" t="n">
        <f aca="false">$B$4-13*($B$5+$B$6)/30-IF($B$11&lt;=13,$B$12,0)+0</f>
        <v>8876.66666666667</v>
      </c>
      <c r="S187" s="14" t="n">
        <f aca="false">$B$4-27*($B$5+$B$6)/30-IF($B$11&lt;=27,$B$12,0)+L187</f>
        <v>10368.9494264664</v>
      </c>
      <c r="T187" s="14" t="n">
        <f aca="false">$B$4-41*($B$5+$B$6)/30-IF($B$11&lt;=41,$B$12,0)+L187+M187</f>
        <v>518.921440222401</v>
      </c>
      <c r="U187" s="14" t="n">
        <f aca="false">$B$4-55*($B$5+$B$6)/30-IF($B$11&lt;=55,$B$12,0)+L187+M187+N187</f>
        <v>2423.99048264036</v>
      </c>
      <c r="V187" s="14" t="n">
        <f aca="false">$B$4-69*($B$5+$B$6)/30-IF($B$11&lt;=69,$B$12,0)+L187+M187+N187+O187</f>
        <v>4359.02159073183</v>
      </c>
      <c r="W187" s="14" t="n">
        <f aca="false">$B$4-83*($B$5+$B$6)/30-IF($B$11&lt;=83,$B$12,0)+L187+M187+N187+O187+P187</f>
        <v>5819.85374400112</v>
      </c>
      <c r="X187" s="14" t="n">
        <f aca="false">$B$4-90*($B$5+$B$6)/30-IF($B$11&lt;=90,$B$12,0)+L187+M187+N187+O187+P187+Q187</f>
        <v>9445.42851305205</v>
      </c>
      <c r="AA187" s="14" t="n">
        <f aca="false">MIN(R187:X187)</f>
        <v>518.921440222401</v>
      </c>
    </row>
    <row r="188" customFormat="false" ht="15" hidden="false" customHeight="false" outlineLevel="0" collapsed="false">
      <c r="K188" s="2" t="n">
        <v>183</v>
      </c>
      <c r="L188" s="14" t="n">
        <f aca="true">$B$16+NORMINV(RAND(),0,SQRT($B$13*($B$7+$B$8^2))*$B$9*(1-$B$10))</f>
        <v>4218.54064036226</v>
      </c>
      <c r="M188" s="14" t="n">
        <f aca="true">$B$16+NORMINV(RAND(),0,SQRT($B$13*($B$7+$B$8^2))*$B$9*(1-$B$10))</f>
        <v>4780.86257866321</v>
      </c>
      <c r="N188" s="14" t="n">
        <f aca="true">$B$16+NORMINV(RAND(),0,SQRT($B$13*($B$7+$B$8^2))*$B$9*(1-$B$10))</f>
        <v>4173.88137042511</v>
      </c>
      <c r="O188" s="14" t="n">
        <f aca="true">$B$16+NORMINV(RAND(),0,SQRT($B$13*($B$7+$B$8^2))*$B$9*(1-$B$10))</f>
        <v>3801.42892533804</v>
      </c>
      <c r="P188" s="14" t="n">
        <f aca="true">$B$16+NORMINV(RAND(),0,SQRT($B$13*($B$7+$B$8^2))*$B$9*(1-$B$10))</f>
        <v>3538.35713294376</v>
      </c>
      <c r="Q188" s="14" t="n">
        <f aca="true">$B$16+NORMINV(RAND(),0,SQRT($B$13*($B$7+$B$8^2))*$B$9*(1-$B$10))</f>
        <v>4507.58335255912</v>
      </c>
      <c r="R188" s="14" t="n">
        <f aca="false">$B$4-13*($B$5+$B$6)/30-IF($B$11&lt;=13,$B$12,0)+0</f>
        <v>8876.66666666667</v>
      </c>
      <c r="S188" s="14" t="n">
        <f aca="false">$B$4-27*($B$5+$B$6)/30-IF($B$11&lt;=27,$B$12,0)+L188</f>
        <v>10808.5406403623</v>
      </c>
      <c r="T188" s="14" t="n">
        <f aca="false">$B$4-41*($B$5+$B$6)/30-IF($B$11&lt;=41,$B$12,0)+L188+M188</f>
        <v>2117.93655235879</v>
      </c>
      <c r="U188" s="14" t="n">
        <f aca="false">$B$4-55*($B$5+$B$6)/30-IF($B$11&lt;=55,$B$12,0)+L188+M188+N188</f>
        <v>4005.15125611723</v>
      </c>
      <c r="V188" s="14" t="n">
        <f aca="false">$B$4-69*($B$5+$B$6)/30-IF($B$11&lt;=69,$B$12,0)+L188+M188+N188+O188</f>
        <v>5519.9135147886</v>
      </c>
      <c r="W188" s="14" t="n">
        <f aca="false">$B$4-83*($B$5+$B$6)/30-IF($B$11&lt;=83,$B$12,0)+L188+M188+N188+O188+P188</f>
        <v>6771.6039810657</v>
      </c>
      <c r="X188" s="14" t="n">
        <f aca="false">$B$4-90*($B$5+$B$6)/30-IF($B$11&lt;=90,$B$12,0)+L188+M188+N188+O188+P188+Q188</f>
        <v>10135.8540002915</v>
      </c>
      <c r="AA188" s="14" t="n">
        <f aca="false">MIN(R188:X188)</f>
        <v>2117.93655235879</v>
      </c>
    </row>
    <row r="189" customFormat="false" ht="15" hidden="false" customHeight="false" outlineLevel="0" collapsed="false">
      <c r="K189" s="2" t="n">
        <v>184</v>
      </c>
      <c r="L189" s="14" t="n">
        <f aca="true">$B$16+NORMINV(RAND(),0,SQRT($B$13*($B$7+$B$8^2))*$B$9*(1-$B$10))</f>
        <v>5062.0267815025</v>
      </c>
      <c r="M189" s="14" t="n">
        <f aca="true">$B$16+NORMINV(RAND(),0,SQRT($B$13*($B$7+$B$8^2))*$B$9*(1-$B$10))</f>
        <v>4079.33622272245</v>
      </c>
      <c r="N189" s="14" t="n">
        <f aca="true">$B$16+NORMINV(RAND(),0,SQRT($B$13*($B$7+$B$8^2))*$B$9*(1-$B$10))</f>
        <v>3409.08293477394</v>
      </c>
      <c r="O189" s="14" t="n">
        <f aca="true">$B$16+NORMINV(RAND(),0,SQRT($B$13*($B$7+$B$8^2))*$B$9*(1-$B$10))</f>
        <v>4020.19934717502</v>
      </c>
      <c r="P189" s="14" t="n">
        <f aca="true">$B$16+NORMINV(RAND(),0,SQRT($B$13*($B$7+$B$8^2))*$B$9*(1-$B$10))</f>
        <v>4121.15786012307</v>
      </c>
      <c r="Q189" s="14" t="n">
        <f aca="true">$B$16+NORMINV(RAND(),0,SQRT($B$13*($B$7+$B$8^2))*$B$9*(1-$B$10))</f>
        <v>4170.1355453761</v>
      </c>
      <c r="R189" s="14" t="n">
        <f aca="false">$B$4-13*($B$5+$B$6)/30-IF($B$11&lt;=13,$B$12,0)+0</f>
        <v>8876.66666666667</v>
      </c>
      <c r="S189" s="14" t="n">
        <f aca="false">$B$4-27*($B$5+$B$6)/30-IF($B$11&lt;=27,$B$12,0)+L189</f>
        <v>11652.0267815025</v>
      </c>
      <c r="T189" s="14" t="n">
        <f aca="false">$B$4-41*($B$5+$B$6)/30-IF($B$11&lt;=41,$B$12,0)+L189+M189</f>
        <v>2259.89633755828</v>
      </c>
      <c r="U189" s="14" t="n">
        <f aca="false">$B$4-55*($B$5+$B$6)/30-IF($B$11&lt;=55,$B$12,0)+L189+M189+N189</f>
        <v>3382.31260566555</v>
      </c>
      <c r="V189" s="14" t="n">
        <f aca="false">$B$4-69*($B$5+$B$6)/30-IF($B$11&lt;=69,$B$12,0)+L189+M189+N189+O189</f>
        <v>5115.8452861739</v>
      </c>
      <c r="W189" s="14" t="n">
        <f aca="false">$B$4-83*($B$5+$B$6)/30-IF($B$11&lt;=83,$B$12,0)+L189+M189+N189+O189+P189</f>
        <v>6950.33647963031</v>
      </c>
      <c r="X189" s="14" t="n">
        <f aca="false">$B$4-90*($B$5+$B$6)/30-IF($B$11&lt;=90,$B$12,0)+L189+M189+N189+O189+P189+Q189</f>
        <v>9977.13869167307</v>
      </c>
      <c r="AA189" s="14" t="n">
        <f aca="false">MIN(R189:X189)</f>
        <v>2259.89633755828</v>
      </c>
    </row>
    <row r="190" customFormat="false" ht="15" hidden="false" customHeight="false" outlineLevel="0" collapsed="false">
      <c r="K190" s="2" t="n">
        <v>185</v>
      </c>
      <c r="L190" s="14" t="n">
        <f aca="true">$B$16+NORMINV(RAND(),0,SQRT($B$13*($B$7+$B$8^2))*$B$9*(1-$B$10))</f>
        <v>3114.82718583238</v>
      </c>
      <c r="M190" s="14" t="n">
        <f aca="true">$B$16+NORMINV(RAND(),0,SQRT($B$13*($B$7+$B$8^2))*$B$9*(1-$B$10))</f>
        <v>4423.27120464724</v>
      </c>
      <c r="N190" s="14" t="n">
        <f aca="true">$B$16+NORMINV(RAND(),0,SQRT($B$13*($B$7+$B$8^2))*$B$9*(1-$B$10))</f>
        <v>3771.77876046633</v>
      </c>
      <c r="O190" s="14" t="n">
        <f aca="true">$B$16+NORMINV(RAND(),0,SQRT($B$13*($B$7+$B$8^2))*$B$9*(1-$B$10))</f>
        <v>4101.97869816904</v>
      </c>
      <c r="P190" s="14" t="n">
        <f aca="true">$B$16+NORMINV(RAND(),0,SQRT($B$13*($B$7+$B$8^2))*$B$9*(1-$B$10))</f>
        <v>4434.93820205917</v>
      </c>
      <c r="Q190" s="14" t="n">
        <f aca="true">$B$16+NORMINV(RAND(),0,SQRT($B$13*($B$7+$B$8^2))*$B$9*(1-$B$10))</f>
        <v>4749.49190026463</v>
      </c>
      <c r="R190" s="14" t="n">
        <f aca="false">$B$4-13*($B$5+$B$6)/30-IF($B$11&lt;=13,$B$12,0)+0</f>
        <v>8876.66666666667</v>
      </c>
      <c r="S190" s="14" t="n">
        <f aca="false">$B$4-27*($B$5+$B$6)/30-IF($B$11&lt;=27,$B$12,0)+L190</f>
        <v>9704.82718583238</v>
      </c>
      <c r="T190" s="14" t="n">
        <f aca="false">$B$4-41*($B$5+$B$6)/30-IF($B$11&lt;=41,$B$12,0)+L190+M190</f>
        <v>656.631723812947</v>
      </c>
      <c r="U190" s="14" t="n">
        <f aca="false">$B$4-55*($B$5+$B$6)/30-IF($B$11&lt;=55,$B$12,0)+L190+M190+N190</f>
        <v>2141.74381761261</v>
      </c>
      <c r="V190" s="14" t="n">
        <f aca="false">$B$4-69*($B$5+$B$6)/30-IF($B$11&lt;=69,$B$12,0)+L190+M190+N190+O190</f>
        <v>3957.05584911498</v>
      </c>
      <c r="W190" s="14" t="n">
        <f aca="false">$B$4-83*($B$5+$B$6)/30-IF($B$11&lt;=83,$B$12,0)+L190+M190+N190+O190+P190</f>
        <v>6105.32738450749</v>
      </c>
      <c r="X190" s="14" t="n">
        <f aca="false">$B$4-90*($B$5+$B$6)/30-IF($B$11&lt;=90,$B$12,0)+L190+M190+N190+O190+P190+Q190</f>
        <v>9711.48595143879</v>
      </c>
      <c r="AA190" s="14" t="n">
        <f aca="false">MIN(R190:X190)</f>
        <v>656.631723812947</v>
      </c>
    </row>
    <row r="191" customFormat="false" ht="15" hidden="false" customHeight="false" outlineLevel="0" collapsed="false">
      <c r="K191" s="2" t="n">
        <v>186</v>
      </c>
      <c r="L191" s="14" t="n">
        <f aca="true">$B$16+NORMINV(RAND(),0,SQRT($B$13*($B$7+$B$8^2))*$B$9*(1-$B$10))</f>
        <v>4213.26472329229</v>
      </c>
      <c r="M191" s="14" t="n">
        <f aca="true">$B$16+NORMINV(RAND(),0,SQRT($B$13*($B$7+$B$8^2))*$B$9*(1-$B$10))</f>
        <v>4015.40123647299</v>
      </c>
      <c r="N191" s="14" t="n">
        <f aca="true">$B$16+NORMINV(RAND(),0,SQRT($B$13*($B$7+$B$8^2))*$B$9*(1-$B$10))</f>
        <v>4023.09319316007</v>
      </c>
      <c r="O191" s="14" t="n">
        <f aca="true">$B$16+NORMINV(RAND(),0,SQRT($B$13*($B$7+$B$8^2))*$B$9*(1-$B$10))</f>
        <v>4573.70112734364</v>
      </c>
      <c r="P191" s="14" t="n">
        <f aca="true">$B$16+NORMINV(RAND(),0,SQRT($B$13*($B$7+$B$8^2))*$B$9*(1-$B$10))</f>
        <v>4201.22071990724</v>
      </c>
      <c r="Q191" s="14" t="n">
        <f aca="true">$B$16+NORMINV(RAND(),0,SQRT($B$13*($B$7+$B$8^2))*$B$9*(1-$B$10))</f>
        <v>3955.570650532</v>
      </c>
      <c r="R191" s="14" t="n">
        <f aca="false">$B$4-13*($B$5+$B$6)/30-IF($B$11&lt;=13,$B$12,0)+0</f>
        <v>8876.66666666667</v>
      </c>
      <c r="S191" s="14" t="n">
        <f aca="false">$B$4-27*($B$5+$B$6)/30-IF($B$11&lt;=27,$B$12,0)+L191</f>
        <v>10803.2647232923</v>
      </c>
      <c r="T191" s="14" t="n">
        <f aca="false">$B$4-41*($B$5+$B$6)/30-IF($B$11&lt;=41,$B$12,0)+L191+M191</f>
        <v>1347.19929309862</v>
      </c>
      <c r="U191" s="14" t="n">
        <f aca="false">$B$4-55*($B$5+$B$6)/30-IF($B$11&lt;=55,$B$12,0)+L191+M191+N191</f>
        <v>3083.62581959202</v>
      </c>
      <c r="V191" s="14" t="n">
        <f aca="false">$B$4-69*($B$5+$B$6)/30-IF($B$11&lt;=69,$B$12,0)+L191+M191+N191+O191</f>
        <v>5370.660280269</v>
      </c>
      <c r="W191" s="14" t="n">
        <f aca="false">$B$4-83*($B$5+$B$6)/30-IF($B$11&lt;=83,$B$12,0)+L191+M191+N191+O191+P191</f>
        <v>7285.21433350957</v>
      </c>
      <c r="X191" s="14" t="n">
        <f aca="false">$B$4-90*($B$5+$B$6)/30-IF($B$11&lt;=90,$B$12,0)+L191+M191+N191+O191+P191+Q191</f>
        <v>10097.4516507082</v>
      </c>
      <c r="AA191" s="14" t="n">
        <f aca="false">MIN(R191:X191)</f>
        <v>1347.19929309862</v>
      </c>
    </row>
    <row r="192" customFormat="false" ht="15" hidden="false" customHeight="false" outlineLevel="0" collapsed="false">
      <c r="K192" s="2" t="n">
        <v>187</v>
      </c>
      <c r="L192" s="14" t="n">
        <f aca="true">$B$16+NORMINV(RAND(),0,SQRT($B$13*($B$7+$B$8^2))*$B$9*(1-$B$10))</f>
        <v>3975.0097664152</v>
      </c>
      <c r="M192" s="14" t="n">
        <f aca="true">$B$16+NORMINV(RAND(),0,SQRT($B$13*($B$7+$B$8^2))*$B$9*(1-$B$10))</f>
        <v>4248.95385847389</v>
      </c>
      <c r="N192" s="14" t="n">
        <f aca="true">$B$16+NORMINV(RAND(),0,SQRT($B$13*($B$7+$B$8^2))*$B$9*(1-$B$10))</f>
        <v>4333.04843895292</v>
      </c>
      <c r="O192" s="14" t="n">
        <f aca="true">$B$16+NORMINV(RAND(),0,SQRT($B$13*($B$7+$B$8^2))*$B$9*(1-$B$10))</f>
        <v>4006.95204691708</v>
      </c>
      <c r="P192" s="14" t="n">
        <f aca="true">$B$16+NORMINV(RAND(),0,SQRT($B$13*($B$7+$B$8^2))*$B$9*(1-$B$10))</f>
        <v>3973.78435349605</v>
      </c>
      <c r="Q192" s="14" t="n">
        <f aca="true">$B$16+NORMINV(RAND(),0,SQRT($B$13*($B$7+$B$8^2))*$B$9*(1-$B$10))</f>
        <v>4109.67514501257</v>
      </c>
      <c r="R192" s="14" t="n">
        <f aca="false">$B$4-13*($B$5+$B$6)/30-IF($B$11&lt;=13,$B$12,0)+0</f>
        <v>8876.66666666667</v>
      </c>
      <c r="S192" s="14" t="n">
        <f aca="false">$B$4-27*($B$5+$B$6)/30-IF($B$11&lt;=27,$B$12,0)+L192</f>
        <v>10565.0097664152</v>
      </c>
      <c r="T192" s="14" t="n">
        <f aca="false">$B$4-41*($B$5+$B$6)/30-IF($B$11&lt;=41,$B$12,0)+L192+M192</f>
        <v>1342.49695822242</v>
      </c>
      <c r="U192" s="14" t="n">
        <f aca="false">$B$4-55*($B$5+$B$6)/30-IF($B$11&lt;=55,$B$12,0)+L192+M192+N192</f>
        <v>3388.87873050867</v>
      </c>
      <c r="V192" s="14" t="n">
        <f aca="false">$B$4-69*($B$5+$B$6)/30-IF($B$11&lt;=69,$B$12,0)+L192+M192+N192+O192</f>
        <v>5109.16411075908</v>
      </c>
      <c r="W192" s="14" t="n">
        <f aca="false">$B$4-83*($B$5+$B$6)/30-IF($B$11&lt;=83,$B$12,0)+L192+M192+N192+O192+P192</f>
        <v>6796.28179758846</v>
      </c>
      <c r="X192" s="14" t="n">
        <f aca="false">$B$4-90*($B$5+$B$6)/30-IF($B$11&lt;=90,$B$12,0)+L192+M192+N192+O192+P192+Q192</f>
        <v>9762.6236092677</v>
      </c>
      <c r="AA192" s="14" t="n">
        <f aca="false">MIN(R192:X192)</f>
        <v>1342.49695822242</v>
      </c>
    </row>
    <row r="193" customFormat="false" ht="15" hidden="false" customHeight="false" outlineLevel="0" collapsed="false">
      <c r="K193" s="2" t="n">
        <v>188</v>
      </c>
      <c r="L193" s="14" t="n">
        <f aca="true">$B$16+NORMINV(RAND(),0,SQRT($B$13*($B$7+$B$8^2))*$B$9*(1-$B$10))</f>
        <v>4196.73466069713</v>
      </c>
      <c r="M193" s="14" t="n">
        <f aca="true">$B$16+NORMINV(RAND(),0,SQRT($B$13*($B$7+$B$8^2))*$B$9*(1-$B$10))</f>
        <v>4428.02122770921</v>
      </c>
      <c r="N193" s="14" t="n">
        <f aca="true">$B$16+NORMINV(RAND(),0,SQRT($B$13*($B$7+$B$8^2))*$B$9*(1-$B$10))</f>
        <v>3866.22306413676</v>
      </c>
      <c r="O193" s="14" t="n">
        <f aca="true">$B$16+NORMINV(RAND(),0,SQRT($B$13*($B$7+$B$8^2))*$B$9*(1-$B$10))</f>
        <v>3276.86926152255</v>
      </c>
      <c r="P193" s="14" t="n">
        <f aca="true">$B$16+NORMINV(RAND(),0,SQRT($B$13*($B$7+$B$8^2))*$B$9*(1-$B$10))</f>
        <v>3764.77547311915</v>
      </c>
      <c r="Q193" s="14" t="n">
        <f aca="true">$B$16+NORMINV(RAND(),0,SQRT($B$13*($B$7+$B$8^2))*$B$9*(1-$B$10))</f>
        <v>3904.59466500219</v>
      </c>
      <c r="R193" s="14" t="n">
        <f aca="false">$B$4-13*($B$5+$B$6)/30-IF($B$11&lt;=13,$B$12,0)+0</f>
        <v>8876.66666666667</v>
      </c>
      <c r="S193" s="14" t="n">
        <f aca="false">$B$4-27*($B$5+$B$6)/30-IF($B$11&lt;=27,$B$12,0)+L193</f>
        <v>10786.7346606971</v>
      </c>
      <c r="T193" s="14" t="n">
        <f aca="false">$B$4-41*($B$5+$B$6)/30-IF($B$11&lt;=41,$B$12,0)+L193+M193</f>
        <v>1743.28922173967</v>
      </c>
      <c r="U193" s="14" t="n">
        <f aca="false">$B$4-55*($B$5+$B$6)/30-IF($B$11&lt;=55,$B$12,0)+L193+M193+N193</f>
        <v>3322.84561920977</v>
      </c>
      <c r="V193" s="14" t="n">
        <f aca="false">$B$4-69*($B$5+$B$6)/30-IF($B$11&lt;=69,$B$12,0)+L193+M193+N193+O193</f>
        <v>4313.04821406565</v>
      </c>
      <c r="W193" s="14" t="n">
        <f aca="false">$B$4-83*($B$5+$B$6)/30-IF($B$11&lt;=83,$B$12,0)+L193+M193+N193+O193+P193</f>
        <v>5791.15702051814</v>
      </c>
      <c r="X193" s="14" t="n">
        <f aca="false">$B$4-90*($B$5+$B$6)/30-IF($B$11&lt;=90,$B$12,0)+L193+M193+N193+O193+P193+Q193</f>
        <v>8552.41835218699</v>
      </c>
      <c r="AA193" s="14" t="n">
        <f aca="false">MIN(R193:X193)</f>
        <v>1743.28922173967</v>
      </c>
    </row>
    <row r="194" customFormat="false" ht="15" hidden="false" customHeight="false" outlineLevel="0" collapsed="false">
      <c r="K194" s="2" t="n">
        <v>189</v>
      </c>
      <c r="L194" s="14" t="n">
        <f aca="true">$B$16+NORMINV(RAND(),0,SQRT($B$13*($B$7+$B$8^2))*$B$9*(1-$B$10))</f>
        <v>3817.70830683424</v>
      </c>
      <c r="M194" s="14" t="n">
        <f aca="true">$B$16+NORMINV(RAND(),0,SQRT($B$13*($B$7+$B$8^2))*$B$9*(1-$B$10))</f>
        <v>3804.02988630479</v>
      </c>
      <c r="N194" s="14" t="n">
        <f aca="true">$B$16+NORMINV(RAND(),0,SQRT($B$13*($B$7+$B$8^2))*$B$9*(1-$B$10))</f>
        <v>4175.16841437784</v>
      </c>
      <c r="O194" s="14" t="n">
        <f aca="true">$B$16+NORMINV(RAND(),0,SQRT($B$13*($B$7+$B$8^2))*$B$9*(1-$B$10))</f>
        <v>3972.51398353697</v>
      </c>
      <c r="P194" s="14" t="n">
        <f aca="true">$B$16+NORMINV(RAND(),0,SQRT($B$13*($B$7+$B$8^2))*$B$9*(1-$B$10))</f>
        <v>4035.36531123919</v>
      </c>
      <c r="Q194" s="14" t="n">
        <f aca="true">$B$16+NORMINV(RAND(),0,SQRT($B$13*($B$7+$B$8^2))*$B$9*(1-$B$10))</f>
        <v>3865.18667969159</v>
      </c>
      <c r="R194" s="14" t="n">
        <f aca="false">$B$4-13*($B$5+$B$6)/30-IF($B$11&lt;=13,$B$12,0)+0</f>
        <v>8876.66666666667</v>
      </c>
      <c r="S194" s="14" t="n">
        <f aca="false">$B$4-27*($B$5+$B$6)/30-IF($B$11&lt;=27,$B$12,0)+L194</f>
        <v>10407.7083068342</v>
      </c>
      <c r="T194" s="14" t="n">
        <f aca="false">$B$4-41*($B$5+$B$6)/30-IF($B$11&lt;=41,$B$12,0)+L194+M194</f>
        <v>740.271526472362</v>
      </c>
      <c r="U194" s="14" t="n">
        <f aca="false">$B$4-55*($B$5+$B$6)/30-IF($B$11&lt;=55,$B$12,0)+L194+M194+N194</f>
        <v>2628.77327418353</v>
      </c>
      <c r="V194" s="14" t="n">
        <f aca="false">$B$4-69*($B$5+$B$6)/30-IF($B$11&lt;=69,$B$12,0)+L194+M194+N194+O194</f>
        <v>4314.62059105384</v>
      </c>
      <c r="W194" s="14" t="n">
        <f aca="false">$B$4-83*($B$5+$B$6)/30-IF($B$11&lt;=83,$B$12,0)+L194+M194+N194+O194+P194</f>
        <v>6063.31923562636</v>
      </c>
      <c r="X194" s="14" t="n">
        <f aca="false">$B$4-90*($B$5+$B$6)/30-IF($B$11&lt;=90,$B$12,0)+L194+M194+N194+O194+P194+Q194</f>
        <v>8785.17258198461</v>
      </c>
      <c r="AA194" s="14" t="n">
        <f aca="false">MIN(R194:X194)</f>
        <v>740.271526472362</v>
      </c>
    </row>
    <row r="195" customFormat="false" ht="15" hidden="false" customHeight="false" outlineLevel="0" collapsed="false">
      <c r="K195" s="2" t="n">
        <v>190</v>
      </c>
      <c r="L195" s="14" t="n">
        <f aca="true">$B$16+NORMINV(RAND(),0,SQRT($B$13*($B$7+$B$8^2))*$B$9*(1-$B$10))</f>
        <v>3853.2208798239</v>
      </c>
      <c r="M195" s="14" t="n">
        <f aca="true">$B$16+NORMINV(RAND(),0,SQRT($B$13*($B$7+$B$8^2))*$B$9*(1-$B$10))</f>
        <v>4250.82955109541</v>
      </c>
      <c r="N195" s="14" t="n">
        <f aca="true">$B$16+NORMINV(RAND(),0,SQRT($B$13*($B$7+$B$8^2))*$B$9*(1-$B$10))</f>
        <v>4080.84786347403</v>
      </c>
      <c r="O195" s="14" t="n">
        <f aca="true">$B$16+NORMINV(RAND(),0,SQRT($B$13*($B$7+$B$8^2))*$B$9*(1-$B$10))</f>
        <v>3699.51772019296</v>
      </c>
      <c r="P195" s="14" t="n">
        <f aca="true">$B$16+NORMINV(RAND(),0,SQRT($B$13*($B$7+$B$8^2))*$B$9*(1-$B$10))</f>
        <v>3952.55048661379</v>
      </c>
      <c r="Q195" s="14" t="n">
        <f aca="true">$B$16+NORMINV(RAND(),0,SQRT($B$13*($B$7+$B$8^2))*$B$9*(1-$B$10))</f>
        <v>3568.95252661736</v>
      </c>
      <c r="R195" s="14" t="n">
        <f aca="false">$B$4-13*($B$5+$B$6)/30-IF($B$11&lt;=13,$B$12,0)+0</f>
        <v>8876.66666666667</v>
      </c>
      <c r="S195" s="14" t="n">
        <f aca="false">$B$4-27*($B$5+$B$6)/30-IF($B$11&lt;=27,$B$12,0)+L195</f>
        <v>10443.2208798239</v>
      </c>
      <c r="T195" s="14" t="n">
        <f aca="false">$B$4-41*($B$5+$B$6)/30-IF($B$11&lt;=41,$B$12,0)+L195+M195</f>
        <v>1222.58376425264</v>
      </c>
      <c r="U195" s="14" t="n">
        <f aca="false">$B$4-55*($B$5+$B$6)/30-IF($B$11&lt;=55,$B$12,0)+L195+M195+N195</f>
        <v>3016.76496106</v>
      </c>
      <c r="V195" s="14" t="n">
        <f aca="false">$B$4-69*($B$5+$B$6)/30-IF($B$11&lt;=69,$B$12,0)+L195+M195+N195+O195</f>
        <v>4429.6160145863</v>
      </c>
      <c r="W195" s="14" t="n">
        <f aca="false">$B$4-83*($B$5+$B$6)/30-IF($B$11&lt;=83,$B$12,0)+L195+M195+N195+O195+P195</f>
        <v>6095.49983453342</v>
      </c>
      <c r="X195" s="14" t="n">
        <f aca="false">$B$4-90*($B$5+$B$6)/30-IF($B$11&lt;=90,$B$12,0)+L195+M195+N195+O195+P195+Q195</f>
        <v>8521.11902781745</v>
      </c>
      <c r="AA195" s="14" t="n">
        <f aca="false">MIN(R195:X195)</f>
        <v>1222.58376425264</v>
      </c>
    </row>
    <row r="196" customFormat="false" ht="15" hidden="false" customHeight="false" outlineLevel="0" collapsed="false">
      <c r="K196" s="2" t="n">
        <v>191</v>
      </c>
      <c r="L196" s="14" t="n">
        <f aca="true">$B$16+NORMINV(RAND(),0,SQRT($B$13*($B$7+$B$8^2))*$B$9*(1-$B$10))</f>
        <v>2902.8849600987</v>
      </c>
      <c r="M196" s="14" t="n">
        <f aca="true">$B$16+NORMINV(RAND(),0,SQRT($B$13*($B$7+$B$8^2))*$B$9*(1-$B$10))</f>
        <v>3782.70771586843</v>
      </c>
      <c r="N196" s="14" t="n">
        <f aca="true">$B$16+NORMINV(RAND(),0,SQRT($B$13*($B$7+$B$8^2))*$B$9*(1-$B$10))</f>
        <v>3760.58353188989</v>
      </c>
      <c r="O196" s="14" t="n">
        <f aca="true">$B$16+NORMINV(RAND(),0,SQRT($B$13*($B$7+$B$8^2))*$B$9*(1-$B$10))</f>
        <v>4005.38702783034</v>
      </c>
      <c r="P196" s="14" t="n">
        <f aca="true">$B$16+NORMINV(RAND(),0,SQRT($B$13*($B$7+$B$8^2))*$B$9*(1-$B$10))</f>
        <v>3709.19840329757</v>
      </c>
      <c r="Q196" s="14" t="n">
        <f aca="true">$B$16+NORMINV(RAND(),0,SQRT($B$13*($B$7+$B$8^2))*$B$9*(1-$B$10))</f>
        <v>4213.67476029596</v>
      </c>
      <c r="R196" s="14" t="n">
        <f aca="false">$B$4-13*($B$5+$B$6)/30-IF($B$11&lt;=13,$B$12,0)+0</f>
        <v>8876.66666666667</v>
      </c>
      <c r="S196" s="14" t="n">
        <f aca="false">$B$4-27*($B$5+$B$6)/30-IF($B$11&lt;=27,$B$12,0)+L196</f>
        <v>9492.8849600987</v>
      </c>
      <c r="T196" s="14" t="n">
        <f aca="false">$B$4-41*($B$5+$B$6)/30-IF($B$11&lt;=41,$B$12,0)+L196+M196</f>
        <v>-195.873990699537</v>
      </c>
      <c r="U196" s="14" t="n">
        <f aca="false">$B$4-55*($B$5+$B$6)/30-IF($B$11&lt;=55,$B$12,0)+L196+M196+N196</f>
        <v>1278.04287452368</v>
      </c>
      <c r="V196" s="14" t="n">
        <f aca="false">$B$4-69*($B$5+$B$6)/30-IF($B$11&lt;=69,$B$12,0)+L196+M196+N196+O196</f>
        <v>2996.76323568736</v>
      </c>
      <c r="W196" s="14" t="n">
        <f aca="false">$B$4-83*($B$5+$B$6)/30-IF($B$11&lt;=83,$B$12,0)+L196+M196+N196+O196+P196</f>
        <v>4419.29497231827</v>
      </c>
      <c r="X196" s="14" t="n">
        <f aca="false">$B$4-90*($B$5+$B$6)/30-IF($B$11&lt;=90,$B$12,0)+L196+M196+N196+O196+P196+Q196</f>
        <v>7489.63639928089</v>
      </c>
      <c r="AA196" s="14" t="n">
        <f aca="false">MIN(R196:X196)</f>
        <v>-195.873990699537</v>
      </c>
    </row>
    <row r="197" customFormat="false" ht="15" hidden="false" customHeight="false" outlineLevel="0" collapsed="false">
      <c r="K197" s="2" t="n">
        <v>192</v>
      </c>
      <c r="L197" s="14" t="n">
        <f aca="true">$B$16+NORMINV(RAND(),0,SQRT($B$13*($B$7+$B$8^2))*$B$9*(1-$B$10))</f>
        <v>4535.85492349901</v>
      </c>
      <c r="M197" s="14" t="n">
        <f aca="true">$B$16+NORMINV(RAND(),0,SQRT($B$13*($B$7+$B$8^2))*$B$9*(1-$B$10))</f>
        <v>4223.92852420169</v>
      </c>
      <c r="N197" s="14" t="n">
        <f aca="true">$B$16+NORMINV(RAND(),0,SQRT($B$13*($B$7+$B$8^2))*$B$9*(1-$B$10))</f>
        <v>3696.35927515212</v>
      </c>
      <c r="O197" s="14" t="n">
        <f aca="true">$B$16+NORMINV(RAND(),0,SQRT($B$13*($B$7+$B$8^2))*$B$9*(1-$B$10))</f>
        <v>4047.62301179743</v>
      </c>
      <c r="P197" s="14" t="n">
        <f aca="true">$B$16+NORMINV(RAND(),0,SQRT($B$13*($B$7+$B$8^2))*$B$9*(1-$B$10))</f>
        <v>4174.97389312607</v>
      </c>
      <c r="Q197" s="14" t="n">
        <f aca="true">$B$16+NORMINV(RAND(),0,SQRT($B$13*($B$7+$B$8^2))*$B$9*(1-$B$10))</f>
        <v>4075.95075421276</v>
      </c>
      <c r="R197" s="14" t="n">
        <f aca="false">$B$4-13*($B$5+$B$6)/30-IF($B$11&lt;=13,$B$12,0)+0</f>
        <v>8876.66666666667</v>
      </c>
      <c r="S197" s="14" t="n">
        <f aca="false">$B$4-27*($B$5+$B$6)/30-IF($B$11&lt;=27,$B$12,0)+L197</f>
        <v>11125.854923499</v>
      </c>
      <c r="T197" s="14" t="n">
        <f aca="false">$B$4-41*($B$5+$B$6)/30-IF($B$11&lt;=41,$B$12,0)+L197+M197</f>
        <v>1878.31678103404</v>
      </c>
      <c r="U197" s="14" t="n">
        <f aca="false">$B$4-55*($B$5+$B$6)/30-IF($B$11&lt;=55,$B$12,0)+L197+M197+N197</f>
        <v>3288.00938951949</v>
      </c>
      <c r="V197" s="14" t="n">
        <f aca="false">$B$4-69*($B$5+$B$6)/30-IF($B$11&lt;=69,$B$12,0)+L197+M197+N197+O197</f>
        <v>5048.96573465025</v>
      </c>
      <c r="W197" s="14" t="n">
        <f aca="false">$B$4-83*($B$5+$B$6)/30-IF($B$11&lt;=83,$B$12,0)+L197+M197+N197+O197+P197</f>
        <v>6937.27296110966</v>
      </c>
      <c r="X197" s="14" t="n">
        <f aca="false">$B$4-90*($B$5+$B$6)/30-IF($B$11&lt;=90,$B$12,0)+L197+M197+N197+O197+P197+Q197</f>
        <v>9869.89038198909</v>
      </c>
      <c r="AA197" s="14" t="n">
        <f aca="false">MIN(R197:X197)</f>
        <v>1878.31678103404</v>
      </c>
    </row>
    <row r="198" customFormat="false" ht="15" hidden="false" customHeight="false" outlineLevel="0" collapsed="false">
      <c r="K198" s="2" t="n">
        <v>193</v>
      </c>
      <c r="L198" s="14" t="n">
        <f aca="true">$B$16+NORMINV(RAND(),0,SQRT($B$13*($B$7+$B$8^2))*$B$9*(1-$B$10))</f>
        <v>3985.57522030057</v>
      </c>
      <c r="M198" s="14" t="n">
        <f aca="true">$B$16+NORMINV(RAND(),0,SQRT($B$13*($B$7+$B$8^2))*$B$9*(1-$B$10))</f>
        <v>4393.57209488591</v>
      </c>
      <c r="N198" s="14" t="n">
        <f aca="true">$B$16+NORMINV(RAND(),0,SQRT($B$13*($B$7+$B$8^2))*$B$9*(1-$B$10))</f>
        <v>4051.33073281326</v>
      </c>
      <c r="O198" s="14" t="n">
        <f aca="true">$B$16+NORMINV(RAND(),0,SQRT($B$13*($B$7+$B$8^2))*$B$9*(1-$B$10))</f>
        <v>4529.51696296415</v>
      </c>
      <c r="P198" s="14" t="n">
        <f aca="true">$B$16+NORMINV(RAND(),0,SQRT($B$13*($B$7+$B$8^2))*$B$9*(1-$B$10))</f>
        <v>4088.40369339267</v>
      </c>
      <c r="Q198" s="14" t="n">
        <f aca="true">$B$16+NORMINV(RAND(),0,SQRT($B$13*($B$7+$B$8^2))*$B$9*(1-$B$10))</f>
        <v>3874.78686947193</v>
      </c>
      <c r="R198" s="14" t="n">
        <f aca="false">$B$4-13*($B$5+$B$6)/30-IF($B$11&lt;=13,$B$12,0)+0</f>
        <v>8876.66666666667</v>
      </c>
      <c r="S198" s="14" t="n">
        <f aca="false">$B$4-27*($B$5+$B$6)/30-IF($B$11&lt;=27,$B$12,0)+L198</f>
        <v>10575.5752203006</v>
      </c>
      <c r="T198" s="14" t="n">
        <f aca="false">$B$4-41*($B$5+$B$6)/30-IF($B$11&lt;=41,$B$12,0)+L198+M198</f>
        <v>1497.68064851982</v>
      </c>
      <c r="U198" s="14" t="n">
        <f aca="false">$B$4-55*($B$5+$B$6)/30-IF($B$11&lt;=55,$B$12,0)+L198+M198+N198</f>
        <v>3262.34471466641</v>
      </c>
      <c r="V198" s="14" t="n">
        <f aca="false">$B$4-69*($B$5+$B$6)/30-IF($B$11&lt;=69,$B$12,0)+L198+M198+N198+O198</f>
        <v>5505.19501096389</v>
      </c>
      <c r="W198" s="14" t="n">
        <f aca="false">$B$4-83*($B$5+$B$6)/30-IF($B$11&lt;=83,$B$12,0)+L198+M198+N198+O198+P198</f>
        <v>7306.9320376899</v>
      </c>
      <c r="X198" s="14" t="n">
        <f aca="false">$B$4-90*($B$5+$B$6)/30-IF($B$11&lt;=90,$B$12,0)+L198+M198+N198+O198+P198+Q198</f>
        <v>10038.3855738285</v>
      </c>
      <c r="AA198" s="14" t="n">
        <f aca="false">MIN(R198:X198)</f>
        <v>1497.68064851982</v>
      </c>
    </row>
    <row r="199" customFormat="false" ht="15" hidden="false" customHeight="false" outlineLevel="0" collapsed="false">
      <c r="K199" s="2" t="n">
        <v>194</v>
      </c>
      <c r="L199" s="14" t="n">
        <f aca="true">$B$16+NORMINV(RAND(),0,SQRT($B$13*($B$7+$B$8^2))*$B$9*(1-$B$10))</f>
        <v>3829.80227988545</v>
      </c>
      <c r="M199" s="14" t="n">
        <f aca="true">$B$16+NORMINV(RAND(),0,SQRT($B$13*($B$7+$B$8^2))*$B$9*(1-$B$10))</f>
        <v>3628.52430684478</v>
      </c>
      <c r="N199" s="14" t="n">
        <f aca="true">$B$16+NORMINV(RAND(),0,SQRT($B$13*($B$7+$B$8^2))*$B$9*(1-$B$10))</f>
        <v>3404.96110498843</v>
      </c>
      <c r="O199" s="14" t="n">
        <f aca="true">$B$16+NORMINV(RAND(),0,SQRT($B$13*($B$7+$B$8^2))*$B$9*(1-$B$10))</f>
        <v>3835.04006583764</v>
      </c>
      <c r="P199" s="14" t="n">
        <f aca="true">$B$16+NORMINV(RAND(),0,SQRT($B$13*($B$7+$B$8^2))*$B$9*(1-$B$10))</f>
        <v>4014.58559963653</v>
      </c>
      <c r="Q199" s="14" t="n">
        <f aca="true">$B$16+NORMINV(RAND(),0,SQRT($B$13*($B$7+$B$8^2))*$B$9*(1-$B$10))</f>
        <v>4086.01863301856</v>
      </c>
      <c r="R199" s="14" t="n">
        <f aca="false">$B$4-13*($B$5+$B$6)/30-IF($B$11&lt;=13,$B$12,0)+0</f>
        <v>8876.66666666667</v>
      </c>
      <c r="S199" s="14" t="n">
        <f aca="false">$B$4-27*($B$5+$B$6)/30-IF($B$11&lt;=27,$B$12,0)+L199</f>
        <v>10419.8022798855</v>
      </c>
      <c r="T199" s="14" t="n">
        <f aca="false">$B$4-41*($B$5+$B$6)/30-IF($B$11&lt;=41,$B$12,0)+L199+M199</f>
        <v>576.859920063561</v>
      </c>
      <c r="U199" s="14" t="n">
        <f aca="false">$B$4-55*($B$5+$B$6)/30-IF($B$11&lt;=55,$B$12,0)+L199+M199+N199</f>
        <v>1695.15435838532</v>
      </c>
      <c r="V199" s="14" t="n">
        <f aca="false">$B$4-69*($B$5+$B$6)/30-IF($B$11&lt;=69,$B$12,0)+L199+M199+N199+O199</f>
        <v>3243.52775755629</v>
      </c>
      <c r="W199" s="14" t="n">
        <f aca="false">$B$4-83*($B$5+$B$6)/30-IF($B$11&lt;=83,$B$12,0)+L199+M199+N199+O199+P199</f>
        <v>4971.44669052615</v>
      </c>
      <c r="X199" s="14" t="n">
        <f aca="false">$B$4-90*($B$5+$B$6)/30-IF($B$11&lt;=90,$B$12,0)+L199+M199+N199+O199+P199+Q199</f>
        <v>7914.13199021138</v>
      </c>
      <c r="AA199" s="14" t="n">
        <f aca="false">MIN(R199:X199)</f>
        <v>576.859920063561</v>
      </c>
    </row>
    <row r="200" customFormat="false" ht="15" hidden="false" customHeight="false" outlineLevel="0" collapsed="false">
      <c r="K200" s="2" t="n">
        <v>195</v>
      </c>
      <c r="L200" s="14" t="n">
        <f aca="true">$B$16+NORMINV(RAND(),0,SQRT($B$13*($B$7+$B$8^2))*$B$9*(1-$B$10))</f>
        <v>3939.94595171387</v>
      </c>
      <c r="M200" s="14" t="n">
        <f aca="true">$B$16+NORMINV(RAND(),0,SQRT($B$13*($B$7+$B$8^2))*$B$9*(1-$B$10))</f>
        <v>3582.27607823503</v>
      </c>
      <c r="N200" s="14" t="n">
        <f aca="true">$B$16+NORMINV(RAND(),0,SQRT($B$13*($B$7+$B$8^2))*$B$9*(1-$B$10))</f>
        <v>3971.44424778865</v>
      </c>
      <c r="O200" s="14" t="n">
        <f aca="true">$B$16+NORMINV(RAND(),0,SQRT($B$13*($B$7+$B$8^2))*$B$9*(1-$B$10))</f>
        <v>4064.45026006543</v>
      </c>
      <c r="P200" s="14" t="n">
        <f aca="true">$B$16+NORMINV(RAND(),0,SQRT($B$13*($B$7+$B$8^2))*$B$9*(1-$B$10))</f>
        <v>4210.51940085797</v>
      </c>
      <c r="Q200" s="14" t="n">
        <f aca="true">$B$16+NORMINV(RAND(),0,SQRT($B$13*($B$7+$B$8^2))*$B$9*(1-$B$10))</f>
        <v>3885.99369000488</v>
      </c>
      <c r="R200" s="14" t="n">
        <f aca="false">$B$4-13*($B$5+$B$6)/30-IF($B$11&lt;=13,$B$12,0)+0</f>
        <v>8876.66666666667</v>
      </c>
      <c r="S200" s="14" t="n">
        <f aca="false">$B$4-27*($B$5+$B$6)/30-IF($B$11&lt;=27,$B$12,0)+L200</f>
        <v>10529.9459517139</v>
      </c>
      <c r="T200" s="14" t="n">
        <f aca="false">$B$4-41*($B$5+$B$6)/30-IF($B$11&lt;=41,$B$12,0)+L200+M200</f>
        <v>640.755363282235</v>
      </c>
      <c r="U200" s="14" t="n">
        <f aca="false">$B$4-55*($B$5+$B$6)/30-IF($B$11&lt;=55,$B$12,0)+L200+M200+N200</f>
        <v>2325.53294440422</v>
      </c>
      <c r="V200" s="14" t="n">
        <f aca="false">$B$4-69*($B$5+$B$6)/30-IF($B$11&lt;=69,$B$12,0)+L200+M200+N200+O200</f>
        <v>4103.31653780299</v>
      </c>
      <c r="W200" s="14" t="n">
        <f aca="false">$B$4-83*($B$5+$B$6)/30-IF($B$11&lt;=83,$B$12,0)+L200+M200+N200+O200+P200</f>
        <v>6027.16927199429</v>
      </c>
      <c r="X200" s="14" t="n">
        <f aca="false">$B$4-90*($B$5+$B$6)/30-IF($B$11&lt;=90,$B$12,0)+L200+M200+N200+O200+P200+Q200</f>
        <v>8769.82962866583</v>
      </c>
      <c r="AA200" s="14" t="n">
        <f aca="false">MIN(R200:X200)</f>
        <v>640.755363282235</v>
      </c>
    </row>
    <row r="201" customFormat="false" ht="15" hidden="false" customHeight="false" outlineLevel="0" collapsed="false">
      <c r="K201" s="2" t="n">
        <v>196</v>
      </c>
      <c r="L201" s="14" t="n">
        <f aca="true">$B$16+NORMINV(RAND(),0,SQRT($B$13*($B$7+$B$8^2))*$B$9*(1-$B$10))</f>
        <v>3937.86123868564</v>
      </c>
      <c r="M201" s="14" t="n">
        <f aca="true">$B$16+NORMINV(RAND(),0,SQRT($B$13*($B$7+$B$8^2))*$B$9*(1-$B$10))</f>
        <v>4261.54399309879</v>
      </c>
      <c r="N201" s="14" t="n">
        <f aca="true">$B$16+NORMINV(RAND(),0,SQRT($B$13*($B$7+$B$8^2))*$B$9*(1-$B$10))</f>
        <v>4651.74738336677</v>
      </c>
      <c r="O201" s="14" t="n">
        <f aca="true">$B$16+NORMINV(RAND(),0,SQRT($B$13*($B$7+$B$8^2))*$B$9*(1-$B$10))</f>
        <v>3396.47914464338</v>
      </c>
      <c r="P201" s="14" t="n">
        <f aca="true">$B$16+NORMINV(RAND(),0,SQRT($B$13*($B$7+$B$8^2))*$B$9*(1-$B$10))</f>
        <v>4173.67732555454</v>
      </c>
      <c r="Q201" s="14" t="n">
        <f aca="true">$B$16+NORMINV(RAND(),0,SQRT($B$13*($B$7+$B$8^2))*$B$9*(1-$B$10))</f>
        <v>3651.34852024377</v>
      </c>
      <c r="R201" s="14" t="n">
        <f aca="false">$B$4-13*($B$5+$B$6)/30-IF($B$11&lt;=13,$B$12,0)+0</f>
        <v>8876.66666666667</v>
      </c>
      <c r="S201" s="14" t="n">
        <f aca="false">$B$4-27*($B$5+$B$6)/30-IF($B$11&lt;=27,$B$12,0)+L201</f>
        <v>10527.8612386856</v>
      </c>
      <c r="T201" s="14" t="n">
        <f aca="false">$B$4-41*($B$5+$B$6)/30-IF($B$11&lt;=41,$B$12,0)+L201+M201</f>
        <v>1317.93856511777</v>
      </c>
      <c r="U201" s="14" t="n">
        <f aca="false">$B$4-55*($B$5+$B$6)/30-IF($B$11&lt;=55,$B$12,0)+L201+M201+N201</f>
        <v>3683.01928181786</v>
      </c>
      <c r="V201" s="14" t="n">
        <f aca="false">$B$4-69*($B$5+$B$6)/30-IF($B$11&lt;=69,$B$12,0)+L201+M201+N201+O201</f>
        <v>4792.83175979457</v>
      </c>
      <c r="W201" s="14" t="n">
        <f aca="false">$B$4-83*($B$5+$B$6)/30-IF($B$11&lt;=83,$B$12,0)+L201+M201+N201+O201+P201</f>
        <v>6679.84241868245</v>
      </c>
      <c r="X201" s="14" t="n">
        <f aca="false">$B$4-90*($B$5+$B$6)/30-IF($B$11&lt;=90,$B$12,0)+L201+M201+N201+O201+P201+Q201</f>
        <v>9187.85760559289</v>
      </c>
      <c r="AA201" s="14" t="n">
        <f aca="false">MIN(R201:X201)</f>
        <v>1317.93856511777</v>
      </c>
    </row>
    <row r="202" customFormat="false" ht="15" hidden="false" customHeight="false" outlineLevel="0" collapsed="false">
      <c r="K202" s="2" t="n">
        <v>197</v>
      </c>
      <c r="L202" s="14" t="n">
        <f aca="true">$B$16+NORMINV(RAND(),0,SQRT($B$13*($B$7+$B$8^2))*$B$9*(1-$B$10))</f>
        <v>4218.2610023687</v>
      </c>
      <c r="M202" s="14" t="n">
        <f aca="true">$B$16+NORMINV(RAND(),0,SQRT($B$13*($B$7+$B$8^2))*$B$9*(1-$B$10))</f>
        <v>3765.03898019307</v>
      </c>
      <c r="N202" s="14" t="n">
        <f aca="true">$B$16+NORMINV(RAND(),0,SQRT($B$13*($B$7+$B$8^2))*$B$9*(1-$B$10))</f>
        <v>3615.80638137615</v>
      </c>
      <c r="O202" s="14" t="n">
        <f aca="true">$B$16+NORMINV(RAND(),0,SQRT($B$13*($B$7+$B$8^2))*$B$9*(1-$B$10))</f>
        <v>4055.30226489513</v>
      </c>
      <c r="P202" s="14" t="n">
        <f aca="true">$B$16+NORMINV(RAND(),0,SQRT($B$13*($B$7+$B$8^2))*$B$9*(1-$B$10))</f>
        <v>4251.07483473417</v>
      </c>
      <c r="Q202" s="14" t="n">
        <f aca="true">$B$16+NORMINV(RAND(),0,SQRT($B$13*($B$7+$B$8^2))*$B$9*(1-$B$10))</f>
        <v>3653.60809241611</v>
      </c>
      <c r="R202" s="14" t="n">
        <f aca="false">$B$4-13*($B$5+$B$6)/30-IF($B$11&lt;=13,$B$12,0)+0</f>
        <v>8876.66666666667</v>
      </c>
      <c r="S202" s="14" t="n">
        <f aca="false">$B$4-27*($B$5+$B$6)/30-IF($B$11&lt;=27,$B$12,0)+L202</f>
        <v>10808.2610023687</v>
      </c>
      <c r="T202" s="14" t="n">
        <f aca="false">$B$4-41*($B$5+$B$6)/30-IF($B$11&lt;=41,$B$12,0)+L202+M202</f>
        <v>1101.8333158951</v>
      </c>
      <c r="U202" s="14" t="n">
        <f aca="false">$B$4-55*($B$5+$B$6)/30-IF($B$11&lt;=55,$B$12,0)+L202+M202+N202</f>
        <v>2430.97303060458</v>
      </c>
      <c r="V202" s="14" t="n">
        <f aca="false">$B$4-69*($B$5+$B$6)/30-IF($B$11&lt;=69,$B$12,0)+L202+M202+N202+O202</f>
        <v>4199.60862883305</v>
      </c>
      <c r="W202" s="14" t="n">
        <f aca="false">$B$4-83*($B$5+$B$6)/30-IF($B$11&lt;=83,$B$12,0)+L202+M202+N202+O202+P202</f>
        <v>6164.01679690055</v>
      </c>
      <c r="X202" s="14" t="n">
        <f aca="false">$B$4-90*($B$5+$B$6)/30-IF($B$11&lt;=90,$B$12,0)+L202+M202+N202+O202+P202+Q202</f>
        <v>8674.29155598333</v>
      </c>
      <c r="AA202" s="14" t="n">
        <f aca="false">MIN(R202:X202)</f>
        <v>1101.8333158951</v>
      </c>
    </row>
    <row r="203" customFormat="false" ht="15" hidden="false" customHeight="false" outlineLevel="0" collapsed="false">
      <c r="K203" s="2" t="n">
        <v>198</v>
      </c>
      <c r="L203" s="14" t="n">
        <f aca="true">$B$16+NORMINV(RAND(),0,SQRT($B$13*($B$7+$B$8^2))*$B$9*(1-$B$10))</f>
        <v>3961.31739674196</v>
      </c>
      <c r="M203" s="14" t="n">
        <f aca="true">$B$16+NORMINV(RAND(),0,SQRT($B$13*($B$7+$B$8^2))*$B$9*(1-$B$10))</f>
        <v>4377.24341756952</v>
      </c>
      <c r="N203" s="14" t="n">
        <f aca="true">$B$16+NORMINV(RAND(),0,SQRT($B$13*($B$7+$B$8^2))*$B$9*(1-$B$10))</f>
        <v>4403.92196929867</v>
      </c>
      <c r="O203" s="14" t="n">
        <f aca="true">$B$16+NORMINV(RAND(),0,SQRT($B$13*($B$7+$B$8^2))*$B$9*(1-$B$10))</f>
        <v>3873.98041625323</v>
      </c>
      <c r="P203" s="14" t="n">
        <f aca="true">$B$16+NORMINV(RAND(),0,SQRT($B$13*($B$7+$B$8^2))*$B$9*(1-$B$10))</f>
        <v>4291.18325588565</v>
      </c>
      <c r="Q203" s="14" t="n">
        <f aca="true">$B$16+NORMINV(RAND(),0,SQRT($B$13*($B$7+$B$8^2))*$B$9*(1-$B$10))</f>
        <v>3891.69332136816</v>
      </c>
      <c r="R203" s="14" t="n">
        <f aca="false">$B$4-13*($B$5+$B$6)/30-IF($B$11&lt;=13,$B$12,0)+0</f>
        <v>8876.66666666667</v>
      </c>
      <c r="S203" s="14" t="n">
        <f aca="false">$B$4-27*($B$5+$B$6)/30-IF($B$11&lt;=27,$B$12,0)+L203</f>
        <v>10551.317396742</v>
      </c>
      <c r="T203" s="14" t="n">
        <f aca="false">$B$4-41*($B$5+$B$6)/30-IF($B$11&lt;=41,$B$12,0)+L203+M203</f>
        <v>1457.09414764482</v>
      </c>
      <c r="U203" s="14" t="n">
        <f aca="false">$B$4-55*($B$5+$B$6)/30-IF($B$11&lt;=55,$B$12,0)+L203+M203+N203</f>
        <v>3574.34945027682</v>
      </c>
      <c r="V203" s="14" t="n">
        <f aca="false">$B$4-69*($B$5+$B$6)/30-IF($B$11&lt;=69,$B$12,0)+L203+M203+N203+O203</f>
        <v>5161.66319986338</v>
      </c>
      <c r="W203" s="14" t="n">
        <f aca="false">$B$4-83*($B$5+$B$6)/30-IF($B$11&lt;=83,$B$12,0)+L203+M203+N203+O203+P203</f>
        <v>7166.17978908236</v>
      </c>
      <c r="X203" s="14" t="n">
        <f aca="false">$B$4-90*($B$5+$B$6)/30-IF($B$11&lt;=90,$B$12,0)+L203+M203+N203+O203+P203+Q203</f>
        <v>9914.53977711718</v>
      </c>
      <c r="AA203" s="14" t="n">
        <f aca="false">MIN(R203:X203)</f>
        <v>1457.09414764482</v>
      </c>
    </row>
    <row r="204" customFormat="false" ht="15" hidden="false" customHeight="false" outlineLevel="0" collapsed="false">
      <c r="K204" s="2" t="n">
        <v>199</v>
      </c>
      <c r="L204" s="14" t="n">
        <f aca="true">$B$16+NORMINV(RAND(),0,SQRT($B$13*($B$7+$B$8^2))*$B$9*(1-$B$10))</f>
        <v>3306.09261664599</v>
      </c>
      <c r="M204" s="14" t="n">
        <f aca="true">$B$16+NORMINV(RAND(),0,SQRT($B$13*($B$7+$B$8^2))*$B$9*(1-$B$10))</f>
        <v>3833.68324402115</v>
      </c>
      <c r="N204" s="14" t="n">
        <f aca="true">$B$16+NORMINV(RAND(),0,SQRT($B$13*($B$7+$B$8^2))*$B$9*(1-$B$10))</f>
        <v>3417.89628626984</v>
      </c>
      <c r="O204" s="14" t="n">
        <f aca="true">$B$16+NORMINV(RAND(),0,SQRT($B$13*($B$7+$B$8^2))*$B$9*(1-$B$10))</f>
        <v>3923.09466380026</v>
      </c>
      <c r="P204" s="14" t="n">
        <f aca="true">$B$16+NORMINV(RAND(),0,SQRT($B$13*($B$7+$B$8^2))*$B$9*(1-$B$10))</f>
        <v>3419.75747715735</v>
      </c>
      <c r="Q204" s="14" t="n">
        <f aca="true">$B$16+NORMINV(RAND(),0,SQRT($B$13*($B$7+$B$8^2))*$B$9*(1-$B$10))</f>
        <v>4053.85793051532</v>
      </c>
      <c r="R204" s="14" t="n">
        <f aca="false">$B$4-13*($B$5+$B$6)/30-IF($B$11&lt;=13,$B$12,0)+0</f>
        <v>8876.66666666667</v>
      </c>
      <c r="S204" s="14" t="n">
        <f aca="false">$B$4-27*($B$5+$B$6)/30-IF($B$11&lt;=27,$B$12,0)+L204</f>
        <v>9896.09261664599</v>
      </c>
      <c r="T204" s="14" t="n">
        <f aca="false">$B$4-41*($B$5+$B$6)/30-IF($B$11&lt;=41,$B$12,0)+L204+M204</f>
        <v>258.309194000473</v>
      </c>
      <c r="U204" s="14" t="n">
        <f aca="false">$B$4-55*($B$5+$B$6)/30-IF($B$11&lt;=55,$B$12,0)+L204+M204+N204</f>
        <v>1389.53881360365</v>
      </c>
      <c r="V204" s="14" t="n">
        <f aca="false">$B$4-69*($B$5+$B$6)/30-IF($B$11&lt;=69,$B$12,0)+L204+M204+N204+O204</f>
        <v>3025.96681073724</v>
      </c>
      <c r="W204" s="14" t="n">
        <f aca="false">$B$4-83*($B$5+$B$6)/30-IF($B$11&lt;=83,$B$12,0)+L204+M204+N204+O204+P204</f>
        <v>4159.05762122793</v>
      </c>
      <c r="X204" s="14" t="n">
        <f aca="false">$B$4-90*($B$5+$B$6)/30-IF($B$11&lt;=90,$B$12,0)+L204+M204+N204+O204+P204+Q204</f>
        <v>7069.58221840991</v>
      </c>
      <c r="AA204" s="14" t="n">
        <f aca="false">MIN(R204:X204)</f>
        <v>258.309194000473</v>
      </c>
    </row>
    <row r="205" customFormat="false" ht="15" hidden="false" customHeight="false" outlineLevel="0" collapsed="false">
      <c r="K205" s="2" t="n">
        <v>200</v>
      </c>
      <c r="L205" s="14" t="n">
        <f aca="true">$B$16+NORMINV(RAND(),0,SQRT($B$13*($B$7+$B$8^2))*$B$9*(1-$B$10))</f>
        <v>4201.92144287265</v>
      </c>
      <c r="M205" s="14" t="n">
        <f aca="true">$B$16+NORMINV(RAND(),0,SQRT($B$13*($B$7+$B$8^2))*$B$9*(1-$B$10))</f>
        <v>4274.99218848356</v>
      </c>
      <c r="N205" s="14" t="n">
        <f aca="true">$B$16+NORMINV(RAND(),0,SQRT($B$13*($B$7+$B$8^2))*$B$9*(1-$B$10))</f>
        <v>3663.67639051591</v>
      </c>
      <c r="O205" s="14" t="n">
        <f aca="true">$B$16+NORMINV(RAND(),0,SQRT($B$13*($B$7+$B$8^2))*$B$9*(1-$B$10))</f>
        <v>4260.70703823988</v>
      </c>
      <c r="P205" s="14" t="n">
        <f aca="true">$B$16+NORMINV(RAND(),0,SQRT($B$13*($B$7+$B$8^2))*$B$9*(1-$B$10))</f>
        <v>3762.66628984631</v>
      </c>
      <c r="Q205" s="14" t="n">
        <f aca="true">$B$16+NORMINV(RAND(),0,SQRT($B$13*($B$7+$B$8^2))*$B$9*(1-$B$10))</f>
        <v>4472.96900521012</v>
      </c>
      <c r="R205" s="14" t="n">
        <f aca="false">$B$4-13*($B$5+$B$6)/30-IF($B$11&lt;=13,$B$12,0)+0</f>
        <v>8876.66666666667</v>
      </c>
      <c r="S205" s="14" t="n">
        <f aca="false">$B$4-27*($B$5+$B$6)/30-IF($B$11&lt;=27,$B$12,0)+L205</f>
        <v>10791.9214428726</v>
      </c>
      <c r="T205" s="14" t="n">
        <f aca="false">$B$4-41*($B$5+$B$6)/30-IF($B$11&lt;=41,$B$12,0)+L205+M205</f>
        <v>1595.44696468954</v>
      </c>
      <c r="U205" s="14" t="n">
        <f aca="false">$B$4-55*($B$5+$B$6)/30-IF($B$11&lt;=55,$B$12,0)+L205+M205+N205</f>
        <v>2972.45668853879</v>
      </c>
      <c r="V205" s="14" t="n">
        <f aca="false">$B$4-69*($B$5+$B$6)/30-IF($B$11&lt;=69,$B$12,0)+L205+M205+N205+O205</f>
        <v>4946.497060112</v>
      </c>
      <c r="W205" s="14" t="n">
        <f aca="false">$B$4-83*($B$5+$B$6)/30-IF($B$11&lt;=83,$B$12,0)+L205+M205+N205+O205+P205</f>
        <v>6422.49668329164</v>
      </c>
      <c r="X205" s="14" t="n">
        <f aca="false">$B$4-90*($B$5+$B$6)/30-IF($B$11&lt;=90,$B$12,0)+L205+M205+N205+O205+P205+Q205</f>
        <v>9752.13235516843</v>
      </c>
      <c r="AA205" s="14" t="n">
        <f aca="false">MIN(R205:X205)</f>
        <v>1595.44696468954</v>
      </c>
    </row>
    <row r="206" customFormat="false" ht="15" hidden="false" customHeight="false" outlineLevel="0" collapsed="false">
      <c r="K206" s="2" t="n">
        <v>201</v>
      </c>
      <c r="L206" s="14" t="n">
        <f aca="true">$B$16+NORMINV(RAND(),0,SQRT($B$13*($B$7+$B$8^2))*$B$9*(1-$B$10))</f>
        <v>3591.28978369803</v>
      </c>
      <c r="M206" s="14" t="n">
        <f aca="true">$B$16+NORMINV(RAND(),0,SQRT($B$13*($B$7+$B$8^2))*$B$9*(1-$B$10))</f>
        <v>3680.61277717664</v>
      </c>
      <c r="N206" s="14" t="n">
        <f aca="true">$B$16+NORMINV(RAND(),0,SQRT($B$13*($B$7+$B$8^2))*$B$9*(1-$B$10))</f>
        <v>3764.88408837902</v>
      </c>
      <c r="O206" s="14" t="n">
        <f aca="true">$B$16+NORMINV(RAND(),0,SQRT($B$13*($B$7+$B$8^2))*$B$9*(1-$B$10))</f>
        <v>4157.73960333368</v>
      </c>
      <c r="P206" s="14" t="n">
        <f aca="true">$B$16+NORMINV(RAND(),0,SQRT($B$13*($B$7+$B$8^2))*$B$9*(1-$B$10))</f>
        <v>4149.49926317429</v>
      </c>
      <c r="Q206" s="14" t="n">
        <f aca="true">$B$16+NORMINV(RAND(),0,SQRT($B$13*($B$7+$B$8^2))*$B$9*(1-$B$10))</f>
        <v>3902.33619775844</v>
      </c>
      <c r="R206" s="14" t="n">
        <f aca="false">$B$4-13*($B$5+$B$6)/30-IF($B$11&lt;=13,$B$12,0)+0</f>
        <v>8876.66666666667</v>
      </c>
      <c r="S206" s="14" t="n">
        <f aca="false">$B$4-27*($B$5+$B$6)/30-IF($B$11&lt;=27,$B$12,0)+L206</f>
        <v>10181.289783698</v>
      </c>
      <c r="T206" s="14" t="n">
        <f aca="false">$B$4-41*($B$5+$B$6)/30-IF($B$11&lt;=41,$B$12,0)+L206+M206</f>
        <v>390.435894208003</v>
      </c>
      <c r="U206" s="14" t="n">
        <f aca="false">$B$4-55*($B$5+$B$6)/30-IF($B$11&lt;=55,$B$12,0)+L206+M206+N206</f>
        <v>1868.65331592035</v>
      </c>
      <c r="V206" s="14" t="n">
        <f aca="false">$B$4-69*($B$5+$B$6)/30-IF($B$11&lt;=69,$B$12,0)+L206+M206+N206+O206</f>
        <v>3739.72625258737</v>
      </c>
      <c r="W206" s="14" t="n">
        <f aca="false">$B$4-83*($B$5+$B$6)/30-IF($B$11&lt;=83,$B$12,0)+L206+M206+N206+O206+P206</f>
        <v>5602.55884909499</v>
      </c>
      <c r="X206" s="14" t="n">
        <f aca="false">$B$4-90*($B$5+$B$6)/30-IF($B$11&lt;=90,$B$12,0)+L206+M206+N206+O206+P206+Q206</f>
        <v>8361.5617135201</v>
      </c>
      <c r="AA206" s="14" t="n">
        <f aca="false">MIN(R206:X206)</f>
        <v>390.435894208003</v>
      </c>
    </row>
    <row r="207" customFormat="false" ht="15" hidden="false" customHeight="false" outlineLevel="0" collapsed="false">
      <c r="K207" s="2" t="n">
        <v>202</v>
      </c>
      <c r="L207" s="14" t="n">
        <f aca="true">$B$16+NORMINV(RAND(),0,SQRT($B$13*($B$7+$B$8^2))*$B$9*(1-$B$10))</f>
        <v>4128.20240649569</v>
      </c>
      <c r="M207" s="14" t="n">
        <f aca="true">$B$16+NORMINV(RAND(),0,SQRT($B$13*($B$7+$B$8^2))*$B$9*(1-$B$10))</f>
        <v>4111.95917377944</v>
      </c>
      <c r="N207" s="14" t="n">
        <f aca="true">$B$16+NORMINV(RAND(),0,SQRT($B$13*($B$7+$B$8^2))*$B$9*(1-$B$10))</f>
        <v>4344.28538614957</v>
      </c>
      <c r="O207" s="14" t="n">
        <f aca="true">$B$16+NORMINV(RAND(),0,SQRT($B$13*($B$7+$B$8^2))*$B$9*(1-$B$10))</f>
        <v>3565.15065627085</v>
      </c>
      <c r="P207" s="14" t="n">
        <f aca="true">$B$16+NORMINV(RAND(),0,SQRT($B$13*($B$7+$B$8^2))*$B$9*(1-$B$10))</f>
        <v>3802.32156381114</v>
      </c>
      <c r="Q207" s="14" t="n">
        <f aca="true">$B$16+NORMINV(RAND(),0,SQRT($B$13*($B$7+$B$8^2))*$B$9*(1-$B$10))</f>
        <v>3267.69863128347</v>
      </c>
      <c r="R207" s="14" t="n">
        <f aca="false">$B$4-13*($B$5+$B$6)/30-IF($B$11&lt;=13,$B$12,0)+0</f>
        <v>8876.66666666667</v>
      </c>
      <c r="S207" s="14" t="n">
        <f aca="false">$B$4-27*($B$5+$B$6)/30-IF($B$11&lt;=27,$B$12,0)+L207</f>
        <v>10718.2024064957</v>
      </c>
      <c r="T207" s="14" t="n">
        <f aca="false">$B$4-41*($B$5+$B$6)/30-IF($B$11&lt;=41,$B$12,0)+L207+M207</f>
        <v>1358.69491360846</v>
      </c>
      <c r="U207" s="14" t="n">
        <f aca="false">$B$4-55*($B$5+$B$6)/30-IF($B$11&lt;=55,$B$12,0)+L207+M207+N207</f>
        <v>3416.31363309136</v>
      </c>
      <c r="V207" s="14" t="n">
        <f aca="false">$B$4-69*($B$5+$B$6)/30-IF($B$11&lt;=69,$B$12,0)+L207+M207+N207+O207</f>
        <v>4694.79762269555</v>
      </c>
      <c r="W207" s="14" t="n">
        <f aca="false">$B$4-83*($B$5+$B$6)/30-IF($B$11&lt;=83,$B$12,0)+L207+M207+N207+O207+P207</f>
        <v>6210.45251984002</v>
      </c>
      <c r="X207" s="14" t="n">
        <f aca="false">$B$4-90*($B$5+$B$6)/30-IF($B$11&lt;=90,$B$12,0)+L207+M207+N207+O207+P207+Q207</f>
        <v>8334.81781779015</v>
      </c>
      <c r="AA207" s="14" t="n">
        <f aca="false">MIN(R207:X207)</f>
        <v>1358.69491360846</v>
      </c>
    </row>
    <row r="208" customFormat="false" ht="15" hidden="false" customHeight="false" outlineLevel="0" collapsed="false">
      <c r="K208" s="2" t="n">
        <v>203</v>
      </c>
      <c r="L208" s="14" t="n">
        <f aca="true">$B$16+NORMINV(RAND(),0,SQRT($B$13*($B$7+$B$8^2))*$B$9*(1-$B$10))</f>
        <v>4062.09394189556</v>
      </c>
      <c r="M208" s="14" t="n">
        <f aca="true">$B$16+NORMINV(RAND(),0,SQRT($B$13*($B$7+$B$8^2))*$B$9*(1-$B$10))</f>
        <v>4219.16835300863</v>
      </c>
      <c r="N208" s="14" t="n">
        <f aca="true">$B$16+NORMINV(RAND(),0,SQRT($B$13*($B$7+$B$8^2))*$B$9*(1-$B$10))</f>
        <v>3559.67108969053</v>
      </c>
      <c r="O208" s="14" t="n">
        <f aca="true">$B$16+NORMINV(RAND(),0,SQRT($B$13*($B$7+$B$8^2))*$B$9*(1-$B$10))</f>
        <v>3978.08241961334</v>
      </c>
      <c r="P208" s="14" t="n">
        <f aca="true">$B$16+NORMINV(RAND(),0,SQRT($B$13*($B$7+$B$8^2))*$B$9*(1-$B$10))</f>
        <v>3982.26552845249</v>
      </c>
      <c r="Q208" s="14" t="n">
        <f aca="true">$B$16+NORMINV(RAND(),0,SQRT($B$13*($B$7+$B$8^2))*$B$9*(1-$B$10))</f>
        <v>4555.39593603325</v>
      </c>
      <c r="R208" s="14" t="n">
        <f aca="false">$B$4-13*($B$5+$B$6)/30-IF($B$11&lt;=13,$B$12,0)+0</f>
        <v>8876.66666666667</v>
      </c>
      <c r="S208" s="14" t="n">
        <f aca="false">$B$4-27*($B$5+$B$6)/30-IF($B$11&lt;=27,$B$12,0)+L208</f>
        <v>10652.0939418956</v>
      </c>
      <c r="T208" s="14" t="n">
        <f aca="false">$B$4-41*($B$5+$B$6)/30-IF($B$11&lt;=41,$B$12,0)+L208+M208</f>
        <v>1399.79562823752</v>
      </c>
      <c r="U208" s="14" t="n">
        <f aca="false">$B$4-55*($B$5+$B$6)/30-IF($B$11&lt;=55,$B$12,0)+L208+M208+N208</f>
        <v>2672.80005126138</v>
      </c>
      <c r="V208" s="14" t="n">
        <f aca="false">$B$4-69*($B$5+$B$6)/30-IF($B$11&lt;=69,$B$12,0)+L208+M208+N208+O208</f>
        <v>4364.21580420806</v>
      </c>
      <c r="W208" s="14" t="n">
        <f aca="false">$B$4-83*($B$5+$B$6)/30-IF($B$11&lt;=83,$B$12,0)+L208+M208+N208+O208+P208</f>
        <v>6059.81466599388</v>
      </c>
      <c r="X208" s="14" t="n">
        <f aca="false">$B$4-90*($B$5+$B$6)/30-IF($B$11&lt;=90,$B$12,0)+L208+M208+N208+O208+P208+Q208</f>
        <v>9471.8772686938</v>
      </c>
      <c r="AA208" s="14" t="n">
        <f aca="false">MIN(R208:X208)</f>
        <v>1399.79562823752</v>
      </c>
    </row>
    <row r="209" customFormat="false" ht="15" hidden="false" customHeight="false" outlineLevel="0" collapsed="false">
      <c r="K209" s="2" t="n">
        <v>204</v>
      </c>
      <c r="L209" s="14" t="n">
        <f aca="true">$B$16+NORMINV(RAND(),0,SQRT($B$13*($B$7+$B$8^2))*$B$9*(1-$B$10))</f>
        <v>3840.60708191168</v>
      </c>
      <c r="M209" s="14" t="n">
        <f aca="true">$B$16+NORMINV(RAND(),0,SQRT($B$13*($B$7+$B$8^2))*$B$9*(1-$B$10))</f>
        <v>3292.46898535047</v>
      </c>
      <c r="N209" s="14" t="n">
        <f aca="true">$B$16+NORMINV(RAND(),0,SQRT($B$13*($B$7+$B$8^2))*$B$9*(1-$B$10))</f>
        <v>4014.61330951137</v>
      </c>
      <c r="O209" s="14" t="n">
        <f aca="true">$B$16+NORMINV(RAND(),0,SQRT($B$13*($B$7+$B$8^2))*$B$9*(1-$B$10))</f>
        <v>4589.98949348812</v>
      </c>
      <c r="P209" s="14" t="n">
        <f aca="true">$B$16+NORMINV(RAND(),0,SQRT($B$13*($B$7+$B$8^2))*$B$9*(1-$B$10))</f>
        <v>3982.87304086628</v>
      </c>
      <c r="Q209" s="14" t="n">
        <f aca="true">$B$16+NORMINV(RAND(),0,SQRT($B$13*($B$7+$B$8^2))*$B$9*(1-$B$10))</f>
        <v>3987.52047327331</v>
      </c>
      <c r="R209" s="14" t="n">
        <f aca="false">$B$4-13*($B$5+$B$6)/30-IF($B$11&lt;=13,$B$12,0)+0</f>
        <v>8876.66666666667</v>
      </c>
      <c r="S209" s="14" t="n">
        <f aca="false">$B$4-27*($B$5+$B$6)/30-IF($B$11&lt;=27,$B$12,0)+L209</f>
        <v>10430.6070819117</v>
      </c>
      <c r="T209" s="14" t="n">
        <f aca="false">$B$4-41*($B$5+$B$6)/30-IF($B$11&lt;=41,$B$12,0)+L209+M209</f>
        <v>251.609400595484</v>
      </c>
      <c r="U209" s="14" t="n">
        <f aca="false">$B$4-55*($B$5+$B$6)/30-IF($B$11&lt;=55,$B$12,0)+L209+M209+N209</f>
        <v>1979.55604344019</v>
      </c>
      <c r="V209" s="14" t="n">
        <f aca="false">$B$4-69*($B$5+$B$6)/30-IF($B$11&lt;=69,$B$12,0)+L209+M209+N209+O209</f>
        <v>4282.87887026165</v>
      </c>
      <c r="W209" s="14" t="n">
        <f aca="false">$B$4-83*($B$5+$B$6)/30-IF($B$11&lt;=83,$B$12,0)+L209+M209+N209+O209+P209</f>
        <v>5979.08524446126</v>
      </c>
      <c r="X209" s="14" t="n">
        <f aca="false">$B$4-90*($B$5+$B$6)/30-IF($B$11&lt;=90,$B$12,0)+L209+M209+N209+O209+P209+Q209</f>
        <v>8823.27238440124</v>
      </c>
      <c r="AA209" s="14" t="n">
        <f aca="false">MIN(R209:X209)</f>
        <v>251.609400595484</v>
      </c>
    </row>
    <row r="210" customFormat="false" ht="15" hidden="false" customHeight="false" outlineLevel="0" collapsed="false">
      <c r="K210" s="2" t="n">
        <v>205</v>
      </c>
      <c r="L210" s="14" t="n">
        <f aca="true">$B$16+NORMINV(RAND(),0,SQRT($B$13*($B$7+$B$8^2))*$B$9*(1-$B$10))</f>
        <v>3869.82147654752</v>
      </c>
      <c r="M210" s="14" t="n">
        <f aca="true">$B$16+NORMINV(RAND(),0,SQRT($B$13*($B$7+$B$8^2))*$B$9*(1-$B$10))</f>
        <v>4206.48204008</v>
      </c>
      <c r="N210" s="14" t="n">
        <f aca="true">$B$16+NORMINV(RAND(),0,SQRT($B$13*($B$7+$B$8^2))*$B$9*(1-$B$10))</f>
        <v>3476.94467640191</v>
      </c>
      <c r="O210" s="14" t="n">
        <f aca="true">$B$16+NORMINV(RAND(),0,SQRT($B$13*($B$7+$B$8^2))*$B$9*(1-$B$10))</f>
        <v>4466.52547755741</v>
      </c>
      <c r="P210" s="14" t="n">
        <f aca="true">$B$16+NORMINV(RAND(),0,SQRT($B$13*($B$7+$B$8^2))*$B$9*(1-$B$10))</f>
        <v>4221.23888342968</v>
      </c>
      <c r="Q210" s="14" t="n">
        <f aca="true">$B$16+NORMINV(RAND(),0,SQRT($B$13*($B$7+$B$8^2))*$B$9*(1-$B$10))</f>
        <v>3660.68066237439</v>
      </c>
      <c r="R210" s="14" t="n">
        <f aca="false">$B$4-13*($B$5+$B$6)/30-IF($B$11&lt;=13,$B$12,0)+0</f>
        <v>8876.66666666667</v>
      </c>
      <c r="S210" s="14" t="n">
        <f aca="false">$B$4-27*($B$5+$B$6)/30-IF($B$11&lt;=27,$B$12,0)+L210</f>
        <v>10459.8214765475</v>
      </c>
      <c r="T210" s="14" t="n">
        <f aca="false">$B$4-41*($B$5+$B$6)/30-IF($B$11&lt;=41,$B$12,0)+L210+M210</f>
        <v>1194.83684996084</v>
      </c>
      <c r="U210" s="14" t="n">
        <f aca="false">$B$4-55*($B$5+$B$6)/30-IF($B$11&lt;=55,$B$12,0)+L210+M210+N210</f>
        <v>2385.11485969609</v>
      </c>
      <c r="V210" s="14" t="n">
        <f aca="false">$B$4-69*($B$5+$B$6)/30-IF($B$11&lt;=69,$B$12,0)+L210+M210+N210+O210</f>
        <v>4564.97367058682</v>
      </c>
      <c r="W210" s="14" t="n">
        <f aca="false">$B$4-83*($B$5+$B$6)/30-IF($B$11&lt;=83,$B$12,0)+L210+M210+N210+O210+P210</f>
        <v>6499.54588734984</v>
      </c>
      <c r="X210" s="14" t="n">
        <f aca="false">$B$4-90*($B$5+$B$6)/30-IF($B$11&lt;=90,$B$12,0)+L210+M210+N210+O210+P210+Q210</f>
        <v>9016.89321639089</v>
      </c>
      <c r="AA210" s="14" t="n">
        <f aca="false">MIN(R210:X210)</f>
        <v>1194.83684996084</v>
      </c>
    </row>
    <row r="211" customFormat="false" ht="15" hidden="false" customHeight="false" outlineLevel="0" collapsed="false">
      <c r="K211" s="2" t="n">
        <v>206</v>
      </c>
      <c r="L211" s="14" t="n">
        <f aca="true">$B$16+NORMINV(RAND(),0,SQRT($B$13*($B$7+$B$8^2))*$B$9*(1-$B$10))</f>
        <v>3906.1803941353</v>
      </c>
      <c r="M211" s="14" t="n">
        <f aca="true">$B$16+NORMINV(RAND(),0,SQRT($B$13*($B$7+$B$8^2))*$B$9*(1-$B$10))</f>
        <v>3780.35985778593</v>
      </c>
      <c r="N211" s="14" t="n">
        <f aca="true">$B$16+NORMINV(RAND(),0,SQRT($B$13*($B$7+$B$8^2))*$B$9*(1-$B$10))</f>
        <v>3935.3132115299</v>
      </c>
      <c r="O211" s="14" t="n">
        <f aca="true">$B$16+NORMINV(RAND(),0,SQRT($B$13*($B$7+$B$8^2))*$B$9*(1-$B$10))</f>
        <v>4122.10157038771</v>
      </c>
      <c r="P211" s="14" t="n">
        <f aca="true">$B$16+NORMINV(RAND(),0,SQRT($B$13*($B$7+$B$8^2))*$B$9*(1-$B$10))</f>
        <v>4131.22997478852</v>
      </c>
      <c r="Q211" s="14" t="n">
        <f aca="true">$B$16+NORMINV(RAND(),0,SQRT($B$13*($B$7+$B$8^2))*$B$9*(1-$B$10))</f>
        <v>4035.94938096418</v>
      </c>
      <c r="R211" s="14" t="n">
        <f aca="false">$B$4-13*($B$5+$B$6)/30-IF($B$11&lt;=13,$B$12,0)+0</f>
        <v>8876.66666666667</v>
      </c>
      <c r="S211" s="14" t="n">
        <f aca="false">$B$4-27*($B$5+$B$6)/30-IF($B$11&lt;=27,$B$12,0)+L211</f>
        <v>10496.1803941353</v>
      </c>
      <c r="T211" s="14" t="n">
        <f aca="false">$B$4-41*($B$5+$B$6)/30-IF($B$11&lt;=41,$B$12,0)+L211+M211</f>
        <v>805.073585254566</v>
      </c>
      <c r="U211" s="14" t="n">
        <f aca="false">$B$4-55*($B$5+$B$6)/30-IF($B$11&lt;=55,$B$12,0)+L211+M211+N211</f>
        <v>2453.7201301178</v>
      </c>
      <c r="V211" s="14" t="n">
        <f aca="false">$B$4-69*($B$5+$B$6)/30-IF($B$11&lt;=69,$B$12,0)+L211+M211+N211+O211</f>
        <v>4289.15503383884</v>
      </c>
      <c r="W211" s="14" t="n">
        <f aca="false">$B$4-83*($B$5+$B$6)/30-IF($B$11&lt;=83,$B$12,0)+L211+M211+N211+O211+P211</f>
        <v>6133.7183419607</v>
      </c>
      <c r="X211" s="14" t="n">
        <f aca="false">$B$4-90*($B$5+$B$6)/30-IF($B$11&lt;=90,$B$12,0)+L211+M211+N211+O211+P211+Q211</f>
        <v>9026.33438959154</v>
      </c>
      <c r="AA211" s="14" t="n">
        <f aca="false">MIN(R211:X211)</f>
        <v>805.073585254566</v>
      </c>
    </row>
    <row r="212" customFormat="false" ht="15" hidden="false" customHeight="false" outlineLevel="0" collapsed="false">
      <c r="K212" s="2" t="n">
        <v>207</v>
      </c>
      <c r="L212" s="14" t="n">
        <f aca="true">$B$16+NORMINV(RAND(),0,SQRT($B$13*($B$7+$B$8^2))*$B$9*(1-$B$10))</f>
        <v>4205.84883191461</v>
      </c>
      <c r="M212" s="14" t="n">
        <f aca="true">$B$16+NORMINV(RAND(),0,SQRT($B$13*($B$7+$B$8^2))*$B$9*(1-$B$10))</f>
        <v>4688.49954367433</v>
      </c>
      <c r="N212" s="14" t="n">
        <f aca="true">$B$16+NORMINV(RAND(),0,SQRT($B$13*($B$7+$B$8^2))*$B$9*(1-$B$10))</f>
        <v>4103.14050319705</v>
      </c>
      <c r="O212" s="14" t="n">
        <f aca="true">$B$16+NORMINV(RAND(),0,SQRT($B$13*($B$7+$B$8^2))*$B$9*(1-$B$10))</f>
        <v>4216.50868522757</v>
      </c>
      <c r="P212" s="14" t="n">
        <f aca="true">$B$16+NORMINV(RAND(),0,SQRT($B$13*($B$7+$B$8^2))*$B$9*(1-$B$10))</f>
        <v>4140.28881955641</v>
      </c>
      <c r="Q212" s="14" t="n">
        <f aca="true">$B$16+NORMINV(RAND(),0,SQRT($B$13*($B$7+$B$8^2))*$B$9*(1-$B$10))</f>
        <v>4398.72389516098</v>
      </c>
      <c r="R212" s="14" t="n">
        <f aca="false">$B$4-13*($B$5+$B$6)/30-IF($B$11&lt;=13,$B$12,0)+0</f>
        <v>8876.66666666667</v>
      </c>
      <c r="S212" s="14" t="n">
        <f aca="false">$B$4-27*($B$5+$B$6)/30-IF($B$11&lt;=27,$B$12,0)+L212</f>
        <v>10795.8488319146</v>
      </c>
      <c r="T212" s="14" t="n">
        <f aca="false">$B$4-41*($B$5+$B$6)/30-IF($B$11&lt;=41,$B$12,0)+L212+M212</f>
        <v>2012.88170892227</v>
      </c>
      <c r="U212" s="14" t="n">
        <f aca="false">$B$4-55*($B$5+$B$6)/30-IF($B$11&lt;=55,$B$12,0)+L212+M212+N212</f>
        <v>3829.35554545266</v>
      </c>
      <c r="V212" s="14" t="n">
        <f aca="false">$B$4-69*($B$5+$B$6)/30-IF($B$11&lt;=69,$B$12,0)+L212+M212+N212+O212</f>
        <v>5759.19756401357</v>
      </c>
      <c r="W212" s="14" t="n">
        <f aca="false">$B$4-83*($B$5+$B$6)/30-IF($B$11&lt;=83,$B$12,0)+L212+M212+N212+O212+P212</f>
        <v>7612.81971690331</v>
      </c>
      <c r="X212" s="14" t="n">
        <f aca="false">$B$4-90*($B$5+$B$6)/30-IF($B$11&lt;=90,$B$12,0)+L212+M212+N212+O212+P212+Q212</f>
        <v>10868.210278731</v>
      </c>
      <c r="AA212" s="14" t="n">
        <f aca="false">MIN(R212:X212)</f>
        <v>2012.88170892227</v>
      </c>
    </row>
    <row r="213" customFormat="false" ht="15" hidden="false" customHeight="false" outlineLevel="0" collapsed="false">
      <c r="K213" s="2" t="n">
        <v>208</v>
      </c>
      <c r="L213" s="14" t="n">
        <f aca="true">$B$16+NORMINV(RAND(),0,SQRT($B$13*($B$7+$B$8^2))*$B$9*(1-$B$10))</f>
        <v>4393.43486051205</v>
      </c>
      <c r="M213" s="14" t="n">
        <f aca="true">$B$16+NORMINV(RAND(),0,SQRT($B$13*($B$7+$B$8^2))*$B$9*(1-$B$10))</f>
        <v>4065.83053281162</v>
      </c>
      <c r="N213" s="14" t="n">
        <f aca="true">$B$16+NORMINV(RAND(),0,SQRT($B$13*($B$7+$B$8^2))*$B$9*(1-$B$10))</f>
        <v>4189.10252695211</v>
      </c>
      <c r="O213" s="14" t="n">
        <f aca="true">$B$16+NORMINV(RAND(),0,SQRT($B$13*($B$7+$B$8^2))*$B$9*(1-$B$10))</f>
        <v>3940.18770152533</v>
      </c>
      <c r="P213" s="14" t="n">
        <f aca="true">$B$16+NORMINV(RAND(),0,SQRT($B$13*($B$7+$B$8^2))*$B$9*(1-$B$10))</f>
        <v>3730.99302193609</v>
      </c>
      <c r="Q213" s="14" t="n">
        <f aca="true">$B$16+NORMINV(RAND(),0,SQRT($B$13*($B$7+$B$8^2))*$B$9*(1-$B$10))</f>
        <v>4240.90583852416</v>
      </c>
      <c r="R213" s="14" t="n">
        <f aca="false">$B$4-13*($B$5+$B$6)/30-IF($B$11&lt;=13,$B$12,0)+0</f>
        <v>8876.66666666667</v>
      </c>
      <c r="S213" s="14" t="n">
        <f aca="false">$B$4-27*($B$5+$B$6)/30-IF($B$11&lt;=27,$B$12,0)+L213</f>
        <v>10983.4348605121</v>
      </c>
      <c r="T213" s="14" t="n">
        <f aca="false">$B$4-41*($B$5+$B$6)/30-IF($B$11&lt;=41,$B$12,0)+L213+M213</f>
        <v>1577.798726657</v>
      </c>
      <c r="U213" s="14" t="n">
        <f aca="false">$B$4-55*($B$5+$B$6)/30-IF($B$11&lt;=55,$B$12,0)+L213+M213+N213</f>
        <v>3480.23458694244</v>
      </c>
      <c r="V213" s="14" t="n">
        <f aca="false">$B$4-69*($B$5+$B$6)/30-IF($B$11&lt;=69,$B$12,0)+L213+M213+N213+O213</f>
        <v>5133.7556218011</v>
      </c>
      <c r="W213" s="14" t="n">
        <f aca="false">$B$4-83*($B$5+$B$6)/30-IF($B$11&lt;=83,$B$12,0)+L213+M213+N213+O213+P213</f>
        <v>6578.08197707052</v>
      </c>
      <c r="X213" s="14" t="n">
        <f aca="false">$B$4-90*($B$5+$B$6)/30-IF($B$11&lt;=90,$B$12,0)+L213+M213+N213+O213+P213+Q213</f>
        <v>9675.65448226135</v>
      </c>
      <c r="AA213" s="14" t="n">
        <f aca="false">MIN(R213:X213)</f>
        <v>1577.798726657</v>
      </c>
    </row>
    <row r="214" customFormat="false" ht="15" hidden="false" customHeight="false" outlineLevel="0" collapsed="false">
      <c r="K214" s="2" t="n">
        <v>209</v>
      </c>
      <c r="L214" s="14" t="n">
        <f aca="true">$B$16+NORMINV(RAND(),0,SQRT($B$13*($B$7+$B$8^2))*$B$9*(1-$B$10))</f>
        <v>4047.99993011301</v>
      </c>
      <c r="M214" s="14" t="n">
        <f aca="true">$B$16+NORMINV(RAND(),0,SQRT($B$13*($B$7+$B$8^2))*$B$9*(1-$B$10))</f>
        <v>4019.95574405557</v>
      </c>
      <c r="N214" s="14" t="n">
        <f aca="true">$B$16+NORMINV(RAND(),0,SQRT($B$13*($B$7+$B$8^2))*$B$9*(1-$B$10))</f>
        <v>4094.82101649807</v>
      </c>
      <c r="O214" s="14" t="n">
        <f aca="true">$B$16+NORMINV(RAND(),0,SQRT($B$13*($B$7+$B$8^2))*$B$9*(1-$B$10))</f>
        <v>4055.15142936457</v>
      </c>
      <c r="P214" s="14" t="n">
        <f aca="true">$B$16+NORMINV(RAND(),0,SQRT($B$13*($B$7+$B$8^2))*$B$9*(1-$B$10))</f>
        <v>4224.57345478584</v>
      </c>
      <c r="Q214" s="14" t="n">
        <f aca="true">$B$16+NORMINV(RAND(),0,SQRT($B$13*($B$7+$B$8^2))*$B$9*(1-$B$10))</f>
        <v>3883.01558830032</v>
      </c>
      <c r="R214" s="14" t="n">
        <f aca="false">$B$4-13*($B$5+$B$6)/30-IF($B$11&lt;=13,$B$12,0)+0</f>
        <v>8876.66666666667</v>
      </c>
      <c r="S214" s="14" t="n">
        <f aca="false">$B$4-27*($B$5+$B$6)/30-IF($B$11&lt;=27,$B$12,0)+L214</f>
        <v>10637.999930113</v>
      </c>
      <c r="T214" s="14" t="n">
        <f aca="false">$B$4-41*($B$5+$B$6)/30-IF($B$11&lt;=41,$B$12,0)+L214+M214</f>
        <v>1186.48900750191</v>
      </c>
      <c r="U214" s="14" t="n">
        <f aca="false">$B$4-55*($B$5+$B$6)/30-IF($B$11&lt;=55,$B$12,0)+L214+M214+N214</f>
        <v>2994.64335733331</v>
      </c>
      <c r="V214" s="14" t="n">
        <f aca="false">$B$4-69*($B$5+$B$6)/30-IF($B$11&lt;=69,$B$12,0)+L214+M214+N214+O214</f>
        <v>4763.12812003122</v>
      </c>
      <c r="W214" s="14" t="n">
        <f aca="false">$B$4-83*($B$5+$B$6)/30-IF($B$11&lt;=83,$B$12,0)+L214+M214+N214+O214+P214</f>
        <v>6701.03490815039</v>
      </c>
      <c r="X214" s="14" t="n">
        <f aca="false">$B$4-90*($B$5+$B$6)/30-IF($B$11&lt;=90,$B$12,0)+L214+M214+N214+O214+P214+Q214</f>
        <v>9440.71716311738</v>
      </c>
      <c r="AA214" s="14" t="n">
        <f aca="false">MIN(R214:X214)</f>
        <v>1186.48900750191</v>
      </c>
    </row>
    <row r="215" customFormat="false" ht="15" hidden="false" customHeight="false" outlineLevel="0" collapsed="false">
      <c r="K215" s="2" t="n">
        <v>210</v>
      </c>
      <c r="L215" s="14" t="n">
        <f aca="true">$B$16+NORMINV(RAND(),0,SQRT($B$13*($B$7+$B$8^2))*$B$9*(1-$B$10))</f>
        <v>3586.44101993102</v>
      </c>
      <c r="M215" s="14" t="n">
        <f aca="true">$B$16+NORMINV(RAND(),0,SQRT($B$13*($B$7+$B$8^2))*$B$9*(1-$B$10))</f>
        <v>4435.22280177986</v>
      </c>
      <c r="N215" s="14" t="n">
        <f aca="true">$B$16+NORMINV(RAND(),0,SQRT($B$13*($B$7+$B$8^2))*$B$9*(1-$B$10))</f>
        <v>3526.03982599744</v>
      </c>
      <c r="O215" s="14" t="n">
        <f aca="true">$B$16+NORMINV(RAND(),0,SQRT($B$13*($B$7+$B$8^2))*$B$9*(1-$B$10))</f>
        <v>4084.64926733322</v>
      </c>
      <c r="P215" s="14" t="n">
        <f aca="true">$B$16+NORMINV(RAND(),0,SQRT($B$13*($B$7+$B$8^2))*$B$9*(1-$B$10))</f>
        <v>3685.1494414292</v>
      </c>
      <c r="Q215" s="14" t="n">
        <f aca="true">$B$16+NORMINV(RAND(),0,SQRT($B$13*($B$7+$B$8^2))*$B$9*(1-$B$10))</f>
        <v>4258.32034627173</v>
      </c>
      <c r="R215" s="14" t="n">
        <f aca="false">$B$4-13*($B$5+$B$6)/30-IF($B$11&lt;=13,$B$12,0)+0</f>
        <v>8876.66666666667</v>
      </c>
      <c r="S215" s="14" t="n">
        <f aca="false">$B$4-27*($B$5+$B$6)/30-IF($B$11&lt;=27,$B$12,0)+L215</f>
        <v>10176.441019931</v>
      </c>
      <c r="T215" s="14" t="n">
        <f aca="false">$B$4-41*($B$5+$B$6)/30-IF($B$11&lt;=41,$B$12,0)+L215+M215</f>
        <v>1140.19715504421</v>
      </c>
      <c r="U215" s="14" t="n">
        <f aca="false">$B$4-55*($B$5+$B$6)/30-IF($B$11&lt;=55,$B$12,0)+L215+M215+N215</f>
        <v>2379.57031437499</v>
      </c>
      <c r="V215" s="14" t="n">
        <f aca="false">$B$4-69*($B$5+$B$6)/30-IF($B$11&lt;=69,$B$12,0)+L215+M215+N215+O215</f>
        <v>4177.55291504154</v>
      </c>
      <c r="W215" s="14" t="n">
        <f aca="false">$B$4-83*($B$5+$B$6)/30-IF($B$11&lt;=83,$B$12,0)+L215+M215+N215+O215+P215</f>
        <v>5576.03568980407</v>
      </c>
      <c r="X215" s="14" t="n">
        <f aca="false">$B$4-90*($B$5+$B$6)/30-IF($B$11&lt;=90,$B$12,0)+L215+M215+N215+O215+P215+Q215</f>
        <v>8691.02270274247</v>
      </c>
      <c r="AA215" s="14" t="n">
        <f aca="false">MIN(R215:X215)</f>
        <v>1140.19715504421</v>
      </c>
    </row>
    <row r="216" customFormat="false" ht="15" hidden="false" customHeight="false" outlineLevel="0" collapsed="false">
      <c r="K216" s="2" t="n">
        <v>211</v>
      </c>
      <c r="L216" s="14" t="n">
        <f aca="true">$B$16+NORMINV(RAND(),0,SQRT($B$13*($B$7+$B$8^2))*$B$9*(1-$B$10))</f>
        <v>4025.63578904071</v>
      </c>
      <c r="M216" s="14" t="n">
        <f aca="true">$B$16+NORMINV(RAND(),0,SQRT($B$13*($B$7+$B$8^2))*$B$9*(1-$B$10))</f>
        <v>4446.2737552713</v>
      </c>
      <c r="N216" s="14" t="n">
        <f aca="true">$B$16+NORMINV(RAND(),0,SQRT($B$13*($B$7+$B$8^2))*$B$9*(1-$B$10))</f>
        <v>4185.68085230902</v>
      </c>
      <c r="O216" s="14" t="n">
        <f aca="true">$B$16+NORMINV(RAND(),0,SQRT($B$13*($B$7+$B$8^2))*$B$9*(1-$B$10))</f>
        <v>3998.3599005264</v>
      </c>
      <c r="P216" s="14" t="n">
        <f aca="true">$B$16+NORMINV(RAND(),0,SQRT($B$13*($B$7+$B$8^2))*$B$9*(1-$B$10))</f>
        <v>4127.19629994047</v>
      </c>
      <c r="Q216" s="14" t="n">
        <f aca="true">$B$16+NORMINV(RAND(),0,SQRT($B$13*($B$7+$B$8^2))*$B$9*(1-$B$10))</f>
        <v>4025.12697193381</v>
      </c>
      <c r="R216" s="14" t="n">
        <f aca="false">$B$4-13*($B$5+$B$6)/30-IF($B$11&lt;=13,$B$12,0)+0</f>
        <v>8876.66666666667</v>
      </c>
      <c r="S216" s="14" t="n">
        <f aca="false">$B$4-27*($B$5+$B$6)/30-IF($B$11&lt;=27,$B$12,0)+L216</f>
        <v>10615.6357890407</v>
      </c>
      <c r="T216" s="14" t="n">
        <f aca="false">$B$4-41*($B$5+$B$6)/30-IF($B$11&lt;=41,$B$12,0)+L216+M216</f>
        <v>1590.44287764534</v>
      </c>
      <c r="U216" s="14" t="n">
        <f aca="false">$B$4-55*($B$5+$B$6)/30-IF($B$11&lt;=55,$B$12,0)+L216+M216+N216</f>
        <v>3489.45706328769</v>
      </c>
      <c r="V216" s="14" t="n">
        <f aca="false">$B$4-69*($B$5+$B$6)/30-IF($B$11&lt;=69,$B$12,0)+L216+M216+N216+O216</f>
        <v>5201.15029714743</v>
      </c>
      <c r="W216" s="14" t="n">
        <f aca="false">$B$4-83*($B$5+$B$6)/30-IF($B$11&lt;=83,$B$12,0)+L216+M216+N216+O216+P216</f>
        <v>7041.67993042122</v>
      </c>
      <c r="X216" s="14" t="n">
        <f aca="false">$B$4-90*($B$5+$B$6)/30-IF($B$11&lt;=90,$B$12,0)+L216+M216+N216+O216+P216+Q216</f>
        <v>9923.4735690217</v>
      </c>
      <c r="AA216" s="14" t="n">
        <f aca="false">MIN(R216:X216)</f>
        <v>1590.44287764534</v>
      </c>
    </row>
    <row r="217" customFormat="false" ht="15" hidden="false" customHeight="false" outlineLevel="0" collapsed="false">
      <c r="K217" s="2" t="n">
        <v>212</v>
      </c>
      <c r="L217" s="14" t="n">
        <f aca="true">$B$16+NORMINV(RAND(),0,SQRT($B$13*($B$7+$B$8^2))*$B$9*(1-$B$10))</f>
        <v>3934.37411357186</v>
      </c>
      <c r="M217" s="14" t="n">
        <f aca="true">$B$16+NORMINV(RAND(),0,SQRT($B$13*($B$7+$B$8^2))*$B$9*(1-$B$10))</f>
        <v>4109.26402793639</v>
      </c>
      <c r="N217" s="14" t="n">
        <f aca="true">$B$16+NORMINV(RAND(),0,SQRT($B$13*($B$7+$B$8^2))*$B$9*(1-$B$10))</f>
        <v>4104.92633888612</v>
      </c>
      <c r="O217" s="14" t="n">
        <f aca="true">$B$16+NORMINV(RAND(),0,SQRT($B$13*($B$7+$B$8^2))*$B$9*(1-$B$10))</f>
        <v>3944.82049659291</v>
      </c>
      <c r="P217" s="14" t="n">
        <f aca="true">$B$16+NORMINV(RAND(),0,SQRT($B$13*($B$7+$B$8^2))*$B$9*(1-$B$10))</f>
        <v>3869.5465245614</v>
      </c>
      <c r="Q217" s="14" t="n">
        <f aca="true">$B$16+NORMINV(RAND(),0,SQRT($B$13*($B$7+$B$8^2))*$B$9*(1-$B$10))</f>
        <v>4137.7182471513</v>
      </c>
      <c r="R217" s="14" t="n">
        <f aca="false">$B$4-13*($B$5+$B$6)/30-IF($B$11&lt;=13,$B$12,0)+0</f>
        <v>8876.66666666667</v>
      </c>
      <c r="S217" s="14" t="n">
        <f aca="false">$B$4-27*($B$5+$B$6)/30-IF($B$11&lt;=27,$B$12,0)+L217</f>
        <v>10524.3741135719</v>
      </c>
      <c r="T217" s="14" t="n">
        <f aca="false">$B$4-41*($B$5+$B$6)/30-IF($B$11&lt;=41,$B$12,0)+L217+M217</f>
        <v>1162.17147484157</v>
      </c>
      <c r="U217" s="14" t="n">
        <f aca="false">$B$4-55*($B$5+$B$6)/30-IF($B$11&lt;=55,$B$12,0)+L217+M217+N217</f>
        <v>2980.43114706103</v>
      </c>
      <c r="V217" s="14" t="n">
        <f aca="false">$B$4-69*($B$5+$B$6)/30-IF($B$11&lt;=69,$B$12,0)+L217+M217+N217+O217</f>
        <v>4638.58497698727</v>
      </c>
      <c r="W217" s="14" t="n">
        <f aca="false">$B$4-83*($B$5+$B$6)/30-IF($B$11&lt;=83,$B$12,0)+L217+M217+N217+O217+P217</f>
        <v>6221.46483488201</v>
      </c>
      <c r="X217" s="14" t="n">
        <f aca="false">$B$4-90*($B$5+$B$6)/30-IF($B$11&lt;=90,$B$12,0)+L217+M217+N217+O217+P217+Q217</f>
        <v>9215.84974869997</v>
      </c>
      <c r="AA217" s="14" t="n">
        <f aca="false">MIN(R217:X217)</f>
        <v>1162.17147484157</v>
      </c>
    </row>
    <row r="218" customFormat="false" ht="15" hidden="false" customHeight="false" outlineLevel="0" collapsed="false">
      <c r="K218" s="2" t="n">
        <v>213</v>
      </c>
      <c r="L218" s="14" t="n">
        <f aca="true">$B$16+NORMINV(RAND(),0,SQRT($B$13*($B$7+$B$8^2))*$B$9*(1-$B$10))</f>
        <v>4462.91327944306</v>
      </c>
      <c r="M218" s="14" t="n">
        <f aca="true">$B$16+NORMINV(RAND(),0,SQRT($B$13*($B$7+$B$8^2))*$B$9*(1-$B$10))</f>
        <v>3865.58137730139</v>
      </c>
      <c r="N218" s="14" t="n">
        <f aca="true">$B$16+NORMINV(RAND(),0,SQRT($B$13*($B$7+$B$8^2))*$B$9*(1-$B$10))</f>
        <v>3886.9842613138</v>
      </c>
      <c r="O218" s="14" t="n">
        <f aca="true">$B$16+NORMINV(RAND(),0,SQRT($B$13*($B$7+$B$8^2))*$B$9*(1-$B$10))</f>
        <v>3622.7057225534</v>
      </c>
      <c r="P218" s="14" t="n">
        <f aca="true">$B$16+NORMINV(RAND(),0,SQRT($B$13*($B$7+$B$8^2))*$B$9*(1-$B$10))</f>
        <v>3947.27844475793</v>
      </c>
      <c r="Q218" s="14" t="n">
        <f aca="true">$B$16+NORMINV(RAND(),0,SQRT($B$13*($B$7+$B$8^2))*$B$9*(1-$B$10))</f>
        <v>4485.67880465922</v>
      </c>
      <c r="R218" s="14" t="n">
        <f aca="false">$B$4-13*($B$5+$B$6)/30-IF($B$11&lt;=13,$B$12,0)+0</f>
        <v>8876.66666666667</v>
      </c>
      <c r="S218" s="14" t="n">
        <f aca="false">$B$4-27*($B$5+$B$6)/30-IF($B$11&lt;=27,$B$12,0)+L218</f>
        <v>11052.9132794431</v>
      </c>
      <c r="T218" s="14" t="n">
        <f aca="false">$B$4-41*($B$5+$B$6)/30-IF($B$11&lt;=41,$B$12,0)+L218+M218</f>
        <v>1447.02799007778</v>
      </c>
      <c r="U218" s="14" t="n">
        <f aca="false">$B$4-55*($B$5+$B$6)/30-IF($B$11&lt;=55,$B$12,0)+L218+M218+N218</f>
        <v>3047.34558472492</v>
      </c>
      <c r="V218" s="14" t="n">
        <f aca="false">$B$4-69*($B$5+$B$6)/30-IF($B$11&lt;=69,$B$12,0)+L218+M218+N218+O218</f>
        <v>4383.38464061165</v>
      </c>
      <c r="W218" s="14" t="n">
        <f aca="false">$B$4-83*($B$5+$B$6)/30-IF($B$11&lt;=83,$B$12,0)+L218+M218+N218+O218+P218</f>
        <v>6043.99641870291</v>
      </c>
      <c r="X218" s="14" t="n">
        <f aca="false">$B$4-90*($B$5+$B$6)/30-IF($B$11&lt;=90,$B$12,0)+L218+M218+N218+O218+P218+Q218</f>
        <v>9386.3418900288</v>
      </c>
      <c r="AA218" s="14" t="n">
        <f aca="false">MIN(R218:X218)</f>
        <v>1447.02799007778</v>
      </c>
    </row>
    <row r="219" customFormat="false" ht="15" hidden="false" customHeight="false" outlineLevel="0" collapsed="false">
      <c r="K219" s="2" t="n">
        <v>214</v>
      </c>
      <c r="L219" s="14" t="n">
        <f aca="true">$B$16+NORMINV(RAND(),0,SQRT($B$13*($B$7+$B$8^2))*$B$9*(1-$B$10))</f>
        <v>3230.81606504551</v>
      </c>
      <c r="M219" s="14" t="n">
        <f aca="true">$B$16+NORMINV(RAND(),0,SQRT($B$13*($B$7+$B$8^2))*$B$9*(1-$B$10))</f>
        <v>3952.86637191963</v>
      </c>
      <c r="N219" s="14" t="n">
        <f aca="true">$B$16+NORMINV(RAND(),0,SQRT($B$13*($B$7+$B$8^2))*$B$9*(1-$B$10))</f>
        <v>3263.06445559829</v>
      </c>
      <c r="O219" s="14" t="n">
        <f aca="true">$B$16+NORMINV(RAND(),0,SQRT($B$13*($B$7+$B$8^2))*$B$9*(1-$B$10))</f>
        <v>4135.71768891608</v>
      </c>
      <c r="P219" s="14" t="n">
        <f aca="true">$B$16+NORMINV(RAND(),0,SQRT($B$13*($B$7+$B$8^2))*$B$9*(1-$B$10))</f>
        <v>4127.82975646201</v>
      </c>
      <c r="Q219" s="14" t="n">
        <f aca="true">$B$16+NORMINV(RAND(),0,SQRT($B$13*($B$7+$B$8^2))*$B$9*(1-$B$10))</f>
        <v>4045.29100284878</v>
      </c>
      <c r="R219" s="14" t="n">
        <f aca="false">$B$4-13*($B$5+$B$6)/30-IF($B$11&lt;=13,$B$12,0)+0</f>
        <v>8876.66666666667</v>
      </c>
      <c r="S219" s="14" t="n">
        <f aca="false">$B$4-27*($B$5+$B$6)/30-IF($B$11&lt;=27,$B$12,0)+L219</f>
        <v>9820.81606504551</v>
      </c>
      <c r="T219" s="14" t="n">
        <f aca="false">$B$4-41*($B$5+$B$6)/30-IF($B$11&lt;=41,$B$12,0)+L219+M219</f>
        <v>302.215770298471</v>
      </c>
      <c r="U219" s="14" t="n">
        <f aca="false">$B$4-55*($B$5+$B$6)/30-IF($B$11&lt;=55,$B$12,0)+L219+M219+N219</f>
        <v>1278.6135592301</v>
      </c>
      <c r="V219" s="14" t="n">
        <f aca="false">$B$4-69*($B$5+$B$6)/30-IF($B$11&lt;=69,$B$12,0)+L219+M219+N219+O219</f>
        <v>3127.66458147951</v>
      </c>
      <c r="W219" s="14" t="n">
        <f aca="false">$B$4-83*($B$5+$B$6)/30-IF($B$11&lt;=83,$B$12,0)+L219+M219+N219+O219+P219</f>
        <v>4968.82767127486</v>
      </c>
      <c r="X219" s="14" t="n">
        <f aca="false">$B$4-90*($B$5+$B$6)/30-IF($B$11&lt;=90,$B$12,0)+L219+M219+N219+O219+P219+Q219</f>
        <v>7870.7853407903</v>
      </c>
      <c r="AA219" s="14" t="n">
        <f aca="false">MIN(R219:X219)</f>
        <v>302.215770298471</v>
      </c>
    </row>
    <row r="220" customFormat="false" ht="15" hidden="false" customHeight="false" outlineLevel="0" collapsed="false">
      <c r="K220" s="2" t="n">
        <v>215</v>
      </c>
      <c r="L220" s="14" t="n">
        <f aca="true">$B$16+NORMINV(RAND(),0,SQRT($B$13*($B$7+$B$8^2))*$B$9*(1-$B$10))</f>
        <v>4610.65466916711</v>
      </c>
      <c r="M220" s="14" t="n">
        <f aca="true">$B$16+NORMINV(RAND(),0,SQRT($B$13*($B$7+$B$8^2))*$B$9*(1-$B$10))</f>
        <v>3878.65351597394</v>
      </c>
      <c r="N220" s="14" t="n">
        <f aca="true">$B$16+NORMINV(RAND(),0,SQRT($B$13*($B$7+$B$8^2))*$B$9*(1-$B$10))</f>
        <v>3318.95235258306</v>
      </c>
      <c r="O220" s="14" t="n">
        <f aca="true">$B$16+NORMINV(RAND(),0,SQRT($B$13*($B$7+$B$8^2))*$B$9*(1-$B$10))</f>
        <v>4201.19504023827</v>
      </c>
      <c r="P220" s="14" t="n">
        <f aca="true">$B$16+NORMINV(RAND(),0,SQRT($B$13*($B$7+$B$8^2))*$B$9*(1-$B$10))</f>
        <v>3976.51227023723</v>
      </c>
      <c r="Q220" s="14" t="n">
        <f aca="true">$B$16+NORMINV(RAND(),0,SQRT($B$13*($B$7+$B$8^2))*$B$9*(1-$B$10))</f>
        <v>3874.30360026525</v>
      </c>
      <c r="R220" s="14" t="n">
        <f aca="false">$B$4-13*($B$5+$B$6)/30-IF($B$11&lt;=13,$B$12,0)+0</f>
        <v>8876.66666666667</v>
      </c>
      <c r="S220" s="14" t="n">
        <f aca="false">$B$4-27*($B$5+$B$6)/30-IF($B$11&lt;=27,$B$12,0)+L220</f>
        <v>11200.6546691671</v>
      </c>
      <c r="T220" s="14" t="n">
        <f aca="false">$B$4-41*($B$5+$B$6)/30-IF($B$11&lt;=41,$B$12,0)+L220+M220</f>
        <v>1607.84151847438</v>
      </c>
      <c r="U220" s="14" t="n">
        <f aca="false">$B$4-55*($B$5+$B$6)/30-IF($B$11&lt;=55,$B$12,0)+L220+M220+N220</f>
        <v>2640.12720439077</v>
      </c>
      <c r="V220" s="14" t="n">
        <f aca="false">$B$4-69*($B$5+$B$6)/30-IF($B$11&lt;=69,$B$12,0)+L220+M220+N220+O220</f>
        <v>4554.65557796237</v>
      </c>
      <c r="W220" s="14" t="n">
        <f aca="false">$B$4-83*($B$5+$B$6)/30-IF($B$11&lt;=83,$B$12,0)+L220+M220+N220+O220+P220</f>
        <v>6244.50118153293</v>
      </c>
      <c r="X220" s="14" t="n">
        <f aca="false">$B$4-90*($B$5+$B$6)/30-IF($B$11&lt;=90,$B$12,0)+L220+M220+N220+O220+P220+Q220</f>
        <v>8975.47144846485</v>
      </c>
      <c r="AA220" s="14" t="n">
        <f aca="false">MIN(R220:X220)</f>
        <v>1607.84151847438</v>
      </c>
    </row>
    <row r="221" customFormat="false" ht="15" hidden="false" customHeight="false" outlineLevel="0" collapsed="false">
      <c r="K221" s="2" t="n">
        <v>216</v>
      </c>
      <c r="L221" s="14" t="n">
        <f aca="true">$B$16+NORMINV(RAND(),0,SQRT($B$13*($B$7+$B$8^2))*$B$9*(1-$B$10))</f>
        <v>3820.61034069056</v>
      </c>
      <c r="M221" s="14" t="n">
        <f aca="true">$B$16+NORMINV(RAND(),0,SQRT($B$13*($B$7+$B$8^2))*$B$9*(1-$B$10))</f>
        <v>4329.81574924991</v>
      </c>
      <c r="N221" s="14" t="n">
        <f aca="true">$B$16+NORMINV(RAND(),0,SQRT($B$13*($B$7+$B$8^2))*$B$9*(1-$B$10))</f>
        <v>3728.164428191</v>
      </c>
      <c r="O221" s="14" t="n">
        <f aca="true">$B$16+NORMINV(RAND(),0,SQRT($B$13*($B$7+$B$8^2))*$B$9*(1-$B$10))</f>
        <v>4223.88309350087</v>
      </c>
      <c r="P221" s="14" t="n">
        <f aca="true">$B$16+NORMINV(RAND(),0,SQRT($B$13*($B$7+$B$8^2))*$B$9*(1-$B$10))</f>
        <v>4401.95432271878</v>
      </c>
      <c r="Q221" s="14" t="n">
        <f aca="true">$B$16+NORMINV(RAND(),0,SQRT($B$13*($B$7+$B$8^2))*$B$9*(1-$B$10))</f>
        <v>3894.80313823909</v>
      </c>
      <c r="R221" s="14" t="n">
        <f aca="false">$B$4-13*($B$5+$B$6)/30-IF($B$11&lt;=13,$B$12,0)+0</f>
        <v>8876.66666666667</v>
      </c>
      <c r="S221" s="14" t="n">
        <f aca="false">$B$4-27*($B$5+$B$6)/30-IF($B$11&lt;=27,$B$12,0)+L221</f>
        <v>10410.6103406906</v>
      </c>
      <c r="T221" s="14" t="n">
        <f aca="false">$B$4-41*($B$5+$B$6)/30-IF($B$11&lt;=41,$B$12,0)+L221+M221</f>
        <v>1268.9594232738</v>
      </c>
      <c r="U221" s="14" t="n">
        <f aca="false">$B$4-55*($B$5+$B$6)/30-IF($B$11&lt;=55,$B$12,0)+L221+M221+N221</f>
        <v>2710.45718479813</v>
      </c>
      <c r="V221" s="14" t="n">
        <f aca="false">$B$4-69*($B$5+$B$6)/30-IF($B$11&lt;=69,$B$12,0)+L221+M221+N221+O221</f>
        <v>4647.67361163233</v>
      </c>
      <c r="W221" s="14" t="n">
        <f aca="false">$B$4-83*($B$5+$B$6)/30-IF($B$11&lt;=83,$B$12,0)+L221+M221+N221+O221+P221</f>
        <v>6762.96126768445</v>
      </c>
      <c r="X221" s="14" t="n">
        <f aca="false">$B$4-90*($B$5+$B$6)/30-IF($B$11&lt;=90,$B$12,0)+L221+M221+N221+O221+P221+Q221</f>
        <v>9514.4310725902</v>
      </c>
      <c r="AA221" s="14" t="n">
        <f aca="false">MIN(R221:X221)</f>
        <v>1268.9594232738</v>
      </c>
    </row>
    <row r="222" customFormat="false" ht="15" hidden="false" customHeight="false" outlineLevel="0" collapsed="false">
      <c r="K222" s="2" t="n">
        <v>217</v>
      </c>
      <c r="L222" s="14" t="n">
        <f aca="true">$B$16+NORMINV(RAND(),0,SQRT($B$13*($B$7+$B$8^2))*$B$9*(1-$B$10))</f>
        <v>3536.30412777578</v>
      </c>
      <c r="M222" s="14" t="n">
        <f aca="true">$B$16+NORMINV(RAND(),0,SQRT($B$13*($B$7+$B$8^2))*$B$9*(1-$B$10))</f>
        <v>3744.17874435707</v>
      </c>
      <c r="N222" s="14" t="n">
        <f aca="true">$B$16+NORMINV(RAND(),0,SQRT($B$13*($B$7+$B$8^2))*$B$9*(1-$B$10))</f>
        <v>4181.93878851495</v>
      </c>
      <c r="O222" s="14" t="n">
        <f aca="true">$B$16+NORMINV(RAND(),0,SQRT($B$13*($B$7+$B$8^2))*$B$9*(1-$B$10))</f>
        <v>3997.59298324883</v>
      </c>
      <c r="P222" s="14" t="n">
        <f aca="true">$B$16+NORMINV(RAND(),0,SQRT($B$13*($B$7+$B$8^2))*$B$9*(1-$B$10))</f>
        <v>4318.31135365189</v>
      </c>
      <c r="Q222" s="14" t="n">
        <f aca="true">$B$16+NORMINV(RAND(),0,SQRT($B$13*($B$7+$B$8^2))*$B$9*(1-$B$10))</f>
        <v>3309.31172101896</v>
      </c>
      <c r="R222" s="14" t="n">
        <f aca="false">$B$4-13*($B$5+$B$6)/30-IF($B$11&lt;=13,$B$12,0)+0</f>
        <v>8876.66666666667</v>
      </c>
      <c r="S222" s="14" t="n">
        <f aca="false">$B$4-27*($B$5+$B$6)/30-IF($B$11&lt;=27,$B$12,0)+L222</f>
        <v>10126.3041277758</v>
      </c>
      <c r="T222" s="14" t="n">
        <f aca="false">$B$4-41*($B$5+$B$6)/30-IF($B$11&lt;=41,$B$12,0)+L222+M222</f>
        <v>399.016205466185</v>
      </c>
      <c r="U222" s="14" t="n">
        <f aca="false">$B$4-55*($B$5+$B$6)/30-IF($B$11&lt;=55,$B$12,0)+L222+M222+N222</f>
        <v>2294.28832731446</v>
      </c>
      <c r="V222" s="14" t="n">
        <f aca="false">$B$4-69*($B$5+$B$6)/30-IF($B$11&lt;=69,$B$12,0)+L222+M222+N222+O222</f>
        <v>4005.21464389663</v>
      </c>
      <c r="W222" s="14" t="n">
        <f aca="false">$B$4-83*($B$5+$B$6)/30-IF($B$11&lt;=83,$B$12,0)+L222+M222+N222+O222+P222</f>
        <v>6036.85933088186</v>
      </c>
      <c r="X222" s="14" t="n">
        <f aca="false">$B$4-90*($B$5+$B$6)/30-IF($B$11&lt;=90,$B$12,0)+L222+M222+N222+O222+P222+Q222</f>
        <v>8202.83771856749</v>
      </c>
      <c r="AA222" s="14" t="n">
        <f aca="false">MIN(R222:X222)</f>
        <v>399.016205466185</v>
      </c>
    </row>
    <row r="223" customFormat="false" ht="15" hidden="false" customHeight="false" outlineLevel="0" collapsed="false">
      <c r="K223" s="2" t="n">
        <v>218</v>
      </c>
      <c r="L223" s="14" t="n">
        <f aca="true">$B$16+NORMINV(RAND(),0,SQRT($B$13*($B$7+$B$8^2))*$B$9*(1-$B$10))</f>
        <v>4092.0908456388</v>
      </c>
      <c r="M223" s="14" t="n">
        <f aca="true">$B$16+NORMINV(RAND(),0,SQRT($B$13*($B$7+$B$8^2))*$B$9*(1-$B$10))</f>
        <v>3445.45071218716</v>
      </c>
      <c r="N223" s="14" t="n">
        <f aca="true">$B$16+NORMINV(RAND(),0,SQRT($B$13*($B$7+$B$8^2))*$B$9*(1-$B$10))</f>
        <v>4163.61571541502</v>
      </c>
      <c r="O223" s="14" t="n">
        <f aca="true">$B$16+NORMINV(RAND(),0,SQRT($B$13*($B$7+$B$8^2))*$B$9*(1-$B$10))</f>
        <v>3800.76334362694</v>
      </c>
      <c r="P223" s="14" t="n">
        <f aca="true">$B$16+NORMINV(RAND(),0,SQRT($B$13*($B$7+$B$8^2))*$B$9*(1-$B$10))</f>
        <v>3965.97377282638</v>
      </c>
      <c r="Q223" s="14" t="n">
        <f aca="true">$B$16+NORMINV(RAND(),0,SQRT($B$13*($B$7+$B$8^2))*$B$9*(1-$B$10))</f>
        <v>3916.71294444314</v>
      </c>
      <c r="R223" s="14" t="n">
        <f aca="false">$B$4-13*($B$5+$B$6)/30-IF($B$11&lt;=13,$B$12,0)+0</f>
        <v>8876.66666666667</v>
      </c>
      <c r="S223" s="14" t="n">
        <f aca="false">$B$4-27*($B$5+$B$6)/30-IF($B$11&lt;=27,$B$12,0)+L223</f>
        <v>10682.0908456388</v>
      </c>
      <c r="T223" s="14" t="n">
        <f aca="false">$B$4-41*($B$5+$B$6)/30-IF($B$11&lt;=41,$B$12,0)+L223+M223</f>
        <v>656.074891159293</v>
      </c>
      <c r="U223" s="14" t="n">
        <f aca="false">$B$4-55*($B$5+$B$6)/30-IF($B$11&lt;=55,$B$12,0)+L223+M223+N223</f>
        <v>2533.02393990765</v>
      </c>
      <c r="V223" s="14" t="n">
        <f aca="false">$B$4-69*($B$5+$B$6)/30-IF($B$11&lt;=69,$B$12,0)+L223+M223+N223+O223</f>
        <v>4047.12061686792</v>
      </c>
      <c r="W223" s="14" t="n">
        <f aca="false">$B$4-83*($B$5+$B$6)/30-IF($B$11&lt;=83,$B$12,0)+L223+M223+N223+O223+P223</f>
        <v>5726.42772302763</v>
      </c>
      <c r="X223" s="14" t="n">
        <f aca="false">$B$4-90*($B$5+$B$6)/30-IF($B$11&lt;=90,$B$12,0)+L223+M223+N223+O223+P223+Q223</f>
        <v>8499.80733413744</v>
      </c>
      <c r="AA223" s="14" t="n">
        <f aca="false">MIN(R223:X223)</f>
        <v>656.074891159293</v>
      </c>
    </row>
    <row r="224" customFormat="false" ht="15" hidden="false" customHeight="false" outlineLevel="0" collapsed="false">
      <c r="K224" s="2" t="n">
        <v>219</v>
      </c>
      <c r="L224" s="14" t="n">
        <f aca="true">$B$16+NORMINV(RAND(),0,SQRT($B$13*($B$7+$B$8^2))*$B$9*(1-$B$10))</f>
        <v>4227.3140142546</v>
      </c>
      <c r="M224" s="14" t="n">
        <f aca="true">$B$16+NORMINV(RAND(),0,SQRT($B$13*($B$7+$B$8^2))*$B$9*(1-$B$10))</f>
        <v>4064.17442637915</v>
      </c>
      <c r="N224" s="14" t="n">
        <f aca="true">$B$16+NORMINV(RAND(),0,SQRT($B$13*($B$7+$B$8^2))*$B$9*(1-$B$10))</f>
        <v>4220.4629405058</v>
      </c>
      <c r="O224" s="14" t="n">
        <f aca="true">$B$16+NORMINV(RAND(),0,SQRT($B$13*($B$7+$B$8^2))*$B$9*(1-$B$10))</f>
        <v>4007.57594233627</v>
      </c>
      <c r="P224" s="14" t="n">
        <f aca="true">$B$16+NORMINV(RAND(),0,SQRT($B$13*($B$7+$B$8^2))*$B$9*(1-$B$10))</f>
        <v>3131.60202793627</v>
      </c>
      <c r="Q224" s="14" t="n">
        <f aca="true">$B$16+NORMINV(RAND(),0,SQRT($B$13*($B$7+$B$8^2))*$B$9*(1-$B$10))</f>
        <v>4214.27338616948</v>
      </c>
      <c r="R224" s="14" t="n">
        <f aca="false">$B$4-13*($B$5+$B$6)/30-IF($B$11&lt;=13,$B$12,0)+0</f>
        <v>8876.66666666667</v>
      </c>
      <c r="S224" s="14" t="n">
        <f aca="false">$B$4-27*($B$5+$B$6)/30-IF($B$11&lt;=27,$B$12,0)+L224</f>
        <v>10817.3140142546</v>
      </c>
      <c r="T224" s="14" t="n">
        <f aca="false">$B$4-41*($B$5+$B$6)/30-IF($B$11&lt;=41,$B$12,0)+L224+M224</f>
        <v>1410.02177396708</v>
      </c>
      <c r="U224" s="14" t="n">
        <f aca="false">$B$4-55*($B$5+$B$6)/30-IF($B$11&lt;=55,$B$12,0)+L224+M224+N224</f>
        <v>3343.81804780622</v>
      </c>
      <c r="V224" s="14" t="n">
        <f aca="false">$B$4-69*($B$5+$B$6)/30-IF($B$11&lt;=69,$B$12,0)+L224+M224+N224+O224</f>
        <v>5064.72732347582</v>
      </c>
      <c r="W224" s="14" t="n">
        <f aca="false">$B$4-83*($B$5+$B$6)/30-IF($B$11&lt;=83,$B$12,0)+L224+M224+N224+O224+P224</f>
        <v>5909.66268474542</v>
      </c>
      <c r="X224" s="14" t="n">
        <f aca="false">$B$4-90*($B$5+$B$6)/30-IF($B$11&lt;=90,$B$12,0)+L224+M224+N224+O224+P224+Q224</f>
        <v>8980.60273758157</v>
      </c>
      <c r="AA224" s="14" t="n">
        <f aca="false">MIN(R224:X224)</f>
        <v>1410.02177396708</v>
      </c>
    </row>
    <row r="225" customFormat="false" ht="15" hidden="false" customHeight="false" outlineLevel="0" collapsed="false">
      <c r="K225" s="2" t="n">
        <v>220</v>
      </c>
      <c r="L225" s="14" t="n">
        <f aca="true">$B$16+NORMINV(RAND(),0,SQRT($B$13*($B$7+$B$8^2))*$B$9*(1-$B$10))</f>
        <v>4686.65283797491</v>
      </c>
      <c r="M225" s="14" t="n">
        <f aca="true">$B$16+NORMINV(RAND(),0,SQRT($B$13*($B$7+$B$8^2))*$B$9*(1-$B$10))</f>
        <v>3859.17912994672</v>
      </c>
      <c r="N225" s="14" t="n">
        <f aca="true">$B$16+NORMINV(RAND(),0,SQRT($B$13*($B$7+$B$8^2))*$B$9*(1-$B$10))</f>
        <v>4202.03403412112</v>
      </c>
      <c r="O225" s="14" t="n">
        <f aca="true">$B$16+NORMINV(RAND(),0,SQRT($B$13*($B$7+$B$8^2))*$B$9*(1-$B$10))</f>
        <v>3943.39290559826</v>
      </c>
      <c r="P225" s="14" t="n">
        <f aca="true">$B$16+NORMINV(RAND(),0,SQRT($B$13*($B$7+$B$8^2))*$B$9*(1-$B$10))</f>
        <v>3811.93064393423</v>
      </c>
      <c r="Q225" s="14" t="n">
        <f aca="true">$B$16+NORMINV(RAND(),0,SQRT($B$13*($B$7+$B$8^2))*$B$9*(1-$B$10))</f>
        <v>3955.48268724699</v>
      </c>
      <c r="R225" s="14" t="n">
        <f aca="false">$B$4-13*($B$5+$B$6)/30-IF($B$11&lt;=13,$B$12,0)+0</f>
        <v>8876.66666666667</v>
      </c>
      <c r="S225" s="14" t="n">
        <f aca="false">$B$4-27*($B$5+$B$6)/30-IF($B$11&lt;=27,$B$12,0)+L225</f>
        <v>11276.6528379749</v>
      </c>
      <c r="T225" s="14" t="n">
        <f aca="false">$B$4-41*($B$5+$B$6)/30-IF($B$11&lt;=41,$B$12,0)+L225+M225</f>
        <v>1664.36530125496</v>
      </c>
      <c r="U225" s="14" t="n">
        <f aca="false">$B$4-55*($B$5+$B$6)/30-IF($B$11&lt;=55,$B$12,0)+L225+M225+N225</f>
        <v>3579.73266870941</v>
      </c>
      <c r="V225" s="14" t="n">
        <f aca="false">$B$4-69*($B$5+$B$6)/30-IF($B$11&lt;=69,$B$12,0)+L225+M225+N225+O225</f>
        <v>5236.45890764101</v>
      </c>
      <c r="W225" s="14" t="n">
        <f aca="false">$B$4-83*($B$5+$B$6)/30-IF($B$11&lt;=83,$B$12,0)+L225+M225+N225+O225+P225</f>
        <v>6761.72288490857</v>
      </c>
      <c r="X225" s="14" t="n">
        <f aca="false">$B$4-90*($B$5+$B$6)/30-IF($B$11&lt;=90,$B$12,0)+L225+M225+N225+O225+P225+Q225</f>
        <v>9573.87223882223</v>
      </c>
      <c r="AA225" s="14" t="n">
        <f aca="false">MIN(R225:X225)</f>
        <v>1664.36530125496</v>
      </c>
    </row>
    <row r="226" customFormat="false" ht="15" hidden="false" customHeight="false" outlineLevel="0" collapsed="false">
      <c r="K226" s="2" t="n">
        <v>221</v>
      </c>
      <c r="L226" s="14" t="n">
        <f aca="true">$B$16+NORMINV(RAND(),0,SQRT($B$13*($B$7+$B$8^2))*$B$9*(1-$B$10))</f>
        <v>4486.89234134357</v>
      </c>
      <c r="M226" s="14" t="n">
        <f aca="true">$B$16+NORMINV(RAND(),0,SQRT($B$13*($B$7+$B$8^2))*$B$9*(1-$B$10))</f>
        <v>3784.47288893149</v>
      </c>
      <c r="N226" s="14" t="n">
        <f aca="true">$B$16+NORMINV(RAND(),0,SQRT($B$13*($B$7+$B$8^2))*$B$9*(1-$B$10))</f>
        <v>4081.06506154702</v>
      </c>
      <c r="O226" s="14" t="n">
        <f aca="true">$B$16+NORMINV(RAND(),0,SQRT($B$13*($B$7+$B$8^2))*$B$9*(1-$B$10))</f>
        <v>4196.52172755457</v>
      </c>
      <c r="P226" s="14" t="n">
        <f aca="true">$B$16+NORMINV(RAND(),0,SQRT($B$13*($B$7+$B$8^2))*$B$9*(1-$B$10))</f>
        <v>3604.05601864095</v>
      </c>
      <c r="Q226" s="14" t="n">
        <f aca="true">$B$16+NORMINV(RAND(),0,SQRT($B$13*($B$7+$B$8^2))*$B$9*(1-$B$10))</f>
        <v>4396.74121437662</v>
      </c>
      <c r="R226" s="14" t="n">
        <f aca="false">$B$4-13*($B$5+$B$6)/30-IF($B$11&lt;=13,$B$12,0)+0</f>
        <v>8876.66666666667</v>
      </c>
      <c r="S226" s="14" t="n">
        <f aca="false">$B$4-27*($B$5+$B$6)/30-IF($B$11&lt;=27,$B$12,0)+L226</f>
        <v>11076.8923413436</v>
      </c>
      <c r="T226" s="14" t="n">
        <f aca="false">$B$4-41*($B$5+$B$6)/30-IF($B$11&lt;=41,$B$12,0)+L226+M226</f>
        <v>1389.89856360839</v>
      </c>
      <c r="U226" s="14" t="n">
        <f aca="false">$B$4-55*($B$5+$B$6)/30-IF($B$11&lt;=55,$B$12,0)+L226+M226+N226</f>
        <v>3184.29695848874</v>
      </c>
      <c r="V226" s="14" t="n">
        <f aca="false">$B$4-69*($B$5+$B$6)/30-IF($B$11&lt;=69,$B$12,0)+L226+M226+N226+O226</f>
        <v>5094.15201937664</v>
      </c>
      <c r="W226" s="14" t="n">
        <f aca="false">$B$4-83*($B$5+$B$6)/30-IF($B$11&lt;=83,$B$12,0)+L226+M226+N226+O226+P226</f>
        <v>6411.54137135093</v>
      </c>
      <c r="X226" s="14" t="n">
        <f aca="false">$B$4-90*($B$5+$B$6)/30-IF($B$11&lt;=90,$B$12,0)+L226+M226+N226+O226+P226+Q226</f>
        <v>9664.94925239422</v>
      </c>
      <c r="AA226" s="14" t="n">
        <f aca="false">MIN(R226:X226)</f>
        <v>1389.89856360839</v>
      </c>
    </row>
    <row r="227" customFormat="false" ht="15" hidden="false" customHeight="false" outlineLevel="0" collapsed="false">
      <c r="K227" s="2" t="n">
        <v>222</v>
      </c>
      <c r="L227" s="14" t="n">
        <f aca="true">$B$16+NORMINV(RAND(),0,SQRT($B$13*($B$7+$B$8^2))*$B$9*(1-$B$10))</f>
        <v>4281.42543500981</v>
      </c>
      <c r="M227" s="14" t="n">
        <f aca="true">$B$16+NORMINV(RAND(),0,SQRT($B$13*($B$7+$B$8^2))*$B$9*(1-$B$10))</f>
        <v>4225.75310515102</v>
      </c>
      <c r="N227" s="14" t="n">
        <f aca="true">$B$16+NORMINV(RAND(),0,SQRT($B$13*($B$7+$B$8^2))*$B$9*(1-$B$10))</f>
        <v>3720.83286746997</v>
      </c>
      <c r="O227" s="14" t="n">
        <f aca="true">$B$16+NORMINV(RAND(),0,SQRT($B$13*($B$7+$B$8^2))*$B$9*(1-$B$10))</f>
        <v>4363.95332361747</v>
      </c>
      <c r="P227" s="14" t="n">
        <f aca="true">$B$16+NORMINV(RAND(),0,SQRT($B$13*($B$7+$B$8^2))*$B$9*(1-$B$10))</f>
        <v>4107.36941636586</v>
      </c>
      <c r="Q227" s="14" t="n">
        <f aca="true">$B$16+NORMINV(RAND(),0,SQRT($B$13*($B$7+$B$8^2))*$B$9*(1-$B$10))</f>
        <v>4379.79194206031</v>
      </c>
      <c r="R227" s="14" t="n">
        <f aca="false">$B$4-13*($B$5+$B$6)/30-IF($B$11&lt;=13,$B$12,0)+0</f>
        <v>8876.66666666667</v>
      </c>
      <c r="S227" s="14" t="n">
        <f aca="false">$B$4-27*($B$5+$B$6)/30-IF($B$11&lt;=27,$B$12,0)+L227</f>
        <v>10871.4254350098</v>
      </c>
      <c r="T227" s="14" t="n">
        <f aca="false">$B$4-41*($B$5+$B$6)/30-IF($B$11&lt;=41,$B$12,0)+L227+M227</f>
        <v>1625.71187349416</v>
      </c>
      <c r="U227" s="14" t="n">
        <f aca="false">$B$4-55*($B$5+$B$6)/30-IF($B$11&lt;=55,$B$12,0)+L227+M227+N227</f>
        <v>3059.87807429747</v>
      </c>
      <c r="V227" s="14" t="n">
        <f aca="false">$B$4-69*($B$5+$B$6)/30-IF($B$11&lt;=69,$B$12,0)+L227+M227+N227+O227</f>
        <v>5137.16473124827</v>
      </c>
      <c r="W227" s="14" t="n">
        <f aca="false">$B$4-83*($B$5+$B$6)/30-IF($B$11&lt;=83,$B$12,0)+L227+M227+N227+O227+P227</f>
        <v>6957.86748094746</v>
      </c>
      <c r="X227" s="14" t="n">
        <f aca="false">$B$4-90*($B$5+$B$6)/30-IF($B$11&lt;=90,$B$12,0)+L227+M227+N227+O227+P227+Q227</f>
        <v>10194.3260896744</v>
      </c>
      <c r="AA227" s="14" t="n">
        <f aca="false">MIN(R227:X227)</f>
        <v>1625.71187349416</v>
      </c>
    </row>
    <row r="228" customFormat="false" ht="15" hidden="false" customHeight="false" outlineLevel="0" collapsed="false">
      <c r="K228" s="2" t="n">
        <v>223</v>
      </c>
      <c r="L228" s="14" t="n">
        <f aca="true">$B$16+NORMINV(RAND(),0,SQRT($B$13*($B$7+$B$8^2))*$B$9*(1-$B$10))</f>
        <v>4075.85433347834</v>
      </c>
      <c r="M228" s="14" t="n">
        <f aca="true">$B$16+NORMINV(RAND(),0,SQRT($B$13*($B$7+$B$8^2))*$B$9*(1-$B$10))</f>
        <v>4551.23753227145</v>
      </c>
      <c r="N228" s="14" t="n">
        <f aca="true">$B$16+NORMINV(RAND(),0,SQRT($B$13*($B$7+$B$8^2))*$B$9*(1-$B$10))</f>
        <v>4135.52898556142</v>
      </c>
      <c r="O228" s="14" t="n">
        <f aca="true">$B$16+NORMINV(RAND(),0,SQRT($B$13*($B$7+$B$8^2))*$B$9*(1-$B$10))</f>
        <v>3935.50689189229</v>
      </c>
      <c r="P228" s="14" t="n">
        <f aca="true">$B$16+NORMINV(RAND(),0,SQRT($B$13*($B$7+$B$8^2))*$B$9*(1-$B$10))</f>
        <v>4008.76178254629</v>
      </c>
      <c r="Q228" s="14" t="n">
        <f aca="true">$B$16+NORMINV(RAND(),0,SQRT($B$13*($B$7+$B$8^2))*$B$9*(1-$B$10))</f>
        <v>3777.5651850953</v>
      </c>
      <c r="R228" s="14" t="n">
        <f aca="false">$B$4-13*($B$5+$B$6)/30-IF($B$11&lt;=13,$B$12,0)+0</f>
        <v>8876.66666666667</v>
      </c>
      <c r="S228" s="14" t="n">
        <f aca="false">$B$4-27*($B$5+$B$6)/30-IF($B$11&lt;=27,$B$12,0)+L228</f>
        <v>10665.8543334783</v>
      </c>
      <c r="T228" s="14" t="n">
        <f aca="false">$B$4-41*($B$5+$B$6)/30-IF($B$11&lt;=41,$B$12,0)+L228+M228</f>
        <v>1745.62519908313</v>
      </c>
      <c r="U228" s="14" t="n">
        <f aca="false">$B$4-55*($B$5+$B$6)/30-IF($B$11&lt;=55,$B$12,0)+L228+M228+N228</f>
        <v>3594.48751797788</v>
      </c>
      <c r="V228" s="14" t="n">
        <f aca="false">$B$4-69*($B$5+$B$6)/30-IF($B$11&lt;=69,$B$12,0)+L228+M228+N228+O228</f>
        <v>5243.32774320351</v>
      </c>
      <c r="W228" s="14" t="n">
        <f aca="false">$B$4-83*($B$5+$B$6)/30-IF($B$11&lt;=83,$B$12,0)+L228+M228+N228+O228+P228</f>
        <v>6965.42285908313</v>
      </c>
      <c r="X228" s="14" t="n">
        <f aca="false">$B$4-90*($B$5+$B$6)/30-IF($B$11&lt;=90,$B$12,0)+L228+M228+N228+O228+P228+Q228</f>
        <v>9599.6547108451</v>
      </c>
      <c r="AA228" s="14" t="n">
        <f aca="false">MIN(R228:X228)</f>
        <v>1745.62519908313</v>
      </c>
    </row>
    <row r="229" customFormat="false" ht="15" hidden="false" customHeight="false" outlineLevel="0" collapsed="false">
      <c r="K229" s="2" t="n">
        <v>224</v>
      </c>
      <c r="L229" s="14" t="n">
        <f aca="true">$B$16+NORMINV(RAND(),0,SQRT($B$13*($B$7+$B$8^2))*$B$9*(1-$B$10))</f>
        <v>4483.95243213008</v>
      </c>
      <c r="M229" s="14" t="n">
        <f aca="true">$B$16+NORMINV(RAND(),0,SQRT($B$13*($B$7+$B$8^2))*$B$9*(1-$B$10))</f>
        <v>4321.79266730368</v>
      </c>
      <c r="N229" s="14" t="n">
        <f aca="true">$B$16+NORMINV(RAND(),0,SQRT($B$13*($B$7+$B$8^2))*$B$9*(1-$B$10))</f>
        <v>4295.1746976193</v>
      </c>
      <c r="O229" s="14" t="n">
        <f aca="true">$B$16+NORMINV(RAND(),0,SQRT($B$13*($B$7+$B$8^2))*$B$9*(1-$B$10))</f>
        <v>3689.12927017648</v>
      </c>
      <c r="P229" s="14" t="n">
        <f aca="true">$B$16+NORMINV(RAND(),0,SQRT($B$13*($B$7+$B$8^2))*$B$9*(1-$B$10))</f>
        <v>3949.00516210453</v>
      </c>
      <c r="Q229" s="14" t="n">
        <f aca="true">$B$16+NORMINV(RAND(),0,SQRT($B$13*($B$7+$B$8^2))*$B$9*(1-$B$10))</f>
        <v>4125.48688631647</v>
      </c>
      <c r="R229" s="14" t="n">
        <f aca="false">$B$4-13*($B$5+$B$6)/30-IF($B$11&lt;=13,$B$12,0)+0</f>
        <v>8876.66666666667</v>
      </c>
      <c r="S229" s="14" t="n">
        <f aca="false">$B$4-27*($B$5+$B$6)/30-IF($B$11&lt;=27,$B$12,0)+L229</f>
        <v>11073.9524321301</v>
      </c>
      <c r="T229" s="14" t="n">
        <f aca="false">$B$4-41*($B$5+$B$6)/30-IF($B$11&lt;=41,$B$12,0)+L229+M229</f>
        <v>1924.2784327671</v>
      </c>
      <c r="U229" s="14" t="n">
        <f aca="false">$B$4-55*($B$5+$B$6)/30-IF($B$11&lt;=55,$B$12,0)+L229+M229+N229</f>
        <v>3932.78646371973</v>
      </c>
      <c r="V229" s="14" t="n">
        <f aca="false">$B$4-69*($B$5+$B$6)/30-IF($B$11&lt;=69,$B$12,0)+L229+M229+N229+O229</f>
        <v>5335.24906722955</v>
      </c>
      <c r="W229" s="14" t="n">
        <f aca="false">$B$4-83*($B$5+$B$6)/30-IF($B$11&lt;=83,$B$12,0)+L229+M229+N229+O229+P229</f>
        <v>6997.58756266741</v>
      </c>
      <c r="X229" s="14" t="n">
        <f aca="false">$B$4-90*($B$5+$B$6)/30-IF($B$11&lt;=90,$B$12,0)+L229+M229+N229+O229+P229+Q229</f>
        <v>9979.74111565054</v>
      </c>
      <c r="AA229" s="14" t="n">
        <f aca="false">MIN(R229:X229)</f>
        <v>1924.2784327671</v>
      </c>
    </row>
    <row r="230" customFormat="false" ht="15" hidden="false" customHeight="false" outlineLevel="0" collapsed="false">
      <c r="K230" s="2" t="n">
        <v>225</v>
      </c>
      <c r="L230" s="14" t="n">
        <f aca="true">$B$16+NORMINV(RAND(),0,SQRT($B$13*($B$7+$B$8^2))*$B$9*(1-$B$10))</f>
        <v>4270.31017861417</v>
      </c>
      <c r="M230" s="14" t="n">
        <f aca="true">$B$16+NORMINV(RAND(),0,SQRT($B$13*($B$7+$B$8^2))*$B$9*(1-$B$10))</f>
        <v>3855.45138081753</v>
      </c>
      <c r="N230" s="14" t="n">
        <f aca="true">$B$16+NORMINV(RAND(),0,SQRT($B$13*($B$7+$B$8^2))*$B$9*(1-$B$10))</f>
        <v>4011.19711668709</v>
      </c>
      <c r="O230" s="14" t="n">
        <f aca="true">$B$16+NORMINV(RAND(),0,SQRT($B$13*($B$7+$B$8^2))*$B$9*(1-$B$10))</f>
        <v>4373.68507604536</v>
      </c>
      <c r="P230" s="14" t="n">
        <f aca="true">$B$16+NORMINV(RAND(),0,SQRT($B$13*($B$7+$B$8^2))*$B$9*(1-$B$10))</f>
        <v>4951.0800366383</v>
      </c>
      <c r="Q230" s="14" t="n">
        <f aca="true">$B$16+NORMINV(RAND(),0,SQRT($B$13*($B$7+$B$8^2))*$B$9*(1-$B$10))</f>
        <v>4400.61657788131</v>
      </c>
      <c r="R230" s="14" t="n">
        <f aca="false">$B$4-13*($B$5+$B$6)/30-IF($B$11&lt;=13,$B$12,0)+0</f>
        <v>8876.66666666667</v>
      </c>
      <c r="S230" s="14" t="n">
        <f aca="false">$B$4-27*($B$5+$B$6)/30-IF($B$11&lt;=27,$B$12,0)+L230</f>
        <v>10860.3101786142</v>
      </c>
      <c r="T230" s="14" t="n">
        <f aca="false">$B$4-41*($B$5+$B$6)/30-IF($B$11&lt;=41,$B$12,0)+L230+M230</f>
        <v>1244.29489276503</v>
      </c>
      <c r="U230" s="14" t="n">
        <f aca="false">$B$4-55*($B$5+$B$6)/30-IF($B$11&lt;=55,$B$12,0)+L230+M230+N230</f>
        <v>2968.82534278546</v>
      </c>
      <c r="V230" s="14" t="n">
        <f aca="false">$B$4-69*($B$5+$B$6)/30-IF($B$11&lt;=69,$B$12,0)+L230+M230+N230+O230</f>
        <v>5055.84375216415</v>
      </c>
      <c r="W230" s="14" t="n">
        <f aca="false">$B$4-83*($B$5+$B$6)/30-IF($B$11&lt;=83,$B$12,0)+L230+M230+N230+O230+P230</f>
        <v>7720.25712213578</v>
      </c>
      <c r="X230" s="14" t="n">
        <f aca="false">$B$4-90*($B$5+$B$6)/30-IF($B$11&lt;=90,$B$12,0)+L230+M230+N230+O230+P230+Q230</f>
        <v>10977.5403666838</v>
      </c>
      <c r="AA230" s="14" t="n">
        <f aca="false">MIN(R230:X230)</f>
        <v>1244.29489276503</v>
      </c>
    </row>
    <row r="231" customFormat="false" ht="15" hidden="false" customHeight="false" outlineLevel="0" collapsed="false">
      <c r="K231" s="2" t="n">
        <v>226</v>
      </c>
      <c r="L231" s="14" t="n">
        <f aca="true">$B$16+NORMINV(RAND(),0,SQRT($B$13*($B$7+$B$8^2))*$B$9*(1-$B$10))</f>
        <v>3367.4725808549</v>
      </c>
      <c r="M231" s="14" t="n">
        <f aca="true">$B$16+NORMINV(RAND(),0,SQRT($B$13*($B$7+$B$8^2))*$B$9*(1-$B$10))</f>
        <v>3816.9654977492</v>
      </c>
      <c r="N231" s="14" t="n">
        <f aca="true">$B$16+NORMINV(RAND(),0,SQRT($B$13*($B$7+$B$8^2))*$B$9*(1-$B$10))</f>
        <v>4387.43448403737</v>
      </c>
      <c r="O231" s="14" t="n">
        <f aca="true">$B$16+NORMINV(RAND(),0,SQRT($B$13*($B$7+$B$8^2))*$B$9*(1-$B$10))</f>
        <v>3888.38004862838</v>
      </c>
      <c r="P231" s="14" t="n">
        <f aca="true">$B$16+NORMINV(RAND(),0,SQRT($B$13*($B$7+$B$8^2))*$B$9*(1-$B$10))</f>
        <v>4184.60193353112</v>
      </c>
      <c r="Q231" s="14" t="n">
        <f aca="true">$B$16+NORMINV(RAND(),0,SQRT($B$13*($B$7+$B$8^2))*$B$9*(1-$B$10))</f>
        <v>4313.34180986799</v>
      </c>
      <c r="R231" s="14" t="n">
        <f aca="false">$B$4-13*($B$5+$B$6)/30-IF($B$11&lt;=13,$B$12,0)+0</f>
        <v>8876.66666666667</v>
      </c>
      <c r="S231" s="14" t="n">
        <f aca="false">$B$4-27*($B$5+$B$6)/30-IF($B$11&lt;=27,$B$12,0)+L231</f>
        <v>9957.4725808549</v>
      </c>
      <c r="T231" s="14" t="n">
        <f aca="false">$B$4-41*($B$5+$B$6)/30-IF($B$11&lt;=41,$B$12,0)+L231+M231</f>
        <v>302.971411937435</v>
      </c>
      <c r="U231" s="14" t="n">
        <f aca="false">$B$4-55*($B$5+$B$6)/30-IF($B$11&lt;=55,$B$12,0)+L231+M231+N231</f>
        <v>2403.73922930813</v>
      </c>
      <c r="V231" s="14" t="n">
        <f aca="false">$B$4-69*($B$5+$B$6)/30-IF($B$11&lt;=69,$B$12,0)+L231+M231+N231+O231</f>
        <v>4005.45261126984</v>
      </c>
      <c r="W231" s="14" t="n">
        <f aca="false">$B$4-83*($B$5+$B$6)/30-IF($B$11&lt;=83,$B$12,0)+L231+M231+N231+O231+P231</f>
        <v>5903.3878781343</v>
      </c>
      <c r="X231" s="14" t="n">
        <f aca="false">$B$4-90*($B$5+$B$6)/30-IF($B$11&lt;=90,$B$12,0)+L231+M231+N231+O231+P231+Q231</f>
        <v>9073.39635466895</v>
      </c>
      <c r="AA231" s="14" t="n">
        <f aca="false">MIN(R231:X231)</f>
        <v>302.971411937435</v>
      </c>
    </row>
    <row r="232" customFormat="false" ht="15" hidden="false" customHeight="false" outlineLevel="0" collapsed="false">
      <c r="K232" s="2" t="n">
        <v>227</v>
      </c>
      <c r="L232" s="14" t="n">
        <f aca="true">$B$16+NORMINV(RAND(),0,SQRT($B$13*($B$7+$B$8^2))*$B$9*(1-$B$10))</f>
        <v>3623.96760098859</v>
      </c>
      <c r="M232" s="14" t="n">
        <f aca="true">$B$16+NORMINV(RAND(),0,SQRT($B$13*($B$7+$B$8^2))*$B$9*(1-$B$10))</f>
        <v>4121.99919446056</v>
      </c>
      <c r="N232" s="14" t="n">
        <f aca="true">$B$16+NORMINV(RAND(),0,SQRT($B$13*($B$7+$B$8^2))*$B$9*(1-$B$10))</f>
        <v>3286.69424664688</v>
      </c>
      <c r="O232" s="14" t="n">
        <f aca="true">$B$16+NORMINV(RAND(),0,SQRT($B$13*($B$7+$B$8^2))*$B$9*(1-$B$10))</f>
        <v>4103.53339983605</v>
      </c>
      <c r="P232" s="14" t="n">
        <f aca="true">$B$16+NORMINV(RAND(),0,SQRT($B$13*($B$7+$B$8^2))*$B$9*(1-$B$10))</f>
        <v>4043.42244292132</v>
      </c>
      <c r="Q232" s="14" t="n">
        <f aca="true">$B$16+NORMINV(RAND(),0,SQRT($B$13*($B$7+$B$8^2))*$B$9*(1-$B$10))</f>
        <v>4076.06875480643</v>
      </c>
      <c r="R232" s="14" t="n">
        <f aca="false">$B$4-13*($B$5+$B$6)/30-IF($B$11&lt;=13,$B$12,0)+0</f>
        <v>8876.66666666667</v>
      </c>
      <c r="S232" s="14" t="n">
        <f aca="false">$B$4-27*($B$5+$B$6)/30-IF($B$11&lt;=27,$B$12,0)+L232</f>
        <v>10213.9676009886</v>
      </c>
      <c r="T232" s="14" t="n">
        <f aca="false">$B$4-41*($B$5+$B$6)/30-IF($B$11&lt;=41,$B$12,0)+L232+M232</f>
        <v>864.500128782479</v>
      </c>
      <c r="U232" s="14" t="n">
        <f aca="false">$B$4-55*($B$5+$B$6)/30-IF($B$11&lt;=55,$B$12,0)+L232+M232+N232</f>
        <v>1864.5277087627</v>
      </c>
      <c r="V232" s="14" t="n">
        <f aca="false">$B$4-69*($B$5+$B$6)/30-IF($B$11&lt;=69,$B$12,0)+L232+M232+N232+O232</f>
        <v>3681.39444193208</v>
      </c>
      <c r="W232" s="14" t="n">
        <f aca="false">$B$4-83*($B$5+$B$6)/30-IF($B$11&lt;=83,$B$12,0)+L232+M232+N232+O232+P232</f>
        <v>5438.15021818673</v>
      </c>
      <c r="X232" s="14" t="n">
        <f aca="false">$B$4-90*($B$5+$B$6)/30-IF($B$11&lt;=90,$B$12,0)+L232+M232+N232+O232+P232+Q232</f>
        <v>8370.88563965983</v>
      </c>
      <c r="AA232" s="14" t="n">
        <f aca="false">MIN(R232:X232)</f>
        <v>864.500128782479</v>
      </c>
    </row>
    <row r="233" customFormat="false" ht="15" hidden="false" customHeight="false" outlineLevel="0" collapsed="false">
      <c r="K233" s="2" t="n">
        <v>228</v>
      </c>
      <c r="L233" s="14" t="n">
        <f aca="true">$B$16+NORMINV(RAND(),0,SQRT($B$13*($B$7+$B$8^2))*$B$9*(1-$B$10))</f>
        <v>3574.33784744886</v>
      </c>
      <c r="M233" s="14" t="n">
        <f aca="true">$B$16+NORMINV(RAND(),0,SQRT($B$13*($B$7+$B$8^2))*$B$9*(1-$B$10))</f>
        <v>3895.90518568312</v>
      </c>
      <c r="N233" s="14" t="n">
        <f aca="true">$B$16+NORMINV(RAND(),0,SQRT($B$13*($B$7+$B$8^2))*$B$9*(1-$B$10))</f>
        <v>4236.88649819477</v>
      </c>
      <c r="O233" s="14" t="n">
        <f aca="true">$B$16+NORMINV(RAND(),0,SQRT($B$13*($B$7+$B$8^2))*$B$9*(1-$B$10))</f>
        <v>3885.48631639851</v>
      </c>
      <c r="P233" s="14" t="n">
        <f aca="true">$B$16+NORMINV(RAND(),0,SQRT($B$13*($B$7+$B$8^2))*$B$9*(1-$B$10))</f>
        <v>3939.71945611236</v>
      </c>
      <c r="Q233" s="14" t="n">
        <f aca="true">$B$16+NORMINV(RAND(),0,SQRT($B$13*($B$7+$B$8^2))*$B$9*(1-$B$10))</f>
        <v>4160.21405327865</v>
      </c>
      <c r="R233" s="14" t="n">
        <f aca="false">$B$4-13*($B$5+$B$6)/30-IF($B$11&lt;=13,$B$12,0)+0</f>
        <v>8876.66666666667</v>
      </c>
      <c r="S233" s="14" t="n">
        <f aca="false">$B$4-27*($B$5+$B$6)/30-IF($B$11&lt;=27,$B$12,0)+L233</f>
        <v>10164.3378474489</v>
      </c>
      <c r="T233" s="14" t="n">
        <f aca="false">$B$4-41*($B$5+$B$6)/30-IF($B$11&lt;=41,$B$12,0)+L233+M233</f>
        <v>588.776366465307</v>
      </c>
      <c r="U233" s="14" t="n">
        <f aca="false">$B$4-55*($B$5+$B$6)/30-IF($B$11&lt;=55,$B$12,0)+L233+M233+N233</f>
        <v>2538.99619799341</v>
      </c>
      <c r="V233" s="14" t="n">
        <f aca="false">$B$4-69*($B$5+$B$6)/30-IF($B$11&lt;=69,$B$12,0)+L233+M233+N233+O233</f>
        <v>4137.81584772526</v>
      </c>
      <c r="W233" s="14" t="n">
        <f aca="false">$B$4-83*($B$5+$B$6)/30-IF($B$11&lt;=83,$B$12,0)+L233+M233+N233+O233+P233</f>
        <v>5790.86863717095</v>
      </c>
      <c r="X233" s="14" t="n">
        <f aca="false">$B$4-90*($B$5+$B$6)/30-IF($B$11&lt;=90,$B$12,0)+L233+M233+N233+O233+P233+Q233</f>
        <v>8807.74935711627</v>
      </c>
      <c r="AA233" s="14" t="n">
        <f aca="false">MIN(R233:X233)</f>
        <v>588.776366465307</v>
      </c>
    </row>
    <row r="234" customFormat="false" ht="15" hidden="false" customHeight="false" outlineLevel="0" collapsed="false">
      <c r="K234" s="2" t="n">
        <v>229</v>
      </c>
      <c r="L234" s="14" t="n">
        <f aca="true">$B$16+NORMINV(RAND(),0,SQRT($B$13*($B$7+$B$8^2))*$B$9*(1-$B$10))</f>
        <v>4002.99240927717</v>
      </c>
      <c r="M234" s="14" t="n">
        <f aca="true">$B$16+NORMINV(RAND(),0,SQRT($B$13*($B$7+$B$8^2))*$B$9*(1-$B$10))</f>
        <v>4015.23175231448</v>
      </c>
      <c r="N234" s="14" t="n">
        <f aca="true">$B$16+NORMINV(RAND(),0,SQRT($B$13*($B$7+$B$8^2))*$B$9*(1-$B$10))</f>
        <v>3799.69067695552</v>
      </c>
      <c r="O234" s="14" t="n">
        <f aca="true">$B$16+NORMINV(RAND(),0,SQRT($B$13*($B$7+$B$8^2))*$B$9*(1-$B$10))</f>
        <v>3754.76609368481</v>
      </c>
      <c r="P234" s="14" t="n">
        <f aca="true">$B$16+NORMINV(RAND(),0,SQRT($B$13*($B$7+$B$8^2))*$B$9*(1-$B$10))</f>
        <v>4321.87757593259</v>
      </c>
      <c r="Q234" s="14" t="n">
        <f aca="true">$B$16+NORMINV(RAND(),0,SQRT($B$13*($B$7+$B$8^2))*$B$9*(1-$B$10))</f>
        <v>4113.65299268295</v>
      </c>
      <c r="R234" s="14" t="n">
        <f aca="false">$B$4-13*($B$5+$B$6)/30-IF($B$11&lt;=13,$B$12,0)+0</f>
        <v>8876.66666666667</v>
      </c>
      <c r="S234" s="14" t="n">
        <f aca="false">$B$4-27*($B$5+$B$6)/30-IF($B$11&lt;=27,$B$12,0)+L234</f>
        <v>10592.9924092772</v>
      </c>
      <c r="T234" s="14" t="n">
        <f aca="false">$B$4-41*($B$5+$B$6)/30-IF($B$11&lt;=41,$B$12,0)+L234+M234</f>
        <v>1136.75749492499</v>
      </c>
      <c r="U234" s="14" t="n">
        <f aca="false">$B$4-55*($B$5+$B$6)/30-IF($B$11&lt;=55,$B$12,0)+L234+M234+N234</f>
        <v>2649.78150521384</v>
      </c>
      <c r="V234" s="14" t="n">
        <f aca="false">$B$4-69*($B$5+$B$6)/30-IF($B$11&lt;=69,$B$12,0)+L234+M234+N234+O234</f>
        <v>4117.88093223199</v>
      </c>
      <c r="W234" s="14" t="n">
        <f aca="false">$B$4-83*($B$5+$B$6)/30-IF($B$11&lt;=83,$B$12,0)+L234+M234+N234+O234+P234</f>
        <v>6153.09184149791</v>
      </c>
      <c r="X234" s="14" t="n">
        <f aca="false">$B$4-90*($B$5+$B$6)/30-IF($B$11&lt;=90,$B$12,0)+L234+M234+N234+O234+P234+Q234</f>
        <v>9123.41150084753</v>
      </c>
      <c r="AA234" s="14" t="n">
        <f aca="false">MIN(R234:X234)</f>
        <v>1136.75749492499</v>
      </c>
    </row>
    <row r="235" customFormat="false" ht="15" hidden="false" customHeight="false" outlineLevel="0" collapsed="false">
      <c r="K235" s="2" t="n">
        <v>230</v>
      </c>
      <c r="L235" s="14" t="n">
        <f aca="true">$B$16+NORMINV(RAND(),0,SQRT($B$13*($B$7+$B$8^2))*$B$9*(1-$B$10))</f>
        <v>4256.35483080897</v>
      </c>
      <c r="M235" s="14" t="n">
        <f aca="true">$B$16+NORMINV(RAND(),0,SQRT($B$13*($B$7+$B$8^2))*$B$9*(1-$B$10))</f>
        <v>3959.52410355442</v>
      </c>
      <c r="N235" s="14" t="n">
        <f aca="true">$B$16+NORMINV(RAND(),0,SQRT($B$13*($B$7+$B$8^2))*$B$9*(1-$B$10))</f>
        <v>4496.54422751837</v>
      </c>
      <c r="O235" s="14" t="n">
        <f aca="true">$B$16+NORMINV(RAND(),0,SQRT($B$13*($B$7+$B$8^2))*$B$9*(1-$B$10))</f>
        <v>4223.93082816506</v>
      </c>
      <c r="P235" s="14" t="n">
        <f aca="true">$B$16+NORMINV(RAND(),0,SQRT($B$13*($B$7+$B$8^2))*$B$9*(1-$B$10))</f>
        <v>4659.2629762468</v>
      </c>
      <c r="Q235" s="14" t="n">
        <f aca="true">$B$16+NORMINV(RAND(),0,SQRT($B$13*($B$7+$B$8^2))*$B$9*(1-$B$10))</f>
        <v>3895.46472860921</v>
      </c>
      <c r="R235" s="14" t="n">
        <f aca="false">$B$4-13*($B$5+$B$6)/30-IF($B$11&lt;=13,$B$12,0)+0</f>
        <v>8876.66666666667</v>
      </c>
      <c r="S235" s="14" t="n">
        <f aca="false">$B$4-27*($B$5+$B$6)/30-IF($B$11&lt;=27,$B$12,0)+L235</f>
        <v>10846.354830809</v>
      </c>
      <c r="T235" s="14" t="n">
        <f aca="false">$B$4-41*($B$5+$B$6)/30-IF($B$11&lt;=41,$B$12,0)+L235+M235</f>
        <v>1334.41226769672</v>
      </c>
      <c r="U235" s="14" t="n">
        <f aca="false">$B$4-55*($B$5+$B$6)/30-IF($B$11&lt;=55,$B$12,0)+L235+M235+N235</f>
        <v>3544.28982854843</v>
      </c>
      <c r="V235" s="14" t="n">
        <f aca="false">$B$4-69*($B$5+$B$6)/30-IF($B$11&lt;=69,$B$12,0)+L235+M235+N235+O235</f>
        <v>5481.55399004683</v>
      </c>
      <c r="W235" s="14" t="n">
        <f aca="false">$B$4-83*($B$5+$B$6)/30-IF($B$11&lt;=83,$B$12,0)+L235+M235+N235+O235+P235</f>
        <v>7854.15029962695</v>
      </c>
      <c r="X235" s="14" t="n">
        <f aca="false">$B$4-90*($B$5+$B$6)/30-IF($B$11&lt;=90,$B$12,0)+L235+M235+N235+O235+P235+Q235</f>
        <v>10606.2816949028</v>
      </c>
      <c r="AA235" s="14" t="n">
        <f aca="false">MIN(R235:X235)</f>
        <v>1334.41226769672</v>
      </c>
    </row>
    <row r="236" customFormat="false" ht="15" hidden="false" customHeight="false" outlineLevel="0" collapsed="false">
      <c r="K236" s="2" t="n">
        <v>231</v>
      </c>
      <c r="L236" s="14" t="n">
        <f aca="true">$B$16+NORMINV(RAND(),0,SQRT($B$13*($B$7+$B$8^2))*$B$9*(1-$B$10))</f>
        <v>3617.10058553409</v>
      </c>
      <c r="M236" s="14" t="n">
        <f aca="true">$B$16+NORMINV(RAND(),0,SQRT($B$13*($B$7+$B$8^2))*$B$9*(1-$B$10))</f>
        <v>3768.99817552806</v>
      </c>
      <c r="N236" s="14" t="n">
        <f aca="true">$B$16+NORMINV(RAND(),0,SQRT($B$13*($B$7+$B$8^2))*$B$9*(1-$B$10))</f>
        <v>4366.01032948124</v>
      </c>
      <c r="O236" s="14" t="n">
        <f aca="true">$B$16+NORMINV(RAND(),0,SQRT($B$13*($B$7+$B$8^2))*$B$9*(1-$B$10))</f>
        <v>4209.53273950885</v>
      </c>
      <c r="P236" s="14" t="n">
        <f aca="true">$B$16+NORMINV(RAND(),0,SQRT($B$13*($B$7+$B$8^2))*$B$9*(1-$B$10))</f>
        <v>4054.12629261416</v>
      </c>
      <c r="Q236" s="14" t="n">
        <f aca="true">$B$16+NORMINV(RAND(),0,SQRT($B$13*($B$7+$B$8^2))*$B$9*(1-$B$10))</f>
        <v>4369.23313456894</v>
      </c>
      <c r="R236" s="14" t="n">
        <f aca="false">$B$4-13*($B$5+$B$6)/30-IF($B$11&lt;=13,$B$12,0)+0</f>
        <v>8876.66666666667</v>
      </c>
      <c r="S236" s="14" t="n">
        <f aca="false">$B$4-27*($B$5+$B$6)/30-IF($B$11&lt;=27,$B$12,0)+L236</f>
        <v>10207.1005855341</v>
      </c>
      <c r="T236" s="14" t="n">
        <f aca="false">$B$4-41*($B$5+$B$6)/30-IF($B$11&lt;=41,$B$12,0)+L236+M236</f>
        <v>504.632094395488</v>
      </c>
      <c r="U236" s="14" t="n">
        <f aca="false">$B$4-55*($B$5+$B$6)/30-IF($B$11&lt;=55,$B$12,0)+L236+M236+N236</f>
        <v>2583.97575721006</v>
      </c>
      <c r="V236" s="14" t="n">
        <f aca="false">$B$4-69*($B$5+$B$6)/30-IF($B$11&lt;=69,$B$12,0)+L236+M236+N236+O236</f>
        <v>4506.84183005224</v>
      </c>
      <c r="W236" s="14" t="n">
        <f aca="false">$B$4-83*($B$5+$B$6)/30-IF($B$11&lt;=83,$B$12,0)+L236+M236+N236+O236+P236</f>
        <v>6274.30145599973</v>
      </c>
      <c r="X236" s="14" t="n">
        <f aca="false">$B$4-90*($B$5+$B$6)/30-IF($B$11&lt;=90,$B$12,0)+L236+M236+N236+O236+P236+Q236</f>
        <v>9500.20125723534</v>
      </c>
      <c r="AA236" s="14" t="n">
        <f aca="false">MIN(R236:X236)</f>
        <v>504.632094395488</v>
      </c>
    </row>
    <row r="237" customFormat="false" ht="15" hidden="false" customHeight="false" outlineLevel="0" collapsed="false">
      <c r="K237" s="2" t="n">
        <v>232</v>
      </c>
      <c r="L237" s="14" t="n">
        <f aca="true">$B$16+NORMINV(RAND(),0,SQRT($B$13*($B$7+$B$8^2))*$B$9*(1-$B$10))</f>
        <v>4107.93323429862</v>
      </c>
      <c r="M237" s="14" t="n">
        <f aca="true">$B$16+NORMINV(RAND(),0,SQRT($B$13*($B$7+$B$8^2))*$B$9*(1-$B$10))</f>
        <v>4246.71672896786</v>
      </c>
      <c r="N237" s="14" t="n">
        <f aca="true">$B$16+NORMINV(RAND(),0,SQRT($B$13*($B$7+$B$8^2))*$B$9*(1-$B$10))</f>
        <v>4231.25024865394</v>
      </c>
      <c r="O237" s="14" t="n">
        <f aca="true">$B$16+NORMINV(RAND(),0,SQRT($B$13*($B$7+$B$8^2))*$B$9*(1-$B$10))</f>
        <v>4140.09851945667</v>
      </c>
      <c r="P237" s="14" t="n">
        <f aca="true">$B$16+NORMINV(RAND(),0,SQRT($B$13*($B$7+$B$8^2))*$B$9*(1-$B$10))</f>
        <v>4416.74405793047</v>
      </c>
      <c r="Q237" s="14" t="n">
        <f aca="true">$B$16+NORMINV(RAND(),0,SQRT($B$13*($B$7+$B$8^2))*$B$9*(1-$B$10))</f>
        <v>3944.84183531541</v>
      </c>
      <c r="R237" s="14" t="n">
        <f aca="false">$B$4-13*($B$5+$B$6)/30-IF($B$11&lt;=13,$B$12,0)+0</f>
        <v>8876.66666666667</v>
      </c>
      <c r="S237" s="14" t="n">
        <f aca="false">$B$4-27*($B$5+$B$6)/30-IF($B$11&lt;=27,$B$12,0)+L237</f>
        <v>10697.9332342986</v>
      </c>
      <c r="T237" s="14" t="n">
        <f aca="false">$B$4-41*($B$5+$B$6)/30-IF($B$11&lt;=41,$B$12,0)+L237+M237</f>
        <v>1473.18329659982</v>
      </c>
      <c r="U237" s="14" t="n">
        <f aca="false">$B$4-55*($B$5+$B$6)/30-IF($B$11&lt;=55,$B$12,0)+L237+M237+N237</f>
        <v>3417.76687858709</v>
      </c>
      <c r="V237" s="14" t="n">
        <f aca="false">$B$4-69*($B$5+$B$6)/30-IF($B$11&lt;=69,$B$12,0)+L237+M237+N237+O237</f>
        <v>5271.19873137709</v>
      </c>
      <c r="W237" s="14" t="n">
        <f aca="false">$B$4-83*($B$5+$B$6)/30-IF($B$11&lt;=83,$B$12,0)+L237+M237+N237+O237+P237</f>
        <v>7401.27612264089</v>
      </c>
      <c r="X237" s="14" t="n">
        <f aca="false">$B$4-90*($B$5+$B$6)/30-IF($B$11&lt;=90,$B$12,0)+L237+M237+N237+O237+P237+Q237</f>
        <v>10202.784624623</v>
      </c>
      <c r="AA237" s="14" t="n">
        <f aca="false">MIN(R237:X237)</f>
        <v>1473.18329659982</v>
      </c>
    </row>
    <row r="238" customFormat="false" ht="15" hidden="false" customHeight="false" outlineLevel="0" collapsed="false">
      <c r="K238" s="2" t="n">
        <v>233</v>
      </c>
      <c r="L238" s="14" t="n">
        <f aca="true">$B$16+NORMINV(RAND(),0,SQRT($B$13*($B$7+$B$8^2))*$B$9*(1-$B$10))</f>
        <v>4239.93292024591</v>
      </c>
      <c r="M238" s="14" t="n">
        <f aca="true">$B$16+NORMINV(RAND(),0,SQRT($B$13*($B$7+$B$8^2))*$B$9*(1-$B$10))</f>
        <v>3667.84341276833</v>
      </c>
      <c r="N238" s="14" t="n">
        <f aca="true">$B$16+NORMINV(RAND(),0,SQRT($B$13*($B$7+$B$8^2))*$B$9*(1-$B$10))</f>
        <v>4110.50618213792</v>
      </c>
      <c r="O238" s="14" t="n">
        <f aca="true">$B$16+NORMINV(RAND(),0,SQRT($B$13*($B$7+$B$8^2))*$B$9*(1-$B$10))</f>
        <v>4352.84285312101</v>
      </c>
      <c r="P238" s="14" t="n">
        <f aca="true">$B$16+NORMINV(RAND(),0,SQRT($B$13*($B$7+$B$8^2))*$B$9*(1-$B$10))</f>
        <v>4158.22198960728</v>
      </c>
      <c r="Q238" s="14" t="n">
        <f aca="true">$B$16+NORMINV(RAND(),0,SQRT($B$13*($B$7+$B$8^2))*$B$9*(1-$B$10))</f>
        <v>4514.1239350857</v>
      </c>
      <c r="R238" s="14" t="n">
        <f aca="false">$B$4-13*($B$5+$B$6)/30-IF($B$11&lt;=13,$B$12,0)+0</f>
        <v>8876.66666666667</v>
      </c>
      <c r="S238" s="14" t="n">
        <f aca="false">$B$4-27*($B$5+$B$6)/30-IF($B$11&lt;=27,$B$12,0)+L238</f>
        <v>10829.9329202459</v>
      </c>
      <c r="T238" s="14" t="n">
        <f aca="false">$B$4-41*($B$5+$B$6)/30-IF($B$11&lt;=41,$B$12,0)+L238+M238</f>
        <v>1026.30966634756</v>
      </c>
      <c r="U238" s="14" t="n">
        <f aca="false">$B$4-55*($B$5+$B$6)/30-IF($B$11&lt;=55,$B$12,0)+L238+M238+N238</f>
        <v>2850.14918181882</v>
      </c>
      <c r="V238" s="14" t="n">
        <f aca="false">$B$4-69*($B$5+$B$6)/30-IF($B$11&lt;=69,$B$12,0)+L238+M238+N238+O238</f>
        <v>4916.32536827317</v>
      </c>
      <c r="W238" s="14" t="n">
        <f aca="false">$B$4-83*($B$5+$B$6)/30-IF($B$11&lt;=83,$B$12,0)+L238+M238+N238+O238+P238</f>
        <v>6787.88069121379</v>
      </c>
      <c r="X238" s="14" t="n">
        <f aca="false">$B$4-90*($B$5+$B$6)/30-IF($B$11&lt;=90,$B$12,0)+L238+M238+N238+O238+P238+Q238</f>
        <v>10158.6712929661</v>
      </c>
      <c r="AA238" s="14" t="n">
        <f aca="false">MIN(R238:X238)</f>
        <v>1026.30966634756</v>
      </c>
    </row>
    <row r="239" customFormat="false" ht="15" hidden="false" customHeight="false" outlineLevel="0" collapsed="false">
      <c r="K239" s="2" t="n">
        <v>234</v>
      </c>
      <c r="L239" s="14" t="n">
        <f aca="true">$B$16+NORMINV(RAND(),0,SQRT($B$13*($B$7+$B$8^2))*$B$9*(1-$B$10))</f>
        <v>3619.23938577656</v>
      </c>
      <c r="M239" s="14" t="n">
        <f aca="true">$B$16+NORMINV(RAND(),0,SQRT($B$13*($B$7+$B$8^2))*$B$9*(1-$B$10))</f>
        <v>3799.30334089492</v>
      </c>
      <c r="N239" s="14" t="n">
        <f aca="true">$B$16+NORMINV(RAND(),0,SQRT($B$13*($B$7+$B$8^2))*$B$9*(1-$B$10))</f>
        <v>4599.68290269372</v>
      </c>
      <c r="O239" s="14" t="n">
        <f aca="true">$B$16+NORMINV(RAND(),0,SQRT($B$13*($B$7+$B$8^2))*$B$9*(1-$B$10))</f>
        <v>4226.8302650129</v>
      </c>
      <c r="P239" s="14" t="n">
        <f aca="true">$B$16+NORMINV(RAND(),0,SQRT($B$13*($B$7+$B$8^2))*$B$9*(1-$B$10))</f>
        <v>3562.65818533049</v>
      </c>
      <c r="Q239" s="14" t="n">
        <f aca="true">$B$16+NORMINV(RAND(),0,SQRT($B$13*($B$7+$B$8^2))*$B$9*(1-$B$10))</f>
        <v>4050.64789194749</v>
      </c>
      <c r="R239" s="14" t="n">
        <f aca="false">$B$4-13*($B$5+$B$6)/30-IF($B$11&lt;=13,$B$12,0)+0</f>
        <v>8876.66666666667</v>
      </c>
      <c r="S239" s="14" t="n">
        <f aca="false">$B$4-27*($B$5+$B$6)/30-IF($B$11&lt;=27,$B$12,0)+L239</f>
        <v>10209.2393857766</v>
      </c>
      <c r="T239" s="14" t="n">
        <f aca="false">$B$4-41*($B$5+$B$6)/30-IF($B$11&lt;=41,$B$12,0)+L239+M239</f>
        <v>537.076060004812</v>
      </c>
      <c r="U239" s="14" t="n">
        <f aca="false">$B$4-55*($B$5+$B$6)/30-IF($B$11&lt;=55,$B$12,0)+L239+M239+N239</f>
        <v>2850.09229603186</v>
      </c>
      <c r="V239" s="14" t="n">
        <f aca="false">$B$4-69*($B$5+$B$6)/30-IF($B$11&lt;=69,$B$12,0)+L239+M239+N239+O239</f>
        <v>4790.2558943781</v>
      </c>
      <c r="W239" s="14" t="n">
        <f aca="false">$B$4-83*($B$5+$B$6)/30-IF($B$11&lt;=83,$B$12,0)+L239+M239+N239+O239+P239</f>
        <v>6066.24741304192</v>
      </c>
      <c r="X239" s="14" t="n">
        <f aca="false">$B$4-90*($B$5+$B$6)/30-IF($B$11&lt;=90,$B$12,0)+L239+M239+N239+O239+P239+Q239</f>
        <v>8973.56197165607</v>
      </c>
      <c r="AA239" s="14" t="n">
        <f aca="false">MIN(R239:X239)</f>
        <v>537.076060004812</v>
      </c>
    </row>
    <row r="240" customFormat="false" ht="15" hidden="false" customHeight="false" outlineLevel="0" collapsed="false">
      <c r="K240" s="2" t="n">
        <v>235</v>
      </c>
      <c r="L240" s="14" t="n">
        <f aca="true">$B$16+NORMINV(RAND(),0,SQRT($B$13*($B$7+$B$8^2))*$B$9*(1-$B$10))</f>
        <v>4515.9316149445</v>
      </c>
      <c r="M240" s="14" t="n">
        <f aca="true">$B$16+NORMINV(RAND(),0,SQRT($B$13*($B$7+$B$8^2))*$B$9*(1-$B$10))</f>
        <v>4122.45773642651</v>
      </c>
      <c r="N240" s="14" t="n">
        <f aca="true">$B$16+NORMINV(RAND(),0,SQRT($B$13*($B$7+$B$8^2))*$B$9*(1-$B$10))</f>
        <v>3193.05644286454</v>
      </c>
      <c r="O240" s="14" t="n">
        <f aca="true">$B$16+NORMINV(RAND(),0,SQRT($B$13*($B$7+$B$8^2))*$B$9*(1-$B$10))</f>
        <v>4474.00876220646</v>
      </c>
      <c r="P240" s="14" t="n">
        <f aca="true">$B$16+NORMINV(RAND(),0,SQRT($B$13*($B$7+$B$8^2))*$B$9*(1-$B$10))</f>
        <v>4138.17600800643</v>
      </c>
      <c r="Q240" s="14" t="n">
        <f aca="true">$B$16+NORMINV(RAND(),0,SQRT($B$13*($B$7+$B$8^2))*$B$9*(1-$B$10))</f>
        <v>4328.89518127549</v>
      </c>
      <c r="R240" s="14" t="n">
        <f aca="false">$B$4-13*($B$5+$B$6)/30-IF($B$11&lt;=13,$B$12,0)+0</f>
        <v>8876.66666666667</v>
      </c>
      <c r="S240" s="14" t="n">
        <f aca="false">$B$4-27*($B$5+$B$6)/30-IF($B$11&lt;=27,$B$12,0)+L240</f>
        <v>11105.9316149445</v>
      </c>
      <c r="T240" s="14" t="n">
        <f aca="false">$B$4-41*($B$5+$B$6)/30-IF($B$11&lt;=41,$B$12,0)+L240+M240</f>
        <v>1756.92268470434</v>
      </c>
      <c r="U240" s="14" t="n">
        <f aca="false">$B$4-55*($B$5+$B$6)/30-IF($B$11&lt;=55,$B$12,0)+L240+M240+N240</f>
        <v>2663.31246090221</v>
      </c>
      <c r="V240" s="14" t="n">
        <f aca="false">$B$4-69*($B$5+$B$6)/30-IF($B$11&lt;=69,$B$12,0)+L240+M240+N240+O240</f>
        <v>4850.654556442</v>
      </c>
      <c r="W240" s="14" t="n">
        <f aca="false">$B$4-83*($B$5+$B$6)/30-IF($B$11&lt;=83,$B$12,0)+L240+M240+N240+O240+P240</f>
        <v>6702.16389778177</v>
      </c>
      <c r="X240" s="14" t="n">
        <f aca="false">$B$4-90*($B$5+$B$6)/30-IF($B$11&lt;=90,$B$12,0)+L240+M240+N240+O240+P240+Q240</f>
        <v>9887.72574572392</v>
      </c>
      <c r="AA240" s="14" t="n">
        <f aca="false">MIN(R240:X240)</f>
        <v>1756.92268470434</v>
      </c>
    </row>
    <row r="241" customFormat="false" ht="15" hidden="false" customHeight="false" outlineLevel="0" collapsed="false">
      <c r="K241" s="2" t="n">
        <v>236</v>
      </c>
      <c r="L241" s="14" t="n">
        <f aca="true">$B$16+NORMINV(RAND(),0,SQRT($B$13*($B$7+$B$8^2))*$B$9*(1-$B$10))</f>
        <v>3865.04278959939</v>
      </c>
      <c r="M241" s="14" t="n">
        <f aca="true">$B$16+NORMINV(RAND(),0,SQRT($B$13*($B$7+$B$8^2))*$B$9*(1-$B$10))</f>
        <v>4186.78899823269</v>
      </c>
      <c r="N241" s="14" t="n">
        <f aca="true">$B$16+NORMINV(RAND(),0,SQRT($B$13*($B$7+$B$8^2))*$B$9*(1-$B$10))</f>
        <v>4019.69388816938</v>
      </c>
      <c r="O241" s="14" t="n">
        <f aca="true">$B$16+NORMINV(RAND(),0,SQRT($B$13*($B$7+$B$8^2))*$B$9*(1-$B$10))</f>
        <v>4380.72448159384</v>
      </c>
      <c r="P241" s="14" t="n">
        <f aca="true">$B$16+NORMINV(RAND(),0,SQRT($B$13*($B$7+$B$8^2))*$B$9*(1-$B$10))</f>
        <v>4198.71943120897</v>
      </c>
      <c r="Q241" s="14" t="n">
        <f aca="true">$B$16+NORMINV(RAND(),0,SQRT($B$13*($B$7+$B$8^2))*$B$9*(1-$B$10))</f>
        <v>4168.36786555183</v>
      </c>
      <c r="R241" s="14" t="n">
        <f aca="false">$B$4-13*($B$5+$B$6)/30-IF($B$11&lt;=13,$B$12,0)+0</f>
        <v>8876.66666666667</v>
      </c>
      <c r="S241" s="14" t="n">
        <f aca="false">$B$4-27*($B$5+$B$6)/30-IF($B$11&lt;=27,$B$12,0)+L241</f>
        <v>10455.0427895994</v>
      </c>
      <c r="T241" s="14" t="n">
        <f aca="false">$B$4-41*($B$5+$B$6)/30-IF($B$11&lt;=41,$B$12,0)+L241+M241</f>
        <v>1170.36512116541</v>
      </c>
      <c r="U241" s="14" t="n">
        <f aca="false">$B$4-55*($B$5+$B$6)/30-IF($B$11&lt;=55,$B$12,0)+L241+M241+N241</f>
        <v>2903.39234266813</v>
      </c>
      <c r="V241" s="14" t="n">
        <f aca="false">$B$4-69*($B$5+$B$6)/30-IF($B$11&lt;=69,$B$12,0)+L241+M241+N241+O241</f>
        <v>4997.45015759531</v>
      </c>
      <c r="W241" s="14" t="n">
        <f aca="false">$B$4-83*($B$5+$B$6)/30-IF($B$11&lt;=83,$B$12,0)+L241+M241+N241+O241+P241</f>
        <v>6909.50292213761</v>
      </c>
      <c r="X241" s="14" t="n">
        <f aca="false">$B$4-90*($B$5+$B$6)/30-IF($B$11&lt;=90,$B$12,0)+L241+M241+N241+O241+P241+Q241</f>
        <v>9934.5374543561</v>
      </c>
      <c r="AA241" s="14" t="n">
        <f aca="false">MIN(R241:X241)</f>
        <v>1170.36512116541</v>
      </c>
    </row>
    <row r="242" customFormat="false" ht="15" hidden="false" customHeight="false" outlineLevel="0" collapsed="false">
      <c r="K242" s="2" t="n">
        <v>237</v>
      </c>
      <c r="L242" s="14" t="n">
        <f aca="true">$B$16+NORMINV(RAND(),0,SQRT($B$13*($B$7+$B$8^2))*$B$9*(1-$B$10))</f>
        <v>4447.59080522921</v>
      </c>
      <c r="M242" s="14" t="n">
        <f aca="true">$B$16+NORMINV(RAND(),0,SQRT($B$13*($B$7+$B$8^2))*$B$9*(1-$B$10))</f>
        <v>4231.58116179412</v>
      </c>
      <c r="N242" s="14" t="n">
        <f aca="true">$B$16+NORMINV(RAND(),0,SQRT($B$13*($B$7+$B$8^2))*$B$9*(1-$B$10))</f>
        <v>3952.51584178276</v>
      </c>
      <c r="O242" s="14" t="n">
        <f aca="true">$B$16+NORMINV(RAND(),0,SQRT($B$13*($B$7+$B$8^2))*$B$9*(1-$B$10))</f>
        <v>4116.58048922749</v>
      </c>
      <c r="P242" s="14" t="n">
        <f aca="true">$B$16+NORMINV(RAND(),0,SQRT($B$13*($B$7+$B$8^2))*$B$9*(1-$B$10))</f>
        <v>4270.65921032526</v>
      </c>
      <c r="Q242" s="14" t="n">
        <f aca="true">$B$16+NORMINV(RAND(),0,SQRT($B$13*($B$7+$B$8^2))*$B$9*(1-$B$10))</f>
        <v>3849.52778236734</v>
      </c>
      <c r="R242" s="14" t="n">
        <f aca="false">$B$4-13*($B$5+$B$6)/30-IF($B$11&lt;=13,$B$12,0)+0</f>
        <v>8876.66666666667</v>
      </c>
      <c r="S242" s="14" t="n">
        <f aca="false">$B$4-27*($B$5+$B$6)/30-IF($B$11&lt;=27,$B$12,0)+L242</f>
        <v>11037.5908052292</v>
      </c>
      <c r="T242" s="14" t="n">
        <f aca="false">$B$4-41*($B$5+$B$6)/30-IF($B$11&lt;=41,$B$12,0)+L242+M242</f>
        <v>1797.70530035666</v>
      </c>
      <c r="U242" s="14" t="n">
        <f aca="false">$B$4-55*($B$5+$B$6)/30-IF($B$11&lt;=55,$B$12,0)+L242+M242+N242</f>
        <v>3463.55447547275</v>
      </c>
      <c r="V242" s="14" t="n">
        <f aca="false">$B$4-69*($B$5+$B$6)/30-IF($B$11&lt;=69,$B$12,0)+L242+M242+N242+O242</f>
        <v>5293.46829803357</v>
      </c>
      <c r="W242" s="14" t="n">
        <f aca="false">$B$4-83*($B$5+$B$6)/30-IF($B$11&lt;=83,$B$12,0)+L242+M242+N242+O242+P242</f>
        <v>7277.46084169217</v>
      </c>
      <c r="X242" s="14" t="n">
        <f aca="false">$B$4-90*($B$5+$B$6)/30-IF($B$11&lt;=90,$B$12,0)+L242+M242+N242+O242+P242+Q242</f>
        <v>9983.65529072617</v>
      </c>
      <c r="AA242" s="14" t="n">
        <f aca="false">MIN(R242:X242)</f>
        <v>1797.70530035666</v>
      </c>
    </row>
    <row r="243" customFormat="false" ht="15" hidden="false" customHeight="false" outlineLevel="0" collapsed="false">
      <c r="K243" s="2" t="n">
        <v>238</v>
      </c>
      <c r="L243" s="14" t="n">
        <f aca="true">$B$16+NORMINV(RAND(),0,SQRT($B$13*($B$7+$B$8^2))*$B$9*(1-$B$10))</f>
        <v>3746.98139377395</v>
      </c>
      <c r="M243" s="14" t="n">
        <f aca="true">$B$16+NORMINV(RAND(),0,SQRT($B$13*($B$7+$B$8^2))*$B$9*(1-$B$10))</f>
        <v>4511.84630196152</v>
      </c>
      <c r="N243" s="14" t="n">
        <f aca="true">$B$16+NORMINV(RAND(),0,SQRT($B$13*($B$7+$B$8^2))*$B$9*(1-$B$10))</f>
        <v>3940.33961976434</v>
      </c>
      <c r="O243" s="14" t="n">
        <f aca="true">$B$16+NORMINV(RAND(),0,SQRT($B$13*($B$7+$B$8^2))*$B$9*(1-$B$10))</f>
        <v>3838.20174862603</v>
      </c>
      <c r="P243" s="14" t="n">
        <f aca="true">$B$16+NORMINV(RAND(),0,SQRT($B$13*($B$7+$B$8^2))*$B$9*(1-$B$10))</f>
        <v>3908.77779094619</v>
      </c>
      <c r="Q243" s="14" t="n">
        <f aca="true">$B$16+NORMINV(RAND(),0,SQRT($B$13*($B$7+$B$8^2))*$B$9*(1-$B$10))</f>
        <v>4023.28912910311</v>
      </c>
      <c r="R243" s="14" t="n">
        <f aca="false">$B$4-13*($B$5+$B$6)/30-IF($B$11&lt;=13,$B$12,0)+0</f>
        <v>8876.66666666667</v>
      </c>
      <c r="S243" s="14" t="n">
        <f aca="false">$B$4-27*($B$5+$B$6)/30-IF($B$11&lt;=27,$B$12,0)+L243</f>
        <v>10336.9813937739</v>
      </c>
      <c r="T243" s="14" t="n">
        <f aca="false">$B$4-41*($B$5+$B$6)/30-IF($B$11&lt;=41,$B$12,0)+L243+M243</f>
        <v>1377.3610290688</v>
      </c>
      <c r="U243" s="14" t="n">
        <f aca="false">$B$4-55*($B$5+$B$6)/30-IF($B$11&lt;=55,$B$12,0)+L243+M243+N243</f>
        <v>3031.03398216647</v>
      </c>
      <c r="V243" s="14" t="n">
        <f aca="false">$B$4-69*($B$5+$B$6)/30-IF($B$11&lt;=69,$B$12,0)+L243+M243+N243+O243</f>
        <v>4582.56906412583</v>
      </c>
      <c r="W243" s="14" t="n">
        <f aca="false">$B$4-83*($B$5+$B$6)/30-IF($B$11&lt;=83,$B$12,0)+L243+M243+N243+O243+P243</f>
        <v>6204.68018840536</v>
      </c>
      <c r="X243" s="14" t="n">
        <f aca="false">$B$4-90*($B$5+$B$6)/30-IF($B$11&lt;=90,$B$12,0)+L243+M243+N243+O243+P243+Q243</f>
        <v>9084.63598417514</v>
      </c>
      <c r="AA243" s="14" t="n">
        <f aca="false">MIN(R243:X243)</f>
        <v>1377.3610290688</v>
      </c>
    </row>
    <row r="244" customFormat="false" ht="15" hidden="false" customHeight="false" outlineLevel="0" collapsed="false">
      <c r="K244" s="2" t="n">
        <v>239</v>
      </c>
      <c r="L244" s="14" t="n">
        <f aca="true">$B$16+NORMINV(RAND(),0,SQRT($B$13*($B$7+$B$8^2))*$B$9*(1-$B$10))</f>
        <v>4009.68839112464</v>
      </c>
      <c r="M244" s="14" t="n">
        <f aca="true">$B$16+NORMINV(RAND(),0,SQRT($B$13*($B$7+$B$8^2))*$B$9*(1-$B$10))</f>
        <v>3540.84399070809</v>
      </c>
      <c r="N244" s="14" t="n">
        <f aca="true">$B$16+NORMINV(RAND(),0,SQRT($B$13*($B$7+$B$8^2))*$B$9*(1-$B$10))</f>
        <v>3806.09238166325</v>
      </c>
      <c r="O244" s="14" t="n">
        <f aca="true">$B$16+NORMINV(RAND(),0,SQRT($B$13*($B$7+$B$8^2))*$B$9*(1-$B$10))</f>
        <v>4642.29189128717</v>
      </c>
      <c r="P244" s="14" t="n">
        <f aca="true">$B$16+NORMINV(RAND(),0,SQRT($B$13*($B$7+$B$8^2))*$B$9*(1-$B$10))</f>
        <v>3856.24987133762</v>
      </c>
      <c r="Q244" s="14" t="n">
        <f aca="true">$B$16+NORMINV(RAND(),0,SQRT($B$13*($B$7+$B$8^2))*$B$9*(1-$B$10))</f>
        <v>4416.06412823808</v>
      </c>
      <c r="R244" s="14" t="n">
        <f aca="false">$B$4-13*($B$5+$B$6)/30-IF($B$11&lt;=13,$B$12,0)+0</f>
        <v>8876.66666666667</v>
      </c>
      <c r="S244" s="14" t="n">
        <f aca="false">$B$4-27*($B$5+$B$6)/30-IF($B$11&lt;=27,$B$12,0)+L244</f>
        <v>10599.6883911246</v>
      </c>
      <c r="T244" s="14" t="n">
        <f aca="false">$B$4-41*($B$5+$B$6)/30-IF($B$11&lt;=41,$B$12,0)+L244+M244</f>
        <v>669.065715166069</v>
      </c>
      <c r="U244" s="14" t="n">
        <f aca="false">$B$4-55*($B$5+$B$6)/30-IF($B$11&lt;=55,$B$12,0)+L244+M244+N244</f>
        <v>2188.49143016265</v>
      </c>
      <c r="V244" s="14" t="n">
        <f aca="false">$B$4-69*($B$5+$B$6)/30-IF($B$11&lt;=69,$B$12,0)+L244+M244+N244+O244</f>
        <v>4544.11665478315</v>
      </c>
      <c r="W244" s="14" t="n">
        <f aca="false">$B$4-83*($B$5+$B$6)/30-IF($B$11&lt;=83,$B$12,0)+L244+M244+N244+O244+P244</f>
        <v>6113.6998594541</v>
      </c>
      <c r="X244" s="14" t="n">
        <f aca="false">$B$4-90*($B$5+$B$6)/30-IF($B$11&lt;=90,$B$12,0)+L244+M244+N244+O244+P244+Q244</f>
        <v>9386.43065435885</v>
      </c>
      <c r="AA244" s="14" t="n">
        <f aca="false">MIN(R244:X244)</f>
        <v>669.065715166069</v>
      </c>
    </row>
    <row r="245" customFormat="false" ht="15" hidden="false" customHeight="false" outlineLevel="0" collapsed="false">
      <c r="K245" s="2" t="n">
        <v>240</v>
      </c>
      <c r="L245" s="14" t="n">
        <f aca="true">$B$16+NORMINV(RAND(),0,SQRT($B$13*($B$7+$B$8^2))*$B$9*(1-$B$10))</f>
        <v>4281.37983478642</v>
      </c>
      <c r="M245" s="14" t="n">
        <f aca="true">$B$16+NORMINV(RAND(),0,SQRT($B$13*($B$7+$B$8^2))*$B$9*(1-$B$10))</f>
        <v>4543.03791590933</v>
      </c>
      <c r="N245" s="14" t="n">
        <f aca="true">$B$16+NORMINV(RAND(),0,SQRT($B$13*($B$7+$B$8^2))*$B$9*(1-$B$10))</f>
        <v>3825.39890472749</v>
      </c>
      <c r="O245" s="14" t="n">
        <f aca="true">$B$16+NORMINV(RAND(),0,SQRT($B$13*($B$7+$B$8^2))*$B$9*(1-$B$10))</f>
        <v>4426.47502669331</v>
      </c>
      <c r="P245" s="14" t="n">
        <f aca="true">$B$16+NORMINV(RAND(),0,SQRT($B$13*($B$7+$B$8^2))*$B$9*(1-$B$10))</f>
        <v>4445.18316634452</v>
      </c>
      <c r="Q245" s="14" t="n">
        <f aca="true">$B$16+NORMINV(RAND(),0,SQRT($B$13*($B$7+$B$8^2))*$B$9*(1-$B$10))</f>
        <v>4242.31672174359</v>
      </c>
      <c r="R245" s="14" t="n">
        <f aca="false">$B$4-13*($B$5+$B$6)/30-IF($B$11&lt;=13,$B$12,0)+0</f>
        <v>8876.66666666667</v>
      </c>
      <c r="S245" s="14" t="n">
        <f aca="false">$B$4-27*($B$5+$B$6)/30-IF($B$11&lt;=27,$B$12,0)+L245</f>
        <v>10871.3798347864</v>
      </c>
      <c r="T245" s="14" t="n">
        <f aca="false">$B$4-41*($B$5+$B$6)/30-IF($B$11&lt;=41,$B$12,0)+L245+M245</f>
        <v>1942.95108402908</v>
      </c>
      <c r="U245" s="14" t="n">
        <f aca="false">$B$4-55*($B$5+$B$6)/30-IF($B$11&lt;=55,$B$12,0)+L245+M245+N245</f>
        <v>3481.6833220899</v>
      </c>
      <c r="V245" s="14" t="n">
        <f aca="false">$B$4-69*($B$5+$B$6)/30-IF($B$11&lt;=69,$B$12,0)+L245+M245+N245+O245</f>
        <v>5621.49168211654</v>
      </c>
      <c r="W245" s="14" t="n">
        <f aca="false">$B$4-83*($B$5+$B$6)/30-IF($B$11&lt;=83,$B$12,0)+L245+M245+N245+O245+P245</f>
        <v>7780.00818179439</v>
      </c>
      <c r="X245" s="14" t="n">
        <f aca="false">$B$4-90*($B$5+$B$6)/30-IF($B$11&lt;=90,$B$12,0)+L245+M245+N245+O245+P245+Q245</f>
        <v>10878.9915702046</v>
      </c>
      <c r="AA245" s="14" t="n">
        <f aca="false">MIN(R245:X245)</f>
        <v>1942.95108402908</v>
      </c>
    </row>
    <row r="246" customFormat="false" ht="15" hidden="false" customHeight="false" outlineLevel="0" collapsed="false">
      <c r="K246" s="2" t="n">
        <v>241</v>
      </c>
      <c r="L246" s="14" t="n">
        <f aca="true">$B$16+NORMINV(RAND(),0,SQRT($B$13*($B$7+$B$8^2))*$B$9*(1-$B$10))</f>
        <v>4079.28247817365</v>
      </c>
      <c r="M246" s="14" t="n">
        <f aca="true">$B$16+NORMINV(RAND(),0,SQRT($B$13*($B$7+$B$8^2))*$B$9*(1-$B$10))</f>
        <v>4145.44449964013</v>
      </c>
      <c r="N246" s="14" t="n">
        <f aca="true">$B$16+NORMINV(RAND(),0,SQRT($B$13*($B$7+$B$8^2))*$B$9*(1-$B$10))</f>
        <v>3951.87477639262</v>
      </c>
      <c r="O246" s="14" t="n">
        <f aca="true">$B$16+NORMINV(RAND(),0,SQRT($B$13*($B$7+$B$8^2))*$B$9*(1-$B$10))</f>
        <v>4591.36225945119</v>
      </c>
      <c r="P246" s="14" t="n">
        <f aca="true">$B$16+NORMINV(RAND(),0,SQRT($B$13*($B$7+$B$8^2))*$B$9*(1-$B$10))</f>
        <v>4218.03895368227</v>
      </c>
      <c r="Q246" s="14" t="n">
        <f aca="true">$B$16+NORMINV(RAND(),0,SQRT($B$13*($B$7+$B$8^2))*$B$9*(1-$B$10))</f>
        <v>3665.19158604832</v>
      </c>
      <c r="R246" s="14" t="n">
        <f aca="false">$B$4-13*($B$5+$B$6)/30-IF($B$11&lt;=13,$B$12,0)+0</f>
        <v>8876.66666666667</v>
      </c>
      <c r="S246" s="14" t="n">
        <f aca="false">$B$4-27*($B$5+$B$6)/30-IF($B$11&lt;=27,$B$12,0)+L246</f>
        <v>10669.2824781736</v>
      </c>
      <c r="T246" s="14" t="n">
        <f aca="false">$B$4-41*($B$5+$B$6)/30-IF($B$11&lt;=41,$B$12,0)+L246+M246</f>
        <v>1343.26031114711</v>
      </c>
      <c r="U246" s="14" t="n">
        <f aca="false">$B$4-55*($B$5+$B$6)/30-IF($B$11&lt;=55,$B$12,0)+L246+M246+N246</f>
        <v>3008.46842087307</v>
      </c>
      <c r="V246" s="14" t="n">
        <f aca="false">$B$4-69*($B$5+$B$6)/30-IF($B$11&lt;=69,$B$12,0)+L246+M246+N246+O246</f>
        <v>5313.16401365759</v>
      </c>
      <c r="W246" s="14" t="n">
        <f aca="false">$B$4-83*($B$5+$B$6)/30-IF($B$11&lt;=83,$B$12,0)+L246+M246+N246+O246+P246</f>
        <v>7244.5363006732</v>
      </c>
      <c r="X246" s="14" t="n">
        <f aca="false">$B$4-90*($B$5+$B$6)/30-IF($B$11&lt;=90,$B$12,0)+L246+M246+N246+O246+P246+Q246</f>
        <v>9766.39455338818</v>
      </c>
      <c r="AA246" s="14" t="n">
        <f aca="false">MIN(R246:X246)</f>
        <v>1343.26031114711</v>
      </c>
    </row>
    <row r="247" customFormat="false" ht="15" hidden="false" customHeight="false" outlineLevel="0" collapsed="false">
      <c r="K247" s="2" t="n">
        <v>242</v>
      </c>
      <c r="L247" s="14" t="n">
        <f aca="true">$B$16+NORMINV(RAND(),0,SQRT($B$13*($B$7+$B$8^2))*$B$9*(1-$B$10))</f>
        <v>3562.10377668063</v>
      </c>
      <c r="M247" s="14" t="n">
        <f aca="true">$B$16+NORMINV(RAND(),0,SQRT($B$13*($B$7+$B$8^2))*$B$9*(1-$B$10))</f>
        <v>4793.24386291505</v>
      </c>
      <c r="N247" s="14" t="n">
        <f aca="true">$B$16+NORMINV(RAND(),0,SQRT($B$13*($B$7+$B$8^2))*$B$9*(1-$B$10))</f>
        <v>4163.17293139379</v>
      </c>
      <c r="O247" s="14" t="n">
        <f aca="true">$B$16+NORMINV(RAND(),0,SQRT($B$13*($B$7+$B$8^2))*$B$9*(1-$B$10))</f>
        <v>3447.51699563828</v>
      </c>
      <c r="P247" s="14" t="n">
        <f aca="true">$B$16+NORMINV(RAND(),0,SQRT($B$13*($B$7+$B$8^2))*$B$9*(1-$B$10))</f>
        <v>3780.58772763805</v>
      </c>
      <c r="Q247" s="14" t="n">
        <f aca="true">$B$16+NORMINV(RAND(),0,SQRT($B$13*($B$7+$B$8^2))*$B$9*(1-$B$10))</f>
        <v>3703.11650428014</v>
      </c>
      <c r="R247" s="14" t="n">
        <f aca="false">$B$4-13*($B$5+$B$6)/30-IF($B$11&lt;=13,$B$12,0)+0</f>
        <v>8876.66666666667</v>
      </c>
      <c r="S247" s="14" t="n">
        <f aca="false">$B$4-27*($B$5+$B$6)/30-IF($B$11&lt;=27,$B$12,0)+L247</f>
        <v>10152.1037766806</v>
      </c>
      <c r="T247" s="14" t="n">
        <f aca="false">$B$4-41*($B$5+$B$6)/30-IF($B$11&lt;=41,$B$12,0)+L247+M247</f>
        <v>1473.88097292901</v>
      </c>
      <c r="U247" s="14" t="n">
        <f aca="false">$B$4-55*($B$5+$B$6)/30-IF($B$11&lt;=55,$B$12,0)+L247+M247+N247</f>
        <v>3350.38723765613</v>
      </c>
      <c r="V247" s="14" t="n">
        <f aca="false">$B$4-69*($B$5+$B$6)/30-IF($B$11&lt;=69,$B$12,0)+L247+M247+N247+O247</f>
        <v>4511.23756662775</v>
      </c>
      <c r="W247" s="14" t="n">
        <f aca="false">$B$4-83*($B$5+$B$6)/30-IF($B$11&lt;=83,$B$12,0)+L247+M247+N247+O247+P247</f>
        <v>6005.15862759914</v>
      </c>
      <c r="X247" s="14" t="n">
        <f aca="false">$B$4-90*($B$5+$B$6)/30-IF($B$11&lt;=90,$B$12,0)+L247+M247+N247+O247+P247+Q247</f>
        <v>8564.94179854594</v>
      </c>
      <c r="AA247" s="14" t="n">
        <f aca="false">MIN(R247:X247)</f>
        <v>1473.88097292901</v>
      </c>
    </row>
    <row r="248" customFormat="false" ht="15" hidden="false" customHeight="false" outlineLevel="0" collapsed="false">
      <c r="K248" s="2" t="n">
        <v>243</v>
      </c>
      <c r="L248" s="14" t="n">
        <f aca="true">$B$16+NORMINV(RAND(),0,SQRT($B$13*($B$7+$B$8^2))*$B$9*(1-$B$10))</f>
        <v>3890.19063891945</v>
      </c>
      <c r="M248" s="14" t="n">
        <f aca="true">$B$16+NORMINV(RAND(),0,SQRT($B$13*($B$7+$B$8^2))*$B$9*(1-$B$10))</f>
        <v>3869.98385112082</v>
      </c>
      <c r="N248" s="14" t="n">
        <f aca="true">$B$16+NORMINV(RAND(),0,SQRT($B$13*($B$7+$B$8^2))*$B$9*(1-$B$10))</f>
        <v>4402.43204075509</v>
      </c>
      <c r="O248" s="14" t="n">
        <f aca="true">$B$16+NORMINV(RAND(),0,SQRT($B$13*($B$7+$B$8^2))*$B$9*(1-$B$10))</f>
        <v>3996.14307793515</v>
      </c>
      <c r="P248" s="14" t="n">
        <f aca="true">$B$16+NORMINV(RAND(),0,SQRT($B$13*($B$7+$B$8^2))*$B$9*(1-$B$10))</f>
        <v>4278.03883413592</v>
      </c>
      <c r="Q248" s="14" t="n">
        <f aca="true">$B$16+NORMINV(RAND(),0,SQRT($B$13*($B$7+$B$8^2))*$B$9*(1-$B$10))</f>
        <v>4295.90404575993</v>
      </c>
      <c r="R248" s="14" t="n">
        <f aca="false">$B$4-13*($B$5+$B$6)/30-IF($B$11&lt;=13,$B$12,0)+0</f>
        <v>8876.66666666667</v>
      </c>
      <c r="S248" s="14" t="n">
        <f aca="false">$B$4-27*($B$5+$B$6)/30-IF($B$11&lt;=27,$B$12,0)+L248</f>
        <v>10480.1906389195</v>
      </c>
      <c r="T248" s="14" t="n">
        <f aca="false">$B$4-41*($B$5+$B$6)/30-IF($B$11&lt;=41,$B$12,0)+L248+M248</f>
        <v>878.707823373606</v>
      </c>
      <c r="U248" s="14" t="n">
        <f aca="false">$B$4-55*($B$5+$B$6)/30-IF($B$11&lt;=55,$B$12,0)+L248+M248+N248</f>
        <v>2994.47319746203</v>
      </c>
      <c r="V248" s="14" t="n">
        <f aca="false">$B$4-69*($B$5+$B$6)/30-IF($B$11&lt;=69,$B$12,0)+L248+M248+N248+O248</f>
        <v>4703.94960873052</v>
      </c>
      <c r="W248" s="14" t="n">
        <f aca="false">$B$4-83*($B$5+$B$6)/30-IF($B$11&lt;=83,$B$12,0)+L248+M248+N248+O248+P248</f>
        <v>6695.32177619977</v>
      </c>
      <c r="X248" s="14" t="n">
        <f aca="false">$B$4-90*($B$5+$B$6)/30-IF($B$11&lt;=90,$B$12,0)+L248+M248+N248+O248+P248+Q248</f>
        <v>9847.89248862637</v>
      </c>
      <c r="AA248" s="14" t="n">
        <f aca="false">MIN(R248:X248)</f>
        <v>878.707823373606</v>
      </c>
    </row>
    <row r="249" customFormat="false" ht="15" hidden="false" customHeight="false" outlineLevel="0" collapsed="false">
      <c r="K249" s="2" t="n">
        <v>244</v>
      </c>
      <c r="L249" s="14" t="n">
        <f aca="true">$B$16+NORMINV(RAND(),0,SQRT($B$13*($B$7+$B$8^2))*$B$9*(1-$B$10))</f>
        <v>4004.97691204567</v>
      </c>
      <c r="M249" s="14" t="n">
        <f aca="true">$B$16+NORMINV(RAND(),0,SQRT($B$13*($B$7+$B$8^2))*$B$9*(1-$B$10))</f>
        <v>3770.07135499757</v>
      </c>
      <c r="N249" s="14" t="n">
        <f aca="true">$B$16+NORMINV(RAND(),0,SQRT($B$13*($B$7+$B$8^2))*$B$9*(1-$B$10))</f>
        <v>4254.75735455034</v>
      </c>
      <c r="O249" s="14" t="n">
        <f aca="true">$B$16+NORMINV(RAND(),0,SQRT($B$13*($B$7+$B$8^2))*$B$9*(1-$B$10))</f>
        <v>3677.07073794405</v>
      </c>
      <c r="P249" s="14" t="n">
        <f aca="true">$B$16+NORMINV(RAND(),0,SQRT($B$13*($B$7+$B$8^2))*$B$9*(1-$B$10))</f>
        <v>3699.3058500509</v>
      </c>
      <c r="Q249" s="14" t="n">
        <f aca="true">$B$16+NORMINV(RAND(),0,SQRT($B$13*($B$7+$B$8^2))*$B$9*(1-$B$10))</f>
        <v>3434.57440962884</v>
      </c>
      <c r="R249" s="14" t="n">
        <f aca="false">$B$4-13*($B$5+$B$6)/30-IF($B$11&lt;=13,$B$12,0)+0</f>
        <v>8876.66666666667</v>
      </c>
      <c r="S249" s="14" t="n">
        <f aca="false">$B$4-27*($B$5+$B$6)/30-IF($B$11&lt;=27,$B$12,0)+L249</f>
        <v>10594.9769120457</v>
      </c>
      <c r="T249" s="14" t="n">
        <f aca="false">$B$4-41*($B$5+$B$6)/30-IF($B$11&lt;=41,$B$12,0)+L249+M249</f>
        <v>893.581600376573</v>
      </c>
      <c r="U249" s="14" t="n">
        <f aca="false">$B$4-55*($B$5+$B$6)/30-IF($B$11&lt;=55,$B$12,0)+L249+M249+N249</f>
        <v>2861.67228826025</v>
      </c>
      <c r="V249" s="14" t="n">
        <f aca="false">$B$4-69*($B$5+$B$6)/30-IF($B$11&lt;=69,$B$12,0)+L249+M249+N249+O249</f>
        <v>4252.07635953764</v>
      </c>
      <c r="W249" s="14" t="n">
        <f aca="false">$B$4-83*($B$5+$B$6)/30-IF($B$11&lt;=83,$B$12,0)+L249+M249+N249+O249+P249</f>
        <v>5664.71554292187</v>
      </c>
      <c r="X249" s="14" t="n">
        <f aca="false">$B$4-90*($B$5+$B$6)/30-IF($B$11&lt;=90,$B$12,0)+L249+M249+N249+O249+P249+Q249</f>
        <v>7955.95661921738</v>
      </c>
      <c r="AA249" s="14" t="n">
        <f aca="false">MIN(R249:X249)</f>
        <v>893.581600376573</v>
      </c>
    </row>
    <row r="250" customFormat="false" ht="15" hidden="false" customHeight="false" outlineLevel="0" collapsed="false">
      <c r="K250" s="2" t="n">
        <v>245</v>
      </c>
      <c r="L250" s="14" t="n">
        <f aca="true">$B$16+NORMINV(RAND(),0,SQRT($B$13*($B$7+$B$8^2))*$B$9*(1-$B$10))</f>
        <v>3884.78887532581</v>
      </c>
      <c r="M250" s="14" t="n">
        <f aca="true">$B$16+NORMINV(RAND(),0,SQRT($B$13*($B$7+$B$8^2))*$B$9*(1-$B$10))</f>
        <v>3818.35349738076</v>
      </c>
      <c r="N250" s="14" t="n">
        <f aca="true">$B$16+NORMINV(RAND(),0,SQRT($B$13*($B$7+$B$8^2))*$B$9*(1-$B$10))</f>
        <v>3886.13114961972</v>
      </c>
      <c r="O250" s="14" t="n">
        <f aca="true">$B$16+NORMINV(RAND(),0,SQRT($B$13*($B$7+$B$8^2))*$B$9*(1-$B$10))</f>
        <v>4660.4700588016</v>
      </c>
      <c r="P250" s="14" t="n">
        <f aca="true">$B$16+NORMINV(RAND(),0,SQRT($B$13*($B$7+$B$8^2))*$B$9*(1-$B$10))</f>
        <v>4374.53195572135</v>
      </c>
      <c r="Q250" s="14" t="n">
        <f aca="true">$B$16+NORMINV(RAND(),0,SQRT($B$13*($B$7+$B$8^2))*$B$9*(1-$B$10))</f>
        <v>4058.00474424186</v>
      </c>
      <c r="R250" s="14" t="n">
        <f aca="false">$B$4-13*($B$5+$B$6)/30-IF($B$11&lt;=13,$B$12,0)+0</f>
        <v>8876.66666666667</v>
      </c>
      <c r="S250" s="14" t="n">
        <f aca="false">$B$4-27*($B$5+$B$6)/30-IF($B$11&lt;=27,$B$12,0)+L250</f>
        <v>10474.7888753258</v>
      </c>
      <c r="T250" s="14" t="n">
        <f aca="false">$B$4-41*($B$5+$B$6)/30-IF($B$11&lt;=41,$B$12,0)+L250+M250</f>
        <v>821.675706039902</v>
      </c>
      <c r="U250" s="14" t="n">
        <f aca="false">$B$4-55*($B$5+$B$6)/30-IF($B$11&lt;=55,$B$12,0)+L250+M250+N250</f>
        <v>2421.14018899296</v>
      </c>
      <c r="V250" s="14" t="n">
        <f aca="false">$B$4-69*($B$5+$B$6)/30-IF($B$11&lt;=69,$B$12,0)+L250+M250+N250+O250</f>
        <v>4794.9435811279</v>
      </c>
      <c r="W250" s="14" t="n">
        <f aca="false">$B$4-83*($B$5+$B$6)/30-IF($B$11&lt;=83,$B$12,0)+L250+M250+N250+O250+P250</f>
        <v>6882.80887018258</v>
      </c>
      <c r="X250" s="14" t="n">
        <f aca="false">$B$4-90*($B$5+$B$6)/30-IF($B$11&lt;=90,$B$12,0)+L250+M250+N250+O250+P250+Q250</f>
        <v>9797.4802810911</v>
      </c>
      <c r="AA250" s="14" t="n">
        <f aca="false">MIN(R250:X250)</f>
        <v>821.675706039902</v>
      </c>
    </row>
    <row r="251" customFormat="false" ht="15" hidden="false" customHeight="false" outlineLevel="0" collapsed="false">
      <c r="K251" s="2" t="n">
        <v>246</v>
      </c>
      <c r="L251" s="14" t="n">
        <f aca="true">$B$16+NORMINV(RAND(),0,SQRT($B$13*($B$7+$B$8^2))*$B$9*(1-$B$10))</f>
        <v>4369.66198687667</v>
      </c>
      <c r="M251" s="14" t="n">
        <f aca="true">$B$16+NORMINV(RAND(),0,SQRT($B$13*($B$7+$B$8^2))*$B$9*(1-$B$10))</f>
        <v>4362.5004638309</v>
      </c>
      <c r="N251" s="14" t="n">
        <f aca="true">$B$16+NORMINV(RAND(),0,SQRT($B$13*($B$7+$B$8^2))*$B$9*(1-$B$10))</f>
        <v>4294.69522928594</v>
      </c>
      <c r="O251" s="14" t="n">
        <f aca="true">$B$16+NORMINV(RAND(),0,SQRT($B$13*($B$7+$B$8^2))*$B$9*(1-$B$10))</f>
        <v>3860.69897729134</v>
      </c>
      <c r="P251" s="14" t="n">
        <f aca="true">$B$16+NORMINV(RAND(),0,SQRT($B$13*($B$7+$B$8^2))*$B$9*(1-$B$10))</f>
        <v>4029.12587848302</v>
      </c>
      <c r="Q251" s="14" t="n">
        <f aca="true">$B$16+NORMINV(RAND(),0,SQRT($B$13*($B$7+$B$8^2))*$B$9*(1-$B$10))</f>
        <v>4167.30517986169</v>
      </c>
      <c r="R251" s="14" t="n">
        <f aca="false">$B$4-13*($B$5+$B$6)/30-IF($B$11&lt;=13,$B$12,0)+0</f>
        <v>8876.66666666667</v>
      </c>
      <c r="S251" s="14" t="n">
        <f aca="false">$B$4-27*($B$5+$B$6)/30-IF($B$11&lt;=27,$B$12,0)+L251</f>
        <v>10959.6619868767</v>
      </c>
      <c r="T251" s="14" t="n">
        <f aca="false">$B$4-41*($B$5+$B$6)/30-IF($B$11&lt;=41,$B$12,0)+L251+M251</f>
        <v>1850.69578404089</v>
      </c>
      <c r="U251" s="14" t="n">
        <f aca="false">$B$4-55*($B$5+$B$6)/30-IF($B$11&lt;=55,$B$12,0)+L251+M251+N251</f>
        <v>3858.72434666016</v>
      </c>
      <c r="V251" s="14" t="n">
        <f aca="false">$B$4-69*($B$5+$B$6)/30-IF($B$11&lt;=69,$B$12,0)+L251+M251+N251+O251</f>
        <v>5432.75665728484</v>
      </c>
      <c r="W251" s="14" t="n">
        <f aca="false">$B$4-83*($B$5+$B$6)/30-IF($B$11&lt;=83,$B$12,0)+L251+M251+N251+O251+P251</f>
        <v>7175.21586910119</v>
      </c>
      <c r="X251" s="14" t="n">
        <f aca="false">$B$4-90*($B$5+$B$6)/30-IF($B$11&lt;=90,$B$12,0)+L251+M251+N251+O251+P251+Q251</f>
        <v>10199.1877156296</v>
      </c>
      <c r="AA251" s="14" t="n">
        <f aca="false">MIN(R251:X251)</f>
        <v>1850.69578404089</v>
      </c>
    </row>
    <row r="252" customFormat="false" ht="15" hidden="false" customHeight="false" outlineLevel="0" collapsed="false">
      <c r="K252" s="2" t="n">
        <v>247</v>
      </c>
      <c r="L252" s="14" t="n">
        <f aca="true">$B$16+NORMINV(RAND(),0,SQRT($B$13*($B$7+$B$8^2))*$B$9*(1-$B$10))</f>
        <v>4167.93008647613</v>
      </c>
      <c r="M252" s="14" t="n">
        <f aca="true">$B$16+NORMINV(RAND(),0,SQRT($B$13*($B$7+$B$8^2))*$B$9*(1-$B$10))</f>
        <v>4197.44472140375</v>
      </c>
      <c r="N252" s="14" t="n">
        <f aca="true">$B$16+NORMINV(RAND(),0,SQRT($B$13*($B$7+$B$8^2))*$B$9*(1-$B$10))</f>
        <v>4489.78693377519</v>
      </c>
      <c r="O252" s="14" t="n">
        <f aca="true">$B$16+NORMINV(RAND(),0,SQRT($B$13*($B$7+$B$8^2))*$B$9*(1-$B$10))</f>
        <v>3997.43543109003</v>
      </c>
      <c r="P252" s="14" t="n">
        <f aca="true">$B$16+NORMINV(RAND(),0,SQRT($B$13*($B$7+$B$8^2))*$B$9*(1-$B$10))</f>
        <v>4255.35517790266</v>
      </c>
      <c r="Q252" s="14" t="n">
        <f aca="true">$B$16+NORMINV(RAND(),0,SQRT($B$13*($B$7+$B$8^2))*$B$9*(1-$B$10))</f>
        <v>3809.45986937565</v>
      </c>
      <c r="R252" s="14" t="n">
        <f aca="false">$B$4-13*($B$5+$B$6)/30-IF($B$11&lt;=13,$B$12,0)+0</f>
        <v>8876.66666666667</v>
      </c>
      <c r="S252" s="14" t="n">
        <f aca="false">$B$4-27*($B$5+$B$6)/30-IF($B$11&lt;=27,$B$12,0)+L252</f>
        <v>10757.9300864761</v>
      </c>
      <c r="T252" s="14" t="n">
        <f aca="false">$B$4-41*($B$5+$B$6)/30-IF($B$11&lt;=41,$B$12,0)+L252+M252</f>
        <v>1483.90814121321</v>
      </c>
      <c r="U252" s="14" t="n">
        <f aca="false">$B$4-55*($B$5+$B$6)/30-IF($B$11&lt;=55,$B$12,0)+L252+M252+N252</f>
        <v>3687.02840832173</v>
      </c>
      <c r="V252" s="14" t="n">
        <f aca="false">$B$4-69*($B$5+$B$6)/30-IF($B$11&lt;=69,$B$12,0)+L252+M252+N252+O252</f>
        <v>5397.7971727451</v>
      </c>
      <c r="W252" s="14" t="n">
        <f aca="false">$B$4-83*($B$5+$B$6)/30-IF($B$11&lt;=83,$B$12,0)+L252+M252+N252+O252+P252</f>
        <v>7366.48568398109</v>
      </c>
      <c r="X252" s="14" t="n">
        <f aca="false">$B$4-90*($B$5+$B$6)/30-IF($B$11&lt;=90,$B$12,0)+L252+M252+N252+O252+P252+Q252</f>
        <v>10032.6122200234</v>
      </c>
      <c r="AA252" s="14" t="n">
        <f aca="false">MIN(R252:X252)</f>
        <v>1483.90814121321</v>
      </c>
    </row>
    <row r="253" customFormat="false" ht="15" hidden="false" customHeight="false" outlineLevel="0" collapsed="false">
      <c r="K253" s="2" t="n">
        <v>248</v>
      </c>
      <c r="L253" s="14" t="n">
        <f aca="true">$B$16+NORMINV(RAND(),0,SQRT($B$13*($B$7+$B$8^2))*$B$9*(1-$B$10))</f>
        <v>3864.93602427991</v>
      </c>
      <c r="M253" s="14" t="n">
        <f aca="true">$B$16+NORMINV(RAND(),0,SQRT($B$13*($B$7+$B$8^2))*$B$9*(1-$B$10))</f>
        <v>4393.2830339163</v>
      </c>
      <c r="N253" s="14" t="n">
        <f aca="true">$B$16+NORMINV(RAND(),0,SQRT($B$13*($B$7+$B$8^2))*$B$9*(1-$B$10))</f>
        <v>4003.0709251675</v>
      </c>
      <c r="O253" s="14" t="n">
        <f aca="true">$B$16+NORMINV(RAND(),0,SQRT($B$13*($B$7+$B$8^2))*$B$9*(1-$B$10))</f>
        <v>4564.20891147798</v>
      </c>
      <c r="P253" s="14" t="n">
        <f aca="true">$B$16+NORMINV(RAND(),0,SQRT($B$13*($B$7+$B$8^2))*$B$9*(1-$B$10))</f>
        <v>3688.51114894203</v>
      </c>
      <c r="Q253" s="14" t="n">
        <f aca="true">$B$16+NORMINV(RAND(),0,SQRT($B$13*($B$7+$B$8^2))*$B$9*(1-$B$10))</f>
        <v>4294.36296998994</v>
      </c>
      <c r="R253" s="14" t="n">
        <f aca="false">$B$4-13*($B$5+$B$6)/30-IF($B$11&lt;=13,$B$12,0)+0</f>
        <v>8876.66666666667</v>
      </c>
      <c r="S253" s="14" t="n">
        <f aca="false">$B$4-27*($B$5+$B$6)/30-IF($B$11&lt;=27,$B$12,0)+L253</f>
        <v>10454.9360242799</v>
      </c>
      <c r="T253" s="14" t="n">
        <f aca="false">$B$4-41*($B$5+$B$6)/30-IF($B$11&lt;=41,$B$12,0)+L253+M253</f>
        <v>1376.75239152954</v>
      </c>
      <c r="U253" s="14" t="n">
        <f aca="false">$B$4-55*($B$5+$B$6)/30-IF($B$11&lt;=55,$B$12,0)+L253+M253+N253</f>
        <v>3093.15665003037</v>
      </c>
      <c r="V253" s="14" t="n">
        <f aca="false">$B$4-69*($B$5+$B$6)/30-IF($B$11&lt;=69,$B$12,0)+L253+M253+N253+O253</f>
        <v>5370.69889484169</v>
      </c>
      <c r="W253" s="14" t="n">
        <f aca="false">$B$4-83*($B$5+$B$6)/30-IF($B$11&lt;=83,$B$12,0)+L253+M253+N253+O253+P253</f>
        <v>6772.54337711706</v>
      </c>
      <c r="X253" s="14" t="n">
        <f aca="false">$B$4-90*($B$5+$B$6)/30-IF($B$11&lt;=90,$B$12,0)+L253+M253+N253+O253+P253+Q253</f>
        <v>9923.57301377366</v>
      </c>
      <c r="AA253" s="14" t="n">
        <f aca="false">MIN(R253:X253)</f>
        <v>1376.75239152954</v>
      </c>
    </row>
    <row r="254" customFormat="false" ht="15" hidden="false" customHeight="false" outlineLevel="0" collapsed="false">
      <c r="K254" s="2" t="n">
        <v>249</v>
      </c>
      <c r="L254" s="14" t="n">
        <f aca="true">$B$16+NORMINV(RAND(),0,SQRT($B$13*($B$7+$B$8^2))*$B$9*(1-$B$10))</f>
        <v>3652.6963688022</v>
      </c>
      <c r="M254" s="14" t="n">
        <f aca="true">$B$16+NORMINV(RAND(),0,SQRT($B$13*($B$7+$B$8^2))*$B$9*(1-$B$10))</f>
        <v>4490.13927849736</v>
      </c>
      <c r="N254" s="14" t="n">
        <f aca="true">$B$16+NORMINV(RAND(),0,SQRT($B$13*($B$7+$B$8^2))*$B$9*(1-$B$10))</f>
        <v>3804.99360959067</v>
      </c>
      <c r="O254" s="14" t="n">
        <f aca="true">$B$16+NORMINV(RAND(),0,SQRT($B$13*($B$7+$B$8^2))*$B$9*(1-$B$10))</f>
        <v>4369.3024082103</v>
      </c>
      <c r="P254" s="14" t="n">
        <f aca="true">$B$16+NORMINV(RAND(),0,SQRT($B$13*($B$7+$B$8^2))*$B$9*(1-$B$10))</f>
        <v>4472.27823203121</v>
      </c>
      <c r="Q254" s="14" t="n">
        <f aca="true">$B$16+NORMINV(RAND(),0,SQRT($B$13*($B$7+$B$8^2))*$B$9*(1-$B$10))</f>
        <v>4184.82810575034</v>
      </c>
      <c r="R254" s="14" t="n">
        <f aca="false">$B$4-13*($B$5+$B$6)/30-IF($B$11&lt;=13,$B$12,0)+0</f>
        <v>8876.66666666667</v>
      </c>
      <c r="S254" s="14" t="n">
        <f aca="false">$B$4-27*($B$5+$B$6)/30-IF($B$11&lt;=27,$B$12,0)+L254</f>
        <v>10242.6963688022</v>
      </c>
      <c r="T254" s="14" t="n">
        <f aca="false">$B$4-41*($B$5+$B$6)/30-IF($B$11&lt;=41,$B$12,0)+L254+M254</f>
        <v>1261.36898063289</v>
      </c>
      <c r="U254" s="14" t="n">
        <f aca="false">$B$4-55*($B$5+$B$6)/30-IF($B$11&lt;=55,$B$12,0)+L254+M254+N254</f>
        <v>2779.69592355689</v>
      </c>
      <c r="V254" s="14" t="n">
        <f aca="false">$B$4-69*($B$5+$B$6)/30-IF($B$11&lt;=69,$B$12,0)+L254+M254+N254+O254</f>
        <v>4862.33166510052</v>
      </c>
      <c r="W254" s="14" t="n">
        <f aca="false">$B$4-83*($B$5+$B$6)/30-IF($B$11&lt;=83,$B$12,0)+L254+M254+N254+O254+P254</f>
        <v>7047.94323046507</v>
      </c>
      <c r="X254" s="14" t="n">
        <f aca="false">$B$4-90*($B$5+$B$6)/30-IF($B$11&lt;=90,$B$12,0)+L254+M254+N254+O254+P254+Q254</f>
        <v>10089.4380028821</v>
      </c>
      <c r="AA254" s="14" t="n">
        <f aca="false">MIN(R254:X254)</f>
        <v>1261.36898063289</v>
      </c>
    </row>
    <row r="255" customFormat="false" ht="15" hidden="false" customHeight="false" outlineLevel="0" collapsed="false">
      <c r="K255" s="2" t="n">
        <v>250</v>
      </c>
      <c r="L255" s="14" t="n">
        <f aca="true">$B$16+NORMINV(RAND(),0,SQRT($B$13*($B$7+$B$8^2))*$B$9*(1-$B$10))</f>
        <v>4230.99100589112</v>
      </c>
      <c r="M255" s="14" t="n">
        <f aca="true">$B$16+NORMINV(RAND(),0,SQRT($B$13*($B$7+$B$8^2))*$B$9*(1-$B$10))</f>
        <v>4185.32662078536</v>
      </c>
      <c r="N255" s="14" t="n">
        <f aca="true">$B$16+NORMINV(RAND(),0,SQRT($B$13*($B$7+$B$8^2))*$B$9*(1-$B$10))</f>
        <v>3509.67891908705</v>
      </c>
      <c r="O255" s="14" t="n">
        <f aca="true">$B$16+NORMINV(RAND(),0,SQRT($B$13*($B$7+$B$8^2))*$B$9*(1-$B$10))</f>
        <v>4423.14671484308</v>
      </c>
      <c r="P255" s="14" t="n">
        <f aca="true">$B$16+NORMINV(RAND(),0,SQRT($B$13*($B$7+$B$8^2))*$B$9*(1-$B$10))</f>
        <v>4451.53533604078</v>
      </c>
      <c r="Q255" s="14" t="n">
        <f aca="true">$B$16+NORMINV(RAND(),0,SQRT($B$13*($B$7+$B$8^2))*$B$9*(1-$B$10))</f>
        <v>4151.68243219471</v>
      </c>
      <c r="R255" s="14" t="n">
        <f aca="false">$B$4-13*($B$5+$B$6)/30-IF($B$11&lt;=13,$B$12,0)+0</f>
        <v>8876.66666666667</v>
      </c>
      <c r="S255" s="14" t="n">
        <f aca="false">$B$4-27*($B$5+$B$6)/30-IF($B$11&lt;=27,$B$12,0)+L255</f>
        <v>10820.9910058911</v>
      </c>
      <c r="T255" s="14" t="n">
        <f aca="false">$B$4-41*($B$5+$B$6)/30-IF($B$11&lt;=41,$B$12,0)+L255+M255</f>
        <v>1534.8509600098</v>
      </c>
      <c r="U255" s="14" t="n">
        <f aca="false">$B$4-55*($B$5+$B$6)/30-IF($B$11&lt;=55,$B$12,0)+L255+M255+N255</f>
        <v>2757.86321243019</v>
      </c>
      <c r="V255" s="14" t="n">
        <f aca="false">$B$4-69*($B$5+$B$6)/30-IF($B$11&lt;=69,$B$12,0)+L255+M255+N255+O255</f>
        <v>4894.3432606066</v>
      </c>
      <c r="W255" s="14" t="n">
        <f aca="false">$B$4-83*($B$5+$B$6)/30-IF($B$11&lt;=83,$B$12,0)+L255+M255+N255+O255+P255</f>
        <v>7059.21192998072</v>
      </c>
      <c r="X255" s="14" t="n">
        <f aca="false">$B$4-90*($B$5+$B$6)/30-IF($B$11&lt;=90,$B$12,0)+L255+M255+N255+O255+P255+Q255</f>
        <v>10067.5610288421</v>
      </c>
      <c r="AA255" s="14" t="n">
        <f aca="false">MIN(R255:X255)</f>
        <v>1534.8509600098</v>
      </c>
    </row>
    <row r="256" customFormat="false" ht="15" hidden="false" customHeight="false" outlineLevel="0" collapsed="false">
      <c r="K256" s="2" t="n">
        <v>251</v>
      </c>
      <c r="L256" s="14" t="n">
        <f aca="true">$B$16+NORMINV(RAND(),0,SQRT($B$13*($B$7+$B$8^2))*$B$9*(1-$B$10))</f>
        <v>4010.0171344681</v>
      </c>
      <c r="M256" s="14" t="n">
        <f aca="true">$B$16+NORMINV(RAND(),0,SQRT($B$13*($B$7+$B$8^2))*$B$9*(1-$B$10))</f>
        <v>3979.83813178361</v>
      </c>
      <c r="N256" s="14" t="n">
        <f aca="true">$B$16+NORMINV(RAND(),0,SQRT($B$13*($B$7+$B$8^2))*$B$9*(1-$B$10))</f>
        <v>3587.09186998354</v>
      </c>
      <c r="O256" s="14" t="n">
        <f aca="true">$B$16+NORMINV(RAND(),0,SQRT($B$13*($B$7+$B$8^2))*$B$9*(1-$B$10))</f>
        <v>3908.07588137811</v>
      </c>
      <c r="P256" s="14" t="n">
        <f aca="true">$B$16+NORMINV(RAND(),0,SQRT($B$13*($B$7+$B$8^2))*$B$9*(1-$B$10))</f>
        <v>4139.42737771075</v>
      </c>
      <c r="Q256" s="14" t="n">
        <f aca="true">$B$16+NORMINV(RAND(),0,SQRT($B$13*($B$7+$B$8^2))*$B$9*(1-$B$10))</f>
        <v>4109.59842337063</v>
      </c>
      <c r="R256" s="14" t="n">
        <f aca="false">$B$4-13*($B$5+$B$6)/30-IF($B$11&lt;=13,$B$12,0)+0</f>
        <v>8876.66666666667</v>
      </c>
      <c r="S256" s="14" t="n">
        <f aca="false">$B$4-27*($B$5+$B$6)/30-IF($B$11&lt;=27,$B$12,0)+L256</f>
        <v>10600.0171344681</v>
      </c>
      <c r="T256" s="14" t="n">
        <f aca="false">$B$4-41*($B$5+$B$6)/30-IF($B$11&lt;=41,$B$12,0)+L256+M256</f>
        <v>1108.38859958504</v>
      </c>
      <c r="U256" s="14" t="n">
        <f aca="false">$B$4-55*($B$5+$B$6)/30-IF($B$11&lt;=55,$B$12,0)+L256+M256+N256</f>
        <v>2408.81380290191</v>
      </c>
      <c r="V256" s="14" t="n">
        <f aca="false">$B$4-69*($B$5+$B$6)/30-IF($B$11&lt;=69,$B$12,0)+L256+M256+N256+O256</f>
        <v>4030.22301761336</v>
      </c>
      <c r="W256" s="14" t="n">
        <f aca="false">$B$4-83*($B$5+$B$6)/30-IF($B$11&lt;=83,$B$12,0)+L256+M256+N256+O256+P256</f>
        <v>5882.98372865744</v>
      </c>
      <c r="X256" s="14" t="n">
        <f aca="false">$B$4-90*($B$5+$B$6)/30-IF($B$11&lt;=90,$B$12,0)+L256+M256+N256+O256+P256+Q256</f>
        <v>8849.24881869475</v>
      </c>
      <c r="AA256" s="14" t="n">
        <f aca="false">MIN(R256:X256)</f>
        <v>1108.38859958504</v>
      </c>
    </row>
    <row r="257" customFormat="false" ht="15" hidden="false" customHeight="false" outlineLevel="0" collapsed="false">
      <c r="K257" s="2" t="n">
        <v>252</v>
      </c>
      <c r="L257" s="14" t="n">
        <f aca="true">$B$16+NORMINV(RAND(),0,SQRT($B$13*($B$7+$B$8^2))*$B$9*(1-$B$10))</f>
        <v>4543.62389133503</v>
      </c>
      <c r="M257" s="14" t="n">
        <f aca="true">$B$16+NORMINV(RAND(),0,SQRT($B$13*($B$7+$B$8^2))*$B$9*(1-$B$10))</f>
        <v>3891.86828109466</v>
      </c>
      <c r="N257" s="14" t="n">
        <f aca="true">$B$16+NORMINV(RAND(),0,SQRT($B$13*($B$7+$B$8^2))*$B$9*(1-$B$10))</f>
        <v>4291.77700178763</v>
      </c>
      <c r="O257" s="14" t="n">
        <f aca="true">$B$16+NORMINV(RAND(),0,SQRT($B$13*($B$7+$B$8^2))*$B$9*(1-$B$10))</f>
        <v>4253.78063484211</v>
      </c>
      <c r="P257" s="14" t="n">
        <f aca="true">$B$16+NORMINV(RAND(),0,SQRT($B$13*($B$7+$B$8^2))*$B$9*(1-$B$10))</f>
        <v>4008.79651880596</v>
      </c>
      <c r="Q257" s="14" t="n">
        <f aca="true">$B$16+NORMINV(RAND(),0,SQRT($B$13*($B$7+$B$8^2))*$B$9*(1-$B$10))</f>
        <v>3926.95323415177</v>
      </c>
      <c r="R257" s="14" t="n">
        <f aca="false">$B$4-13*($B$5+$B$6)/30-IF($B$11&lt;=13,$B$12,0)+0</f>
        <v>8876.66666666667</v>
      </c>
      <c r="S257" s="14" t="n">
        <f aca="false">$B$4-27*($B$5+$B$6)/30-IF($B$11&lt;=27,$B$12,0)+L257</f>
        <v>11133.623891335</v>
      </c>
      <c r="T257" s="14" t="n">
        <f aca="false">$B$4-41*($B$5+$B$6)/30-IF($B$11&lt;=41,$B$12,0)+L257+M257</f>
        <v>1554.02550576302</v>
      </c>
      <c r="U257" s="14" t="n">
        <f aca="false">$B$4-55*($B$5+$B$6)/30-IF($B$11&lt;=55,$B$12,0)+L257+M257+N257</f>
        <v>3559.13584088398</v>
      </c>
      <c r="V257" s="14" t="n">
        <f aca="false">$B$4-69*($B$5+$B$6)/30-IF($B$11&lt;=69,$B$12,0)+L257+M257+N257+O257</f>
        <v>5526.24980905943</v>
      </c>
      <c r="W257" s="14" t="n">
        <f aca="false">$B$4-83*($B$5+$B$6)/30-IF($B$11&lt;=83,$B$12,0)+L257+M257+N257+O257+P257</f>
        <v>7248.37966119872</v>
      </c>
      <c r="X257" s="14" t="n">
        <f aca="false">$B$4-90*($B$5+$B$6)/30-IF($B$11&lt;=90,$B$12,0)+L257+M257+N257+O257+P257+Q257</f>
        <v>10031.9995620172</v>
      </c>
      <c r="AA257" s="14" t="n">
        <f aca="false">MIN(R257:X257)</f>
        <v>1554.02550576302</v>
      </c>
    </row>
    <row r="258" customFormat="false" ht="15" hidden="false" customHeight="false" outlineLevel="0" collapsed="false">
      <c r="K258" s="2" t="n">
        <v>253</v>
      </c>
      <c r="L258" s="14" t="n">
        <f aca="true">$B$16+NORMINV(RAND(),0,SQRT($B$13*($B$7+$B$8^2))*$B$9*(1-$B$10))</f>
        <v>4336.97611638714</v>
      </c>
      <c r="M258" s="14" t="n">
        <f aca="true">$B$16+NORMINV(RAND(),0,SQRT($B$13*($B$7+$B$8^2))*$B$9*(1-$B$10))</f>
        <v>3981.56645995944</v>
      </c>
      <c r="N258" s="14" t="n">
        <f aca="true">$B$16+NORMINV(RAND(),0,SQRT($B$13*($B$7+$B$8^2))*$B$9*(1-$B$10))</f>
        <v>3535.52995878796</v>
      </c>
      <c r="O258" s="14" t="n">
        <f aca="true">$B$16+NORMINV(RAND(),0,SQRT($B$13*($B$7+$B$8^2))*$B$9*(1-$B$10))</f>
        <v>4064.2818177239</v>
      </c>
      <c r="P258" s="14" t="n">
        <f aca="true">$B$16+NORMINV(RAND(),0,SQRT($B$13*($B$7+$B$8^2))*$B$9*(1-$B$10))</f>
        <v>4346.58990583007</v>
      </c>
      <c r="Q258" s="14" t="n">
        <f aca="true">$B$16+NORMINV(RAND(),0,SQRT($B$13*($B$7+$B$8^2))*$B$9*(1-$B$10))</f>
        <v>4133.92481136829</v>
      </c>
      <c r="R258" s="14" t="n">
        <f aca="false">$B$4-13*($B$5+$B$6)/30-IF($B$11&lt;=13,$B$12,0)+0</f>
        <v>8876.66666666667</v>
      </c>
      <c r="S258" s="14" t="n">
        <f aca="false">$B$4-27*($B$5+$B$6)/30-IF($B$11&lt;=27,$B$12,0)+L258</f>
        <v>10926.9761163871</v>
      </c>
      <c r="T258" s="14" t="n">
        <f aca="false">$B$4-41*($B$5+$B$6)/30-IF($B$11&lt;=41,$B$12,0)+L258+M258</f>
        <v>1437.07590967991</v>
      </c>
      <c r="U258" s="14" t="n">
        <f aca="false">$B$4-55*($B$5+$B$6)/30-IF($B$11&lt;=55,$B$12,0)+L258+M258+N258</f>
        <v>2685.9392018012</v>
      </c>
      <c r="V258" s="14" t="n">
        <f aca="false">$B$4-69*($B$5+$B$6)/30-IF($B$11&lt;=69,$B$12,0)+L258+M258+N258+O258</f>
        <v>4463.55435285843</v>
      </c>
      <c r="W258" s="14" t="n">
        <f aca="false">$B$4-83*($B$5+$B$6)/30-IF($B$11&lt;=83,$B$12,0)+L258+M258+N258+O258+P258</f>
        <v>6523.47759202183</v>
      </c>
      <c r="X258" s="14" t="n">
        <f aca="false">$B$4-90*($B$5+$B$6)/30-IF($B$11&lt;=90,$B$12,0)+L258+M258+N258+O258+P258+Q258</f>
        <v>9514.06907005679</v>
      </c>
      <c r="AA258" s="14" t="n">
        <f aca="false">MIN(R258:X258)</f>
        <v>1437.07590967991</v>
      </c>
    </row>
    <row r="259" customFormat="false" ht="15" hidden="false" customHeight="false" outlineLevel="0" collapsed="false">
      <c r="K259" s="2" t="n">
        <v>254</v>
      </c>
      <c r="L259" s="14" t="n">
        <f aca="true">$B$16+NORMINV(RAND(),0,SQRT($B$13*($B$7+$B$8^2))*$B$9*(1-$B$10))</f>
        <v>3327.31541940788</v>
      </c>
      <c r="M259" s="14" t="n">
        <f aca="true">$B$16+NORMINV(RAND(),0,SQRT($B$13*($B$7+$B$8^2))*$B$9*(1-$B$10))</f>
        <v>3419.56535755308</v>
      </c>
      <c r="N259" s="14" t="n">
        <f aca="true">$B$16+NORMINV(RAND(),0,SQRT($B$13*($B$7+$B$8^2))*$B$9*(1-$B$10))</f>
        <v>4471.2814421872</v>
      </c>
      <c r="O259" s="14" t="n">
        <f aca="true">$B$16+NORMINV(RAND(),0,SQRT($B$13*($B$7+$B$8^2))*$B$9*(1-$B$10))</f>
        <v>3882.79382192104</v>
      </c>
      <c r="P259" s="14" t="n">
        <f aca="true">$B$16+NORMINV(RAND(),0,SQRT($B$13*($B$7+$B$8^2))*$B$9*(1-$B$10))</f>
        <v>4469.81447889014</v>
      </c>
      <c r="Q259" s="14" t="n">
        <f aca="true">$B$16+NORMINV(RAND(),0,SQRT($B$13*($B$7+$B$8^2))*$B$9*(1-$B$10))</f>
        <v>3534.62077821679</v>
      </c>
      <c r="R259" s="14" t="n">
        <f aca="false">$B$4-13*($B$5+$B$6)/30-IF($B$11&lt;=13,$B$12,0)+0</f>
        <v>8876.66666666667</v>
      </c>
      <c r="S259" s="14" t="n">
        <f aca="false">$B$4-27*($B$5+$B$6)/30-IF($B$11&lt;=27,$B$12,0)+L259</f>
        <v>9917.31541940788</v>
      </c>
      <c r="T259" s="14" t="n">
        <f aca="false">$B$4-41*($B$5+$B$6)/30-IF($B$11&lt;=41,$B$12,0)+L259+M259</f>
        <v>-134.585889705708</v>
      </c>
      <c r="U259" s="14" t="n">
        <f aca="false">$B$4-55*($B$5+$B$6)/30-IF($B$11&lt;=55,$B$12,0)+L259+M259+N259</f>
        <v>2050.02888581482</v>
      </c>
      <c r="V259" s="14" t="n">
        <f aca="false">$B$4-69*($B$5+$B$6)/30-IF($B$11&lt;=69,$B$12,0)+L259+M259+N259+O259</f>
        <v>3646.15604106919</v>
      </c>
      <c r="W259" s="14" t="n">
        <f aca="false">$B$4-83*($B$5+$B$6)/30-IF($B$11&lt;=83,$B$12,0)+L259+M259+N259+O259+P259</f>
        <v>5829.30385329266</v>
      </c>
      <c r="X259" s="14" t="n">
        <f aca="false">$B$4-90*($B$5+$B$6)/30-IF($B$11&lt;=90,$B$12,0)+L259+M259+N259+O259+P259+Q259</f>
        <v>8220.59129817611</v>
      </c>
      <c r="AA259" s="14" t="n">
        <f aca="false">MIN(R259:X259)</f>
        <v>-134.585889705708</v>
      </c>
    </row>
    <row r="260" customFormat="false" ht="15" hidden="false" customHeight="false" outlineLevel="0" collapsed="false">
      <c r="K260" s="2" t="n">
        <v>255</v>
      </c>
      <c r="L260" s="14" t="n">
        <f aca="true">$B$16+NORMINV(RAND(),0,SQRT($B$13*($B$7+$B$8^2))*$B$9*(1-$B$10))</f>
        <v>4445.0331405939</v>
      </c>
      <c r="M260" s="14" t="n">
        <f aca="true">$B$16+NORMINV(RAND(),0,SQRT($B$13*($B$7+$B$8^2))*$B$9*(1-$B$10))</f>
        <v>3728.88869062941</v>
      </c>
      <c r="N260" s="14" t="n">
        <f aca="true">$B$16+NORMINV(RAND(),0,SQRT($B$13*($B$7+$B$8^2))*$B$9*(1-$B$10))</f>
        <v>4042.24438216769</v>
      </c>
      <c r="O260" s="14" t="n">
        <f aca="true">$B$16+NORMINV(RAND(),0,SQRT($B$13*($B$7+$B$8^2))*$B$9*(1-$B$10))</f>
        <v>4271.83722541946</v>
      </c>
      <c r="P260" s="14" t="n">
        <f aca="true">$B$16+NORMINV(RAND(),0,SQRT($B$13*($B$7+$B$8^2))*$B$9*(1-$B$10))</f>
        <v>4063.01684171387</v>
      </c>
      <c r="Q260" s="14" t="n">
        <f aca="true">$B$16+NORMINV(RAND(),0,SQRT($B$13*($B$7+$B$8^2))*$B$9*(1-$B$10))</f>
        <v>4873.87800591909</v>
      </c>
      <c r="R260" s="14" t="n">
        <f aca="false">$B$4-13*($B$5+$B$6)/30-IF($B$11&lt;=13,$B$12,0)+0</f>
        <v>8876.66666666667</v>
      </c>
      <c r="S260" s="14" t="n">
        <f aca="false">$B$4-27*($B$5+$B$6)/30-IF($B$11&lt;=27,$B$12,0)+L260</f>
        <v>11035.0331405939</v>
      </c>
      <c r="T260" s="14" t="n">
        <f aca="false">$B$4-41*($B$5+$B$6)/30-IF($B$11&lt;=41,$B$12,0)+L260+M260</f>
        <v>1292.45516455664</v>
      </c>
      <c r="U260" s="14" t="n">
        <f aca="false">$B$4-55*($B$5+$B$6)/30-IF($B$11&lt;=55,$B$12,0)+L260+M260+N260</f>
        <v>3048.03288005766</v>
      </c>
      <c r="V260" s="14" t="n">
        <f aca="false">$B$4-69*($B$5+$B$6)/30-IF($B$11&lt;=69,$B$12,0)+L260+M260+N260+O260</f>
        <v>5033.20343881046</v>
      </c>
      <c r="W260" s="14" t="n">
        <f aca="false">$B$4-83*($B$5+$B$6)/30-IF($B$11&lt;=83,$B$12,0)+L260+M260+N260+O260+P260</f>
        <v>6809.55361385766</v>
      </c>
      <c r="X260" s="14" t="n">
        <f aca="false">$B$4-90*($B$5+$B$6)/30-IF($B$11&lt;=90,$B$12,0)+L260+M260+N260+O260+P260+Q260</f>
        <v>10540.0982864434</v>
      </c>
      <c r="AA260" s="14" t="n">
        <f aca="false">MIN(R260:X260)</f>
        <v>1292.45516455664</v>
      </c>
    </row>
    <row r="261" customFormat="false" ht="15" hidden="false" customHeight="false" outlineLevel="0" collapsed="false">
      <c r="K261" s="2" t="n">
        <v>256</v>
      </c>
      <c r="L261" s="14" t="n">
        <f aca="true">$B$16+NORMINV(RAND(),0,SQRT($B$13*($B$7+$B$8^2))*$B$9*(1-$B$10))</f>
        <v>3929.68147165822</v>
      </c>
      <c r="M261" s="14" t="n">
        <f aca="true">$B$16+NORMINV(RAND(),0,SQRT($B$13*($B$7+$B$8^2))*$B$9*(1-$B$10))</f>
        <v>3752.55248856931</v>
      </c>
      <c r="N261" s="14" t="n">
        <f aca="true">$B$16+NORMINV(RAND(),0,SQRT($B$13*($B$7+$B$8^2))*$B$9*(1-$B$10))</f>
        <v>4511.18253768867</v>
      </c>
      <c r="O261" s="14" t="n">
        <f aca="true">$B$16+NORMINV(RAND(),0,SQRT($B$13*($B$7+$B$8^2))*$B$9*(1-$B$10))</f>
        <v>4396.06138016217</v>
      </c>
      <c r="P261" s="14" t="n">
        <f aca="true">$B$16+NORMINV(RAND(),0,SQRT($B$13*($B$7+$B$8^2))*$B$9*(1-$B$10))</f>
        <v>3990.51451643793</v>
      </c>
      <c r="Q261" s="14" t="n">
        <f aca="true">$B$16+NORMINV(RAND(),0,SQRT($B$13*($B$7+$B$8^2))*$B$9*(1-$B$10))</f>
        <v>4064.6159133472</v>
      </c>
      <c r="R261" s="14" t="n">
        <f aca="false">$B$4-13*($B$5+$B$6)/30-IF($B$11&lt;=13,$B$12,0)+0</f>
        <v>8876.66666666667</v>
      </c>
      <c r="S261" s="14" t="n">
        <f aca="false">$B$4-27*($B$5+$B$6)/30-IF($B$11&lt;=27,$B$12,0)+L261</f>
        <v>10519.6814716582</v>
      </c>
      <c r="T261" s="14" t="n">
        <f aca="false">$B$4-41*($B$5+$B$6)/30-IF($B$11&lt;=41,$B$12,0)+L261+M261</f>
        <v>800.767293560865</v>
      </c>
      <c r="U261" s="14" t="n">
        <f aca="false">$B$4-55*($B$5+$B$6)/30-IF($B$11&lt;=55,$B$12,0)+L261+M261+N261</f>
        <v>3025.28316458287</v>
      </c>
      <c r="V261" s="14" t="n">
        <f aca="false">$B$4-69*($B$5+$B$6)/30-IF($B$11&lt;=69,$B$12,0)+L261+M261+N261+O261</f>
        <v>5134.67787807838</v>
      </c>
      <c r="W261" s="14" t="n">
        <f aca="false">$B$4-83*($B$5+$B$6)/30-IF($B$11&lt;=83,$B$12,0)+L261+M261+N261+O261+P261</f>
        <v>6838.52572784964</v>
      </c>
      <c r="X261" s="14" t="n">
        <f aca="false">$B$4-90*($B$5+$B$6)/30-IF($B$11&lt;=90,$B$12,0)+L261+M261+N261+O261+P261+Q261</f>
        <v>9759.80830786351</v>
      </c>
      <c r="AA261" s="14" t="n">
        <f aca="false">MIN(R261:X261)</f>
        <v>800.767293560865</v>
      </c>
    </row>
    <row r="262" customFormat="false" ht="15" hidden="false" customHeight="false" outlineLevel="0" collapsed="false">
      <c r="K262" s="2" t="n">
        <v>257</v>
      </c>
      <c r="L262" s="14" t="n">
        <f aca="true">$B$16+NORMINV(RAND(),0,SQRT($B$13*($B$7+$B$8^2))*$B$9*(1-$B$10))</f>
        <v>4065.54983283452</v>
      </c>
      <c r="M262" s="14" t="n">
        <f aca="true">$B$16+NORMINV(RAND(),0,SQRT($B$13*($B$7+$B$8^2))*$B$9*(1-$B$10))</f>
        <v>3567.11781123158</v>
      </c>
      <c r="N262" s="14" t="n">
        <f aca="true">$B$16+NORMINV(RAND(),0,SQRT($B$13*($B$7+$B$8^2))*$B$9*(1-$B$10))</f>
        <v>4299.86096682512</v>
      </c>
      <c r="O262" s="14" t="n">
        <f aca="true">$B$16+NORMINV(RAND(),0,SQRT($B$13*($B$7+$B$8^2))*$B$9*(1-$B$10))</f>
        <v>4413.58822445281</v>
      </c>
      <c r="P262" s="14" t="n">
        <f aca="true">$B$16+NORMINV(RAND(),0,SQRT($B$13*($B$7+$B$8^2))*$B$9*(1-$B$10))</f>
        <v>3983.3096305652</v>
      </c>
      <c r="Q262" s="14" t="n">
        <f aca="true">$B$16+NORMINV(RAND(),0,SQRT($B$13*($B$7+$B$8^2))*$B$9*(1-$B$10))</f>
        <v>3863.13248459431</v>
      </c>
      <c r="R262" s="14" t="n">
        <f aca="false">$B$4-13*($B$5+$B$6)/30-IF($B$11&lt;=13,$B$12,0)+0</f>
        <v>8876.66666666667</v>
      </c>
      <c r="S262" s="14" t="n">
        <f aca="false">$B$4-27*($B$5+$B$6)/30-IF($B$11&lt;=27,$B$12,0)+L262</f>
        <v>10655.5498328345</v>
      </c>
      <c r="T262" s="14" t="n">
        <f aca="false">$B$4-41*($B$5+$B$6)/30-IF($B$11&lt;=41,$B$12,0)+L262+M262</f>
        <v>751.200977399438</v>
      </c>
      <c r="U262" s="14" t="n">
        <f aca="false">$B$4-55*($B$5+$B$6)/30-IF($B$11&lt;=55,$B$12,0)+L262+M262+N262</f>
        <v>2764.3952775579</v>
      </c>
      <c r="V262" s="14" t="n">
        <f aca="false">$B$4-69*($B$5+$B$6)/30-IF($B$11&lt;=69,$B$12,0)+L262+M262+N262+O262</f>
        <v>4891.31683534403</v>
      </c>
      <c r="W262" s="14" t="n">
        <f aca="false">$B$4-83*($B$5+$B$6)/30-IF($B$11&lt;=83,$B$12,0)+L262+M262+N262+O262+P262</f>
        <v>6587.95979924257</v>
      </c>
      <c r="X262" s="14" t="n">
        <f aca="false">$B$4-90*($B$5+$B$6)/30-IF($B$11&lt;=90,$B$12,0)+L262+M262+N262+O262+P262+Q262</f>
        <v>9307.75895050355</v>
      </c>
      <c r="AA262" s="14" t="n">
        <f aca="false">MIN(R262:X262)</f>
        <v>751.200977399438</v>
      </c>
    </row>
    <row r="263" customFormat="false" ht="15" hidden="false" customHeight="false" outlineLevel="0" collapsed="false">
      <c r="K263" s="2" t="n">
        <v>258</v>
      </c>
      <c r="L263" s="14" t="n">
        <f aca="true">$B$16+NORMINV(RAND(),0,SQRT($B$13*($B$7+$B$8^2))*$B$9*(1-$B$10))</f>
        <v>4289.98375203438</v>
      </c>
      <c r="M263" s="14" t="n">
        <f aca="true">$B$16+NORMINV(RAND(),0,SQRT($B$13*($B$7+$B$8^2))*$B$9*(1-$B$10))</f>
        <v>3998.1933868301</v>
      </c>
      <c r="N263" s="14" t="n">
        <f aca="true">$B$16+NORMINV(RAND(),0,SQRT($B$13*($B$7+$B$8^2))*$B$9*(1-$B$10))</f>
        <v>4225.74838370229</v>
      </c>
      <c r="O263" s="14" t="n">
        <f aca="true">$B$16+NORMINV(RAND(),0,SQRT($B$13*($B$7+$B$8^2))*$B$9*(1-$B$10))</f>
        <v>4183.57589606812</v>
      </c>
      <c r="P263" s="14" t="n">
        <f aca="true">$B$16+NORMINV(RAND(),0,SQRT($B$13*($B$7+$B$8^2))*$B$9*(1-$B$10))</f>
        <v>3723.1613743058</v>
      </c>
      <c r="Q263" s="14" t="n">
        <f aca="true">$B$16+NORMINV(RAND(),0,SQRT($B$13*($B$7+$B$8^2))*$B$9*(1-$B$10))</f>
        <v>3886.94526854767</v>
      </c>
      <c r="R263" s="14" t="n">
        <f aca="false">$B$4-13*($B$5+$B$6)/30-IF($B$11&lt;=13,$B$12,0)+0</f>
        <v>8876.66666666667</v>
      </c>
      <c r="S263" s="14" t="n">
        <f aca="false">$B$4-27*($B$5+$B$6)/30-IF($B$11&lt;=27,$B$12,0)+L263</f>
        <v>10879.9837520344</v>
      </c>
      <c r="T263" s="14" t="n">
        <f aca="false">$B$4-41*($B$5+$B$6)/30-IF($B$11&lt;=41,$B$12,0)+L263+M263</f>
        <v>1406.71047219781</v>
      </c>
      <c r="U263" s="14" t="n">
        <f aca="false">$B$4-55*($B$5+$B$6)/30-IF($B$11&lt;=55,$B$12,0)+L263+M263+N263</f>
        <v>3345.79218923344</v>
      </c>
      <c r="V263" s="14" t="n">
        <f aca="false">$B$4-69*($B$5+$B$6)/30-IF($B$11&lt;=69,$B$12,0)+L263+M263+N263+O263</f>
        <v>5242.70141863489</v>
      </c>
      <c r="W263" s="14" t="n">
        <f aca="false">$B$4-83*($B$5+$B$6)/30-IF($B$11&lt;=83,$B$12,0)+L263+M263+N263+O263+P263</f>
        <v>6679.19612627402</v>
      </c>
      <c r="X263" s="14" t="n">
        <f aca="false">$B$4-90*($B$5+$B$6)/30-IF($B$11&lt;=90,$B$12,0)+L263+M263+N263+O263+P263+Q263</f>
        <v>9422.80806148836</v>
      </c>
      <c r="AA263" s="14" t="n">
        <f aca="false">MIN(R263:X263)</f>
        <v>1406.71047219781</v>
      </c>
    </row>
    <row r="264" customFormat="false" ht="15" hidden="false" customHeight="false" outlineLevel="0" collapsed="false">
      <c r="K264" s="2" t="n">
        <v>259</v>
      </c>
      <c r="L264" s="14" t="n">
        <f aca="true">$B$16+NORMINV(RAND(),0,SQRT($B$13*($B$7+$B$8^2))*$B$9*(1-$B$10))</f>
        <v>3669.322454309</v>
      </c>
      <c r="M264" s="14" t="n">
        <f aca="true">$B$16+NORMINV(RAND(),0,SQRT($B$13*($B$7+$B$8^2))*$B$9*(1-$B$10))</f>
        <v>4135.23159070183</v>
      </c>
      <c r="N264" s="14" t="n">
        <f aca="true">$B$16+NORMINV(RAND(),0,SQRT($B$13*($B$7+$B$8^2))*$B$9*(1-$B$10))</f>
        <v>4588.6810888622</v>
      </c>
      <c r="O264" s="14" t="n">
        <f aca="true">$B$16+NORMINV(RAND(),0,SQRT($B$13*($B$7+$B$8^2))*$B$9*(1-$B$10))</f>
        <v>4010.96570526446</v>
      </c>
      <c r="P264" s="14" t="n">
        <f aca="true">$B$16+NORMINV(RAND(),0,SQRT($B$13*($B$7+$B$8^2))*$B$9*(1-$B$10))</f>
        <v>3622.23842619402</v>
      </c>
      <c r="Q264" s="14" t="n">
        <f aca="true">$B$16+NORMINV(RAND(),0,SQRT($B$13*($B$7+$B$8^2))*$B$9*(1-$B$10))</f>
        <v>4222.08045635147</v>
      </c>
      <c r="R264" s="14" t="n">
        <f aca="false">$B$4-13*($B$5+$B$6)/30-IF($B$11&lt;=13,$B$12,0)+0</f>
        <v>8876.66666666667</v>
      </c>
      <c r="S264" s="14" t="n">
        <f aca="false">$B$4-27*($B$5+$B$6)/30-IF($B$11&lt;=27,$B$12,0)+L264</f>
        <v>10259.322454309</v>
      </c>
      <c r="T264" s="14" t="n">
        <f aca="false">$B$4-41*($B$5+$B$6)/30-IF($B$11&lt;=41,$B$12,0)+L264+M264</f>
        <v>923.087378344165</v>
      </c>
      <c r="U264" s="14" t="n">
        <f aca="false">$B$4-55*($B$5+$B$6)/30-IF($B$11&lt;=55,$B$12,0)+L264+M264+N264</f>
        <v>3225.10180053969</v>
      </c>
      <c r="V264" s="14" t="n">
        <f aca="false">$B$4-69*($B$5+$B$6)/30-IF($B$11&lt;=69,$B$12,0)+L264+M264+N264+O264</f>
        <v>4949.40083913749</v>
      </c>
      <c r="W264" s="14" t="n">
        <f aca="false">$B$4-83*($B$5+$B$6)/30-IF($B$11&lt;=83,$B$12,0)+L264+M264+N264+O264+P264</f>
        <v>6284.97259866484</v>
      </c>
      <c r="X264" s="14" t="n">
        <f aca="false">$B$4-90*($B$5+$B$6)/30-IF($B$11&lt;=90,$B$12,0)+L264+M264+N264+O264+P264+Q264</f>
        <v>9363.71972168297</v>
      </c>
      <c r="AA264" s="14" t="n">
        <f aca="false">MIN(R264:X264)</f>
        <v>923.087378344165</v>
      </c>
    </row>
    <row r="265" customFormat="false" ht="15" hidden="false" customHeight="false" outlineLevel="0" collapsed="false">
      <c r="K265" s="2" t="n">
        <v>260</v>
      </c>
      <c r="L265" s="14" t="n">
        <f aca="true">$B$16+NORMINV(RAND(),0,SQRT($B$13*($B$7+$B$8^2))*$B$9*(1-$B$10))</f>
        <v>3920.16335905443</v>
      </c>
      <c r="M265" s="14" t="n">
        <f aca="true">$B$16+NORMINV(RAND(),0,SQRT($B$13*($B$7+$B$8^2))*$B$9*(1-$B$10))</f>
        <v>3659.53069055117</v>
      </c>
      <c r="N265" s="14" t="n">
        <f aca="true">$B$16+NORMINV(RAND(),0,SQRT($B$13*($B$7+$B$8^2))*$B$9*(1-$B$10))</f>
        <v>4293.73094426575</v>
      </c>
      <c r="O265" s="14" t="n">
        <f aca="true">$B$16+NORMINV(RAND(),0,SQRT($B$13*($B$7+$B$8^2))*$B$9*(1-$B$10))</f>
        <v>3715.42816283881</v>
      </c>
      <c r="P265" s="14" t="n">
        <f aca="true">$B$16+NORMINV(RAND(),0,SQRT($B$13*($B$7+$B$8^2))*$B$9*(1-$B$10))</f>
        <v>3829.64322730776</v>
      </c>
      <c r="Q265" s="14" t="n">
        <f aca="true">$B$16+NORMINV(RAND(),0,SQRT($B$13*($B$7+$B$8^2))*$B$9*(1-$B$10))</f>
        <v>4264.67837498838</v>
      </c>
      <c r="R265" s="14" t="n">
        <f aca="false">$B$4-13*($B$5+$B$6)/30-IF($B$11&lt;=13,$B$12,0)+0</f>
        <v>8876.66666666667</v>
      </c>
      <c r="S265" s="14" t="n">
        <f aca="false">$B$4-27*($B$5+$B$6)/30-IF($B$11&lt;=27,$B$12,0)+L265</f>
        <v>10510.1633590544</v>
      </c>
      <c r="T265" s="14" t="n">
        <f aca="false">$B$4-41*($B$5+$B$6)/30-IF($B$11&lt;=41,$B$12,0)+L265+M265</f>
        <v>698.227382938924</v>
      </c>
      <c r="U265" s="14" t="n">
        <f aca="false">$B$4-55*($B$5+$B$6)/30-IF($B$11&lt;=55,$B$12,0)+L265+M265+N265</f>
        <v>2705.29166053801</v>
      </c>
      <c r="V265" s="14" t="n">
        <f aca="false">$B$4-69*($B$5+$B$6)/30-IF($B$11&lt;=69,$B$12,0)+L265+M265+N265+O265</f>
        <v>4134.05315671015</v>
      </c>
      <c r="W265" s="14" t="n">
        <f aca="false">$B$4-83*($B$5+$B$6)/30-IF($B$11&lt;=83,$B$12,0)+L265+M265+N265+O265+P265</f>
        <v>5677.02971735125</v>
      </c>
      <c r="X265" s="14" t="n">
        <f aca="false">$B$4-90*($B$5+$B$6)/30-IF($B$11&lt;=90,$B$12,0)+L265+M265+N265+O265+P265+Q265</f>
        <v>8798.3747590063</v>
      </c>
      <c r="AA265" s="14" t="n">
        <f aca="false">MIN(R265:X265)</f>
        <v>698.227382938924</v>
      </c>
    </row>
    <row r="266" customFormat="false" ht="15" hidden="false" customHeight="false" outlineLevel="0" collapsed="false">
      <c r="K266" s="2" t="n">
        <v>261</v>
      </c>
      <c r="L266" s="14" t="n">
        <f aca="true">$B$16+NORMINV(RAND(),0,SQRT($B$13*($B$7+$B$8^2))*$B$9*(1-$B$10))</f>
        <v>4512.32006365121</v>
      </c>
      <c r="M266" s="14" t="n">
        <f aca="true">$B$16+NORMINV(RAND(),0,SQRT($B$13*($B$7+$B$8^2))*$B$9*(1-$B$10))</f>
        <v>4000.78191310808</v>
      </c>
      <c r="N266" s="14" t="n">
        <f aca="true">$B$16+NORMINV(RAND(),0,SQRT($B$13*($B$7+$B$8^2))*$B$9*(1-$B$10))</f>
        <v>3653.22654608087</v>
      </c>
      <c r="O266" s="14" t="n">
        <f aca="true">$B$16+NORMINV(RAND(),0,SQRT($B$13*($B$7+$B$8^2))*$B$9*(1-$B$10))</f>
        <v>4538.95576051643</v>
      </c>
      <c r="P266" s="14" t="n">
        <f aca="true">$B$16+NORMINV(RAND(),0,SQRT($B$13*($B$7+$B$8^2))*$B$9*(1-$B$10))</f>
        <v>3616.43446539916</v>
      </c>
      <c r="Q266" s="14" t="n">
        <f aca="true">$B$16+NORMINV(RAND(),0,SQRT($B$13*($B$7+$B$8^2))*$B$9*(1-$B$10))</f>
        <v>4020.38288997766</v>
      </c>
      <c r="R266" s="14" t="n">
        <f aca="false">$B$4-13*($B$5+$B$6)/30-IF($B$11&lt;=13,$B$12,0)+0</f>
        <v>8876.66666666667</v>
      </c>
      <c r="S266" s="14" t="n">
        <f aca="false">$B$4-27*($B$5+$B$6)/30-IF($B$11&lt;=27,$B$12,0)+L266</f>
        <v>11102.3200636512</v>
      </c>
      <c r="T266" s="14" t="n">
        <f aca="false">$B$4-41*($B$5+$B$6)/30-IF($B$11&lt;=41,$B$12,0)+L266+M266</f>
        <v>1631.63531009262</v>
      </c>
      <c r="U266" s="14" t="n">
        <f aca="false">$B$4-55*($B$5+$B$6)/30-IF($B$11&lt;=55,$B$12,0)+L266+M266+N266</f>
        <v>2998.19518950683</v>
      </c>
      <c r="V266" s="14" t="n">
        <f aca="false">$B$4-69*($B$5+$B$6)/30-IF($B$11&lt;=69,$B$12,0)+L266+M266+N266+O266</f>
        <v>5250.48428335659</v>
      </c>
      <c r="W266" s="14" t="n">
        <f aca="false">$B$4-83*($B$5+$B$6)/30-IF($B$11&lt;=83,$B$12,0)+L266+M266+N266+O266+P266</f>
        <v>6580.25208208908</v>
      </c>
      <c r="X266" s="14" t="n">
        <f aca="false">$B$4-90*($B$5+$B$6)/30-IF($B$11&lt;=90,$B$12,0)+L266+M266+N266+O266+P266+Q266</f>
        <v>9457.3016387334</v>
      </c>
      <c r="AA266" s="14" t="n">
        <f aca="false">MIN(R266:X266)</f>
        <v>1631.63531009262</v>
      </c>
    </row>
    <row r="267" customFormat="false" ht="15" hidden="false" customHeight="false" outlineLevel="0" collapsed="false">
      <c r="K267" s="2" t="n">
        <v>262</v>
      </c>
      <c r="L267" s="14" t="n">
        <f aca="true">$B$16+NORMINV(RAND(),0,SQRT($B$13*($B$7+$B$8^2))*$B$9*(1-$B$10))</f>
        <v>4567.11536441658</v>
      </c>
      <c r="M267" s="14" t="n">
        <f aca="true">$B$16+NORMINV(RAND(),0,SQRT($B$13*($B$7+$B$8^2))*$B$9*(1-$B$10))</f>
        <v>4404.93276012651</v>
      </c>
      <c r="N267" s="14" t="n">
        <f aca="true">$B$16+NORMINV(RAND(),0,SQRT($B$13*($B$7+$B$8^2))*$B$9*(1-$B$10))</f>
        <v>3970.51623260919</v>
      </c>
      <c r="O267" s="14" t="n">
        <f aca="true">$B$16+NORMINV(RAND(),0,SQRT($B$13*($B$7+$B$8^2))*$B$9*(1-$B$10))</f>
        <v>4012.80592714793</v>
      </c>
      <c r="P267" s="14" t="n">
        <f aca="true">$B$16+NORMINV(RAND(),0,SQRT($B$13*($B$7+$B$8^2))*$B$9*(1-$B$10))</f>
        <v>4224.81823542473</v>
      </c>
      <c r="Q267" s="14" t="n">
        <f aca="true">$B$16+NORMINV(RAND(),0,SQRT($B$13*($B$7+$B$8^2))*$B$9*(1-$B$10))</f>
        <v>3266.10655040612</v>
      </c>
      <c r="R267" s="14" t="n">
        <f aca="false">$B$4-13*($B$5+$B$6)/30-IF($B$11&lt;=13,$B$12,0)+0</f>
        <v>8876.66666666667</v>
      </c>
      <c r="S267" s="14" t="n">
        <f aca="false">$B$4-27*($B$5+$B$6)/30-IF($B$11&lt;=27,$B$12,0)+L267</f>
        <v>11157.1153644166</v>
      </c>
      <c r="T267" s="14" t="n">
        <f aca="false">$B$4-41*($B$5+$B$6)/30-IF($B$11&lt;=41,$B$12,0)+L267+M267</f>
        <v>2090.58145787643</v>
      </c>
      <c r="U267" s="14" t="n">
        <f aca="false">$B$4-55*($B$5+$B$6)/30-IF($B$11&lt;=55,$B$12,0)+L267+M267+N267</f>
        <v>3774.43102381895</v>
      </c>
      <c r="V267" s="14" t="n">
        <f aca="false">$B$4-69*($B$5+$B$6)/30-IF($B$11&lt;=69,$B$12,0)+L267+M267+N267+O267</f>
        <v>5500.57028430022</v>
      </c>
      <c r="W267" s="14" t="n">
        <f aca="false">$B$4-83*($B$5+$B$6)/30-IF($B$11&lt;=83,$B$12,0)+L267+M267+N267+O267+P267</f>
        <v>7438.72185305828</v>
      </c>
      <c r="X267" s="14" t="n">
        <f aca="false">$B$4-90*($B$5+$B$6)/30-IF($B$11&lt;=90,$B$12,0)+L267+M267+N267+O267+P267+Q267</f>
        <v>9561.49507013107</v>
      </c>
      <c r="AA267" s="14" t="n">
        <f aca="false">MIN(R267:X267)</f>
        <v>2090.58145787643</v>
      </c>
    </row>
    <row r="268" customFormat="false" ht="15" hidden="false" customHeight="false" outlineLevel="0" collapsed="false">
      <c r="K268" s="2" t="n">
        <v>263</v>
      </c>
      <c r="L268" s="14" t="n">
        <f aca="true">$B$16+NORMINV(RAND(),0,SQRT($B$13*($B$7+$B$8^2))*$B$9*(1-$B$10))</f>
        <v>4038.01394018552</v>
      </c>
      <c r="M268" s="14" t="n">
        <f aca="true">$B$16+NORMINV(RAND(),0,SQRT($B$13*($B$7+$B$8^2))*$B$9*(1-$B$10))</f>
        <v>3988.68329946138</v>
      </c>
      <c r="N268" s="14" t="n">
        <f aca="true">$B$16+NORMINV(RAND(),0,SQRT($B$13*($B$7+$B$8^2))*$B$9*(1-$B$10))</f>
        <v>4592.10478391729</v>
      </c>
      <c r="O268" s="14" t="n">
        <f aca="true">$B$16+NORMINV(RAND(),0,SQRT($B$13*($B$7+$B$8^2))*$B$9*(1-$B$10))</f>
        <v>4980.92992326919</v>
      </c>
      <c r="P268" s="14" t="n">
        <f aca="true">$B$16+NORMINV(RAND(),0,SQRT($B$13*($B$7+$B$8^2))*$B$9*(1-$B$10))</f>
        <v>4157.916811812</v>
      </c>
      <c r="Q268" s="14" t="n">
        <f aca="true">$B$16+NORMINV(RAND(),0,SQRT($B$13*($B$7+$B$8^2))*$B$9*(1-$B$10))</f>
        <v>3885.30318476535</v>
      </c>
      <c r="R268" s="14" t="n">
        <f aca="false">$B$4-13*($B$5+$B$6)/30-IF($B$11&lt;=13,$B$12,0)+0</f>
        <v>8876.66666666667</v>
      </c>
      <c r="S268" s="14" t="n">
        <f aca="false">$B$4-27*($B$5+$B$6)/30-IF($B$11&lt;=27,$B$12,0)+L268</f>
        <v>10628.0139401855</v>
      </c>
      <c r="T268" s="14" t="n">
        <f aca="false">$B$4-41*($B$5+$B$6)/30-IF($B$11&lt;=41,$B$12,0)+L268+M268</f>
        <v>1145.23057298024</v>
      </c>
      <c r="U268" s="14" t="n">
        <f aca="false">$B$4-55*($B$5+$B$6)/30-IF($B$11&lt;=55,$B$12,0)+L268+M268+N268</f>
        <v>3450.66869023086</v>
      </c>
      <c r="V268" s="14" t="n">
        <f aca="false">$B$4-69*($B$5+$B$6)/30-IF($B$11&lt;=69,$B$12,0)+L268+M268+N268+O268</f>
        <v>6144.93194683339</v>
      </c>
      <c r="W268" s="14" t="n">
        <f aca="false">$B$4-83*($B$5+$B$6)/30-IF($B$11&lt;=83,$B$12,0)+L268+M268+N268+O268+P268</f>
        <v>8016.18209197872</v>
      </c>
      <c r="X268" s="14" t="n">
        <f aca="false">$B$4-90*($B$5+$B$6)/30-IF($B$11&lt;=90,$B$12,0)+L268+M268+N268+O268+P268+Q268</f>
        <v>10758.1519434107</v>
      </c>
      <c r="AA268" s="14" t="n">
        <f aca="false">MIN(R268:X268)</f>
        <v>1145.23057298024</v>
      </c>
    </row>
    <row r="269" customFormat="false" ht="15" hidden="false" customHeight="false" outlineLevel="0" collapsed="false">
      <c r="K269" s="2" t="n">
        <v>264</v>
      </c>
      <c r="L269" s="14" t="n">
        <f aca="true">$B$16+NORMINV(RAND(),0,SQRT($B$13*($B$7+$B$8^2))*$B$9*(1-$B$10))</f>
        <v>4270.68946872734</v>
      </c>
      <c r="M269" s="14" t="n">
        <f aca="true">$B$16+NORMINV(RAND(),0,SQRT($B$13*($B$7+$B$8^2))*$B$9*(1-$B$10))</f>
        <v>4014.29543074267</v>
      </c>
      <c r="N269" s="14" t="n">
        <f aca="true">$B$16+NORMINV(RAND(),0,SQRT($B$13*($B$7+$B$8^2))*$B$9*(1-$B$10))</f>
        <v>4311.7055620166</v>
      </c>
      <c r="O269" s="14" t="n">
        <f aca="true">$B$16+NORMINV(RAND(),0,SQRT($B$13*($B$7+$B$8^2))*$B$9*(1-$B$10))</f>
        <v>4116.36629387629</v>
      </c>
      <c r="P269" s="14" t="n">
        <f aca="true">$B$16+NORMINV(RAND(),0,SQRT($B$13*($B$7+$B$8^2))*$B$9*(1-$B$10))</f>
        <v>4500.9706898773</v>
      </c>
      <c r="Q269" s="14" t="n">
        <f aca="true">$B$16+NORMINV(RAND(),0,SQRT($B$13*($B$7+$B$8^2))*$B$9*(1-$B$10))</f>
        <v>4781.96811273441</v>
      </c>
      <c r="R269" s="14" t="n">
        <f aca="false">$B$4-13*($B$5+$B$6)/30-IF($B$11&lt;=13,$B$12,0)+0</f>
        <v>8876.66666666667</v>
      </c>
      <c r="S269" s="14" t="n">
        <f aca="false">$B$4-27*($B$5+$B$6)/30-IF($B$11&lt;=27,$B$12,0)+L269</f>
        <v>10860.6894687273</v>
      </c>
      <c r="T269" s="14" t="n">
        <f aca="false">$B$4-41*($B$5+$B$6)/30-IF($B$11&lt;=41,$B$12,0)+L269+M269</f>
        <v>1403.51823280335</v>
      </c>
      <c r="U269" s="14" t="n">
        <f aca="false">$B$4-55*($B$5+$B$6)/30-IF($B$11&lt;=55,$B$12,0)+L269+M269+N269</f>
        <v>3428.55712815328</v>
      </c>
      <c r="V269" s="14" t="n">
        <f aca="false">$B$4-69*($B$5+$B$6)/30-IF($B$11&lt;=69,$B$12,0)+L269+M269+N269+O269</f>
        <v>5258.2567553629</v>
      </c>
      <c r="W269" s="14" t="n">
        <f aca="false">$B$4-83*($B$5+$B$6)/30-IF($B$11&lt;=83,$B$12,0)+L269+M269+N269+O269+P269</f>
        <v>7472.56077857354</v>
      </c>
      <c r="X269" s="14" t="n">
        <f aca="false">$B$4-90*($B$5+$B$6)/30-IF($B$11&lt;=90,$B$12,0)+L269+M269+N269+O269+P269+Q269</f>
        <v>11111.1955579746</v>
      </c>
      <c r="AA269" s="14" t="n">
        <f aca="false">MIN(R269:X269)</f>
        <v>1403.51823280335</v>
      </c>
    </row>
    <row r="270" customFormat="false" ht="15" hidden="false" customHeight="false" outlineLevel="0" collapsed="false">
      <c r="K270" s="2" t="n">
        <v>265</v>
      </c>
      <c r="L270" s="14" t="n">
        <f aca="true">$B$16+NORMINV(RAND(),0,SQRT($B$13*($B$7+$B$8^2))*$B$9*(1-$B$10))</f>
        <v>4305.57380678343</v>
      </c>
      <c r="M270" s="14" t="n">
        <f aca="true">$B$16+NORMINV(RAND(),0,SQRT($B$13*($B$7+$B$8^2))*$B$9*(1-$B$10))</f>
        <v>4097.2753157524</v>
      </c>
      <c r="N270" s="14" t="n">
        <f aca="true">$B$16+NORMINV(RAND(),0,SQRT($B$13*($B$7+$B$8^2))*$B$9*(1-$B$10))</f>
        <v>4412.38038608885</v>
      </c>
      <c r="O270" s="14" t="n">
        <f aca="true">$B$16+NORMINV(RAND(),0,SQRT($B$13*($B$7+$B$8^2))*$B$9*(1-$B$10))</f>
        <v>4447.11696719146</v>
      </c>
      <c r="P270" s="14" t="n">
        <f aca="true">$B$16+NORMINV(RAND(),0,SQRT($B$13*($B$7+$B$8^2))*$B$9*(1-$B$10))</f>
        <v>3750.37220651708</v>
      </c>
      <c r="Q270" s="14" t="n">
        <f aca="true">$B$16+NORMINV(RAND(),0,SQRT($B$13*($B$7+$B$8^2))*$B$9*(1-$B$10))</f>
        <v>3624.09698929693</v>
      </c>
      <c r="R270" s="14" t="n">
        <f aca="false">$B$4-13*($B$5+$B$6)/30-IF($B$11&lt;=13,$B$12,0)+0</f>
        <v>8876.66666666667</v>
      </c>
      <c r="S270" s="14" t="n">
        <f aca="false">$B$4-27*($B$5+$B$6)/30-IF($B$11&lt;=27,$B$12,0)+L270</f>
        <v>10895.5738067834</v>
      </c>
      <c r="T270" s="14" t="n">
        <f aca="false">$B$4-41*($B$5+$B$6)/30-IF($B$11&lt;=41,$B$12,0)+L270+M270</f>
        <v>1521.38245586916</v>
      </c>
      <c r="U270" s="14" t="n">
        <f aca="false">$B$4-55*($B$5+$B$6)/30-IF($B$11&lt;=55,$B$12,0)+L270+M270+N270</f>
        <v>3647.09617529134</v>
      </c>
      <c r="V270" s="14" t="n">
        <f aca="false">$B$4-69*($B$5+$B$6)/30-IF($B$11&lt;=69,$B$12,0)+L270+M270+N270+O270</f>
        <v>5807.54647581613</v>
      </c>
      <c r="W270" s="14" t="n">
        <f aca="false">$B$4-83*($B$5+$B$6)/30-IF($B$11&lt;=83,$B$12,0)+L270+M270+N270+O270+P270</f>
        <v>7271.25201566655</v>
      </c>
      <c r="X270" s="14" t="n">
        <f aca="false">$B$4-90*($B$5+$B$6)/30-IF($B$11&lt;=90,$B$12,0)+L270+M270+N270+O270+P270+Q270</f>
        <v>9752.01567163015</v>
      </c>
      <c r="AA270" s="14" t="n">
        <f aca="false">MIN(R270:X270)</f>
        <v>1521.38245586916</v>
      </c>
    </row>
    <row r="271" customFormat="false" ht="15" hidden="false" customHeight="false" outlineLevel="0" collapsed="false">
      <c r="K271" s="2" t="n">
        <v>266</v>
      </c>
      <c r="L271" s="14" t="n">
        <f aca="true">$B$16+NORMINV(RAND(),0,SQRT($B$13*($B$7+$B$8^2))*$B$9*(1-$B$10))</f>
        <v>3968.26609369709</v>
      </c>
      <c r="M271" s="14" t="n">
        <f aca="true">$B$16+NORMINV(RAND(),0,SQRT($B$13*($B$7+$B$8^2))*$B$9*(1-$B$10))</f>
        <v>4647.57860159602</v>
      </c>
      <c r="N271" s="14" t="n">
        <f aca="true">$B$16+NORMINV(RAND(),0,SQRT($B$13*($B$7+$B$8^2))*$B$9*(1-$B$10))</f>
        <v>4114.05784682431</v>
      </c>
      <c r="O271" s="14" t="n">
        <f aca="true">$B$16+NORMINV(RAND(),0,SQRT($B$13*($B$7+$B$8^2))*$B$9*(1-$B$10))</f>
        <v>4284.28653153198</v>
      </c>
      <c r="P271" s="14" t="n">
        <f aca="true">$B$16+NORMINV(RAND(),0,SQRT($B$13*($B$7+$B$8^2))*$B$9*(1-$B$10))</f>
        <v>4449.68894819642</v>
      </c>
      <c r="Q271" s="14" t="n">
        <f aca="true">$B$16+NORMINV(RAND(),0,SQRT($B$13*($B$7+$B$8^2))*$B$9*(1-$B$10))</f>
        <v>3974.6151742312</v>
      </c>
      <c r="R271" s="14" t="n">
        <f aca="false">$B$4-13*($B$5+$B$6)/30-IF($B$11&lt;=13,$B$12,0)+0</f>
        <v>8876.66666666667</v>
      </c>
      <c r="S271" s="14" t="n">
        <f aca="false">$B$4-27*($B$5+$B$6)/30-IF($B$11&lt;=27,$B$12,0)+L271</f>
        <v>10558.2660936971</v>
      </c>
      <c r="T271" s="14" t="n">
        <f aca="false">$B$4-41*($B$5+$B$6)/30-IF($B$11&lt;=41,$B$12,0)+L271+M271</f>
        <v>1734.37802862644</v>
      </c>
      <c r="U271" s="14" t="n">
        <f aca="false">$B$4-55*($B$5+$B$6)/30-IF($B$11&lt;=55,$B$12,0)+L271+M271+N271</f>
        <v>3561.76920878409</v>
      </c>
      <c r="V271" s="14" t="n">
        <f aca="false">$B$4-69*($B$5+$B$6)/30-IF($B$11&lt;=69,$B$12,0)+L271+M271+N271+O271</f>
        <v>5559.3890736494</v>
      </c>
      <c r="W271" s="14" t="n">
        <f aca="false">$B$4-83*($B$5+$B$6)/30-IF($B$11&lt;=83,$B$12,0)+L271+M271+N271+O271+P271</f>
        <v>7722.41135517916</v>
      </c>
      <c r="X271" s="14" t="n">
        <f aca="false">$B$4-90*($B$5+$B$6)/30-IF($B$11&lt;=90,$B$12,0)+L271+M271+N271+O271+P271+Q271</f>
        <v>10553.693196077</v>
      </c>
      <c r="AA271" s="14" t="n">
        <f aca="false">MIN(R271:X271)</f>
        <v>1734.37802862644</v>
      </c>
    </row>
    <row r="272" customFormat="false" ht="15" hidden="false" customHeight="false" outlineLevel="0" collapsed="false">
      <c r="K272" s="2" t="n">
        <v>267</v>
      </c>
      <c r="L272" s="14" t="n">
        <f aca="true">$B$16+NORMINV(RAND(),0,SQRT($B$13*($B$7+$B$8^2))*$B$9*(1-$B$10))</f>
        <v>3941.33654085004</v>
      </c>
      <c r="M272" s="14" t="n">
        <f aca="true">$B$16+NORMINV(RAND(),0,SQRT($B$13*($B$7+$B$8^2))*$B$9*(1-$B$10))</f>
        <v>3653.06029685209</v>
      </c>
      <c r="N272" s="14" t="n">
        <f aca="true">$B$16+NORMINV(RAND(),0,SQRT($B$13*($B$7+$B$8^2))*$B$9*(1-$B$10))</f>
        <v>4668.04812521416</v>
      </c>
      <c r="O272" s="14" t="n">
        <f aca="true">$B$16+NORMINV(RAND(),0,SQRT($B$13*($B$7+$B$8^2))*$B$9*(1-$B$10))</f>
        <v>3868.84532462313</v>
      </c>
      <c r="P272" s="14" t="n">
        <f aca="true">$B$16+NORMINV(RAND(),0,SQRT($B$13*($B$7+$B$8^2))*$B$9*(1-$B$10))</f>
        <v>3857.4999033629</v>
      </c>
      <c r="Q272" s="14" t="n">
        <f aca="true">$B$16+NORMINV(RAND(),0,SQRT($B$13*($B$7+$B$8^2))*$B$9*(1-$B$10))</f>
        <v>4470.20664305307</v>
      </c>
      <c r="R272" s="14" t="n">
        <f aca="false">$B$4-13*($B$5+$B$6)/30-IF($B$11&lt;=13,$B$12,0)+0</f>
        <v>8876.66666666667</v>
      </c>
      <c r="S272" s="14" t="n">
        <f aca="false">$B$4-27*($B$5+$B$6)/30-IF($B$11&lt;=27,$B$12,0)+L272</f>
        <v>10531.33654085</v>
      </c>
      <c r="T272" s="14" t="n">
        <f aca="false">$B$4-41*($B$5+$B$6)/30-IF($B$11&lt;=41,$B$12,0)+L272+M272</f>
        <v>712.930171035452</v>
      </c>
      <c r="U272" s="14" t="n">
        <f aca="false">$B$4-55*($B$5+$B$6)/30-IF($B$11&lt;=55,$B$12,0)+L272+M272+N272</f>
        <v>3094.31162958295</v>
      </c>
      <c r="V272" s="14" t="n">
        <f aca="false">$B$4-69*($B$5+$B$6)/30-IF($B$11&lt;=69,$B$12,0)+L272+M272+N272+O272</f>
        <v>4676.49028753941</v>
      </c>
      <c r="W272" s="14" t="n">
        <f aca="false">$B$4-83*($B$5+$B$6)/30-IF($B$11&lt;=83,$B$12,0)+L272+M272+N272+O272+P272</f>
        <v>6247.32352423565</v>
      </c>
      <c r="X272" s="14" t="n">
        <f aca="false">$B$4-90*($B$5+$B$6)/30-IF($B$11&lt;=90,$B$12,0)+L272+M272+N272+O272+P272+Q272</f>
        <v>9574.19683395538</v>
      </c>
      <c r="AA272" s="14" t="n">
        <f aca="false">MIN(R272:X272)</f>
        <v>712.930171035452</v>
      </c>
    </row>
    <row r="273" customFormat="false" ht="15" hidden="false" customHeight="false" outlineLevel="0" collapsed="false">
      <c r="K273" s="2" t="n">
        <v>268</v>
      </c>
      <c r="L273" s="14" t="n">
        <f aca="true">$B$16+NORMINV(RAND(),0,SQRT($B$13*($B$7+$B$8^2))*$B$9*(1-$B$10))</f>
        <v>4237.39553693961</v>
      </c>
      <c r="M273" s="14" t="n">
        <f aca="true">$B$16+NORMINV(RAND(),0,SQRT($B$13*($B$7+$B$8^2))*$B$9*(1-$B$10))</f>
        <v>4307.40326862191</v>
      </c>
      <c r="N273" s="14" t="n">
        <f aca="true">$B$16+NORMINV(RAND(),0,SQRT($B$13*($B$7+$B$8^2))*$B$9*(1-$B$10))</f>
        <v>3239.39308322789</v>
      </c>
      <c r="O273" s="14" t="n">
        <f aca="true">$B$16+NORMINV(RAND(),0,SQRT($B$13*($B$7+$B$8^2))*$B$9*(1-$B$10))</f>
        <v>3956.2066249658</v>
      </c>
      <c r="P273" s="14" t="n">
        <f aca="true">$B$16+NORMINV(RAND(),0,SQRT($B$13*($B$7+$B$8^2))*$B$9*(1-$B$10))</f>
        <v>4083.50787270395</v>
      </c>
      <c r="Q273" s="14" t="n">
        <f aca="true">$B$16+NORMINV(RAND(),0,SQRT($B$13*($B$7+$B$8^2))*$B$9*(1-$B$10))</f>
        <v>4186.31322937111</v>
      </c>
      <c r="R273" s="14" t="n">
        <f aca="false">$B$4-13*($B$5+$B$6)/30-IF($B$11&lt;=13,$B$12,0)+0</f>
        <v>8876.66666666667</v>
      </c>
      <c r="S273" s="14" t="n">
        <f aca="false">$B$4-27*($B$5+$B$6)/30-IF($B$11&lt;=27,$B$12,0)+L273</f>
        <v>10827.3955369396</v>
      </c>
      <c r="T273" s="14" t="n">
        <f aca="false">$B$4-41*($B$5+$B$6)/30-IF($B$11&lt;=41,$B$12,0)+L273+M273</f>
        <v>1663.33213889485</v>
      </c>
      <c r="U273" s="14" t="n">
        <f aca="false">$B$4-55*($B$5+$B$6)/30-IF($B$11&lt;=55,$B$12,0)+L273+M273+N273</f>
        <v>2616.05855545607</v>
      </c>
      <c r="V273" s="14" t="n">
        <f aca="false">$B$4-69*($B$5+$B$6)/30-IF($B$11&lt;=69,$B$12,0)+L273+M273+N273+O273</f>
        <v>4285.5985137552</v>
      </c>
      <c r="W273" s="14" t="n">
        <f aca="false">$B$4-83*($B$5+$B$6)/30-IF($B$11&lt;=83,$B$12,0)+L273+M273+N273+O273+P273</f>
        <v>6082.43971979248</v>
      </c>
      <c r="X273" s="14" t="n">
        <f aca="false">$B$4-90*($B$5+$B$6)/30-IF($B$11&lt;=90,$B$12,0)+L273+M273+N273+O273+P273+Q273</f>
        <v>9125.41961583026</v>
      </c>
      <c r="AA273" s="14" t="n">
        <f aca="false">MIN(R273:X273)</f>
        <v>1663.33213889485</v>
      </c>
    </row>
    <row r="274" customFormat="false" ht="15" hidden="false" customHeight="false" outlineLevel="0" collapsed="false">
      <c r="K274" s="2" t="n">
        <v>269</v>
      </c>
      <c r="L274" s="14" t="n">
        <f aca="true">$B$16+NORMINV(RAND(),0,SQRT($B$13*($B$7+$B$8^2))*$B$9*(1-$B$10))</f>
        <v>3843.33461294691</v>
      </c>
      <c r="M274" s="14" t="n">
        <f aca="true">$B$16+NORMINV(RAND(),0,SQRT($B$13*($B$7+$B$8^2))*$B$9*(1-$B$10))</f>
        <v>3616.22828306406</v>
      </c>
      <c r="N274" s="14" t="n">
        <f aca="true">$B$16+NORMINV(RAND(),0,SQRT($B$13*($B$7+$B$8^2))*$B$9*(1-$B$10))</f>
        <v>3699.96903472352</v>
      </c>
      <c r="O274" s="14" t="n">
        <f aca="true">$B$16+NORMINV(RAND(),0,SQRT($B$13*($B$7+$B$8^2))*$B$9*(1-$B$10))</f>
        <v>3583.15129772379</v>
      </c>
      <c r="P274" s="14" t="n">
        <f aca="true">$B$16+NORMINV(RAND(),0,SQRT($B$13*($B$7+$B$8^2))*$B$9*(1-$B$10))</f>
        <v>4014.29478567582</v>
      </c>
      <c r="Q274" s="14" t="n">
        <f aca="true">$B$16+NORMINV(RAND(),0,SQRT($B$13*($B$7+$B$8^2))*$B$9*(1-$B$10))</f>
        <v>4371.6616657413</v>
      </c>
      <c r="R274" s="14" t="n">
        <f aca="false">$B$4-13*($B$5+$B$6)/30-IF($B$11&lt;=13,$B$12,0)+0</f>
        <v>8876.66666666667</v>
      </c>
      <c r="S274" s="14" t="n">
        <f aca="false">$B$4-27*($B$5+$B$6)/30-IF($B$11&lt;=27,$B$12,0)+L274</f>
        <v>10433.3346129469</v>
      </c>
      <c r="T274" s="14" t="n">
        <f aca="false">$B$4-41*($B$5+$B$6)/30-IF($B$11&lt;=41,$B$12,0)+L274+M274</f>
        <v>578.09622934431</v>
      </c>
      <c r="U274" s="14" t="n">
        <f aca="false">$B$4-55*($B$5+$B$6)/30-IF($B$11&lt;=55,$B$12,0)+L274+M274+N274</f>
        <v>1991.39859740116</v>
      </c>
      <c r="V274" s="14" t="n">
        <f aca="false">$B$4-69*($B$5+$B$6)/30-IF($B$11&lt;=69,$B$12,0)+L274+M274+N274+O274</f>
        <v>3287.88322845829</v>
      </c>
      <c r="W274" s="14" t="n">
        <f aca="false">$B$4-83*($B$5+$B$6)/30-IF($B$11&lt;=83,$B$12,0)+L274+M274+N274+O274+P274</f>
        <v>5015.51134746744</v>
      </c>
      <c r="X274" s="14" t="n">
        <f aca="false">$B$4-90*($B$5+$B$6)/30-IF($B$11&lt;=90,$B$12,0)+L274+M274+N274+O274+P274+Q274</f>
        <v>8243.8396798754</v>
      </c>
      <c r="AA274" s="14" t="n">
        <f aca="false">MIN(R274:X274)</f>
        <v>578.09622934431</v>
      </c>
    </row>
    <row r="275" customFormat="false" ht="15" hidden="false" customHeight="false" outlineLevel="0" collapsed="false">
      <c r="K275" s="2" t="n">
        <v>270</v>
      </c>
      <c r="L275" s="14" t="n">
        <f aca="true">$B$16+NORMINV(RAND(),0,SQRT($B$13*($B$7+$B$8^2))*$B$9*(1-$B$10))</f>
        <v>3950.74276766623</v>
      </c>
      <c r="M275" s="14" t="n">
        <f aca="true">$B$16+NORMINV(RAND(),0,SQRT($B$13*($B$7+$B$8^2))*$B$9*(1-$B$10))</f>
        <v>3867.11928900694</v>
      </c>
      <c r="N275" s="14" t="n">
        <f aca="true">$B$16+NORMINV(RAND(),0,SQRT($B$13*($B$7+$B$8^2))*$B$9*(1-$B$10))</f>
        <v>4455.96100915993</v>
      </c>
      <c r="O275" s="14" t="n">
        <f aca="true">$B$16+NORMINV(RAND(),0,SQRT($B$13*($B$7+$B$8^2))*$B$9*(1-$B$10))</f>
        <v>4257.58356074199</v>
      </c>
      <c r="P275" s="14" t="n">
        <f aca="true">$B$16+NORMINV(RAND(),0,SQRT($B$13*($B$7+$B$8^2))*$B$9*(1-$B$10))</f>
        <v>4533.87188561979</v>
      </c>
      <c r="Q275" s="14" t="n">
        <f aca="true">$B$16+NORMINV(RAND(),0,SQRT($B$13*($B$7+$B$8^2))*$B$9*(1-$B$10))</f>
        <v>4709.10861062953</v>
      </c>
      <c r="R275" s="14" t="n">
        <f aca="false">$B$4-13*($B$5+$B$6)/30-IF($B$11&lt;=13,$B$12,0)+0</f>
        <v>8876.66666666667</v>
      </c>
      <c r="S275" s="14" t="n">
        <f aca="false">$B$4-27*($B$5+$B$6)/30-IF($B$11&lt;=27,$B$12,0)+L275</f>
        <v>10540.7427676662</v>
      </c>
      <c r="T275" s="14" t="n">
        <f aca="false">$B$4-41*($B$5+$B$6)/30-IF($B$11&lt;=41,$B$12,0)+L275+M275</f>
        <v>936.395390006508</v>
      </c>
      <c r="U275" s="14" t="n">
        <f aca="false">$B$4-55*($B$5+$B$6)/30-IF($B$11&lt;=55,$B$12,0)+L275+M275+N275</f>
        <v>3105.68973249978</v>
      </c>
      <c r="V275" s="14" t="n">
        <f aca="false">$B$4-69*($B$5+$B$6)/30-IF($B$11&lt;=69,$B$12,0)+L275+M275+N275+O275</f>
        <v>5076.6066265751</v>
      </c>
      <c r="W275" s="14" t="n">
        <f aca="false">$B$4-83*($B$5+$B$6)/30-IF($B$11&lt;=83,$B$12,0)+L275+M275+N275+O275+P275</f>
        <v>7323.81184552822</v>
      </c>
      <c r="X275" s="14" t="n">
        <f aca="false">$B$4-90*($B$5+$B$6)/30-IF($B$11&lt;=90,$B$12,0)+L275+M275+N275+O275+P275+Q275</f>
        <v>10889.5871228244</v>
      </c>
      <c r="AA275" s="14" t="n">
        <f aca="false">MIN(R275:X275)</f>
        <v>936.395390006508</v>
      </c>
    </row>
    <row r="276" customFormat="false" ht="15" hidden="false" customHeight="false" outlineLevel="0" collapsed="false">
      <c r="K276" s="2" t="n">
        <v>271</v>
      </c>
      <c r="L276" s="14" t="n">
        <f aca="true">$B$16+NORMINV(RAND(),0,SQRT($B$13*($B$7+$B$8^2))*$B$9*(1-$B$10))</f>
        <v>4357.52039088005</v>
      </c>
      <c r="M276" s="14" t="n">
        <f aca="true">$B$16+NORMINV(RAND(),0,SQRT($B$13*($B$7+$B$8^2))*$B$9*(1-$B$10))</f>
        <v>3847.55364426723</v>
      </c>
      <c r="N276" s="14" t="n">
        <f aca="true">$B$16+NORMINV(RAND(),0,SQRT($B$13*($B$7+$B$8^2))*$B$9*(1-$B$10))</f>
        <v>4171.17823331136</v>
      </c>
      <c r="O276" s="14" t="n">
        <f aca="true">$B$16+NORMINV(RAND(),0,SQRT($B$13*($B$7+$B$8^2))*$B$9*(1-$B$10))</f>
        <v>4183.12536619629</v>
      </c>
      <c r="P276" s="14" t="n">
        <f aca="true">$B$16+NORMINV(RAND(),0,SQRT($B$13*($B$7+$B$8^2))*$B$9*(1-$B$10))</f>
        <v>4122.55842119753</v>
      </c>
      <c r="Q276" s="14" t="n">
        <f aca="true">$B$16+NORMINV(RAND(),0,SQRT($B$13*($B$7+$B$8^2))*$B$9*(1-$B$10))</f>
        <v>4461.79572412542</v>
      </c>
      <c r="R276" s="14" t="n">
        <f aca="false">$B$4-13*($B$5+$B$6)/30-IF($B$11&lt;=13,$B$12,0)+0</f>
        <v>8876.66666666667</v>
      </c>
      <c r="S276" s="14" t="n">
        <f aca="false">$B$4-27*($B$5+$B$6)/30-IF($B$11&lt;=27,$B$12,0)+L276</f>
        <v>10947.52039088</v>
      </c>
      <c r="T276" s="14" t="n">
        <f aca="false">$B$4-41*($B$5+$B$6)/30-IF($B$11&lt;=41,$B$12,0)+L276+M276</f>
        <v>1323.60736848061</v>
      </c>
      <c r="U276" s="14" t="n">
        <f aca="false">$B$4-55*($B$5+$B$6)/30-IF($B$11&lt;=55,$B$12,0)+L276+M276+N276</f>
        <v>3208.1189351253</v>
      </c>
      <c r="V276" s="14" t="n">
        <f aca="false">$B$4-69*($B$5+$B$6)/30-IF($B$11&lt;=69,$B$12,0)+L276+M276+N276+O276</f>
        <v>5104.57763465492</v>
      </c>
      <c r="W276" s="14" t="n">
        <f aca="false">$B$4-83*($B$5+$B$6)/30-IF($B$11&lt;=83,$B$12,0)+L276+M276+N276+O276+P276</f>
        <v>6940.46938918579</v>
      </c>
      <c r="X276" s="14" t="n">
        <f aca="false">$B$4-90*($B$5+$B$6)/30-IF($B$11&lt;=90,$B$12,0)+L276+M276+N276+O276+P276+Q276</f>
        <v>10258.9317799779</v>
      </c>
      <c r="AA276" s="14" t="n">
        <f aca="false">MIN(R276:X276)</f>
        <v>1323.60736848061</v>
      </c>
    </row>
    <row r="277" customFormat="false" ht="15" hidden="false" customHeight="false" outlineLevel="0" collapsed="false">
      <c r="K277" s="2" t="n">
        <v>272</v>
      </c>
      <c r="L277" s="14" t="n">
        <f aca="true">$B$16+NORMINV(RAND(),0,SQRT($B$13*($B$7+$B$8^2))*$B$9*(1-$B$10))</f>
        <v>4351.47450102395</v>
      </c>
      <c r="M277" s="14" t="n">
        <f aca="true">$B$16+NORMINV(RAND(),0,SQRT($B$13*($B$7+$B$8^2))*$B$9*(1-$B$10))</f>
        <v>4072.35148502959</v>
      </c>
      <c r="N277" s="14" t="n">
        <f aca="true">$B$16+NORMINV(RAND(),0,SQRT($B$13*($B$7+$B$8^2))*$B$9*(1-$B$10))</f>
        <v>3375.75533352629</v>
      </c>
      <c r="O277" s="14" t="n">
        <f aca="true">$B$16+NORMINV(RAND(),0,SQRT($B$13*($B$7+$B$8^2))*$B$9*(1-$B$10))</f>
        <v>3964.5593607533</v>
      </c>
      <c r="P277" s="14" t="n">
        <f aca="true">$B$16+NORMINV(RAND(),0,SQRT($B$13*($B$7+$B$8^2))*$B$9*(1-$B$10))</f>
        <v>4060.35718011717</v>
      </c>
      <c r="Q277" s="14" t="n">
        <f aca="true">$B$16+NORMINV(RAND(),0,SQRT($B$13*($B$7+$B$8^2))*$B$9*(1-$B$10))</f>
        <v>3641.80739224045</v>
      </c>
      <c r="R277" s="14" t="n">
        <f aca="false">$B$4-13*($B$5+$B$6)/30-IF($B$11&lt;=13,$B$12,0)+0</f>
        <v>8876.66666666667</v>
      </c>
      <c r="S277" s="14" t="n">
        <f aca="false">$B$4-27*($B$5+$B$6)/30-IF($B$11&lt;=27,$B$12,0)+L277</f>
        <v>10941.474501024</v>
      </c>
      <c r="T277" s="14" t="n">
        <f aca="false">$B$4-41*($B$5+$B$6)/30-IF($B$11&lt;=41,$B$12,0)+L277+M277</f>
        <v>1542.35931938688</v>
      </c>
      <c r="U277" s="14" t="n">
        <f aca="false">$B$4-55*($B$5+$B$6)/30-IF($B$11&lt;=55,$B$12,0)+L277+M277+N277</f>
        <v>2631.4479862465</v>
      </c>
      <c r="V277" s="14" t="n">
        <f aca="false">$B$4-69*($B$5+$B$6)/30-IF($B$11&lt;=69,$B$12,0)+L277+M277+N277+O277</f>
        <v>4309.34068033313</v>
      </c>
      <c r="W277" s="14" t="n">
        <f aca="false">$B$4-83*($B$5+$B$6)/30-IF($B$11&lt;=83,$B$12,0)+L277+M277+N277+O277+P277</f>
        <v>6083.03119378363</v>
      </c>
      <c r="X277" s="14" t="n">
        <f aca="false">$B$4-90*($B$5+$B$6)/30-IF($B$11&lt;=90,$B$12,0)+L277+M277+N277+O277+P277+Q277</f>
        <v>8581.50525269076</v>
      </c>
      <c r="AA277" s="14" t="n">
        <f aca="false">MIN(R277:X277)</f>
        <v>1542.35931938688</v>
      </c>
    </row>
    <row r="278" customFormat="false" ht="15" hidden="false" customHeight="false" outlineLevel="0" collapsed="false">
      <c r="K278" s="2" t="n">
        <v>273</v>
      </c>
      <c r="L278" s="14" t="n">
        <f aca="true">$B$16+NORMINV(RAND(),0,SQRT($B$13*($B$7+$B$8^2))*$B$9*(1-$B$10))</f>
        <v>4089.3157228914</v>
      </c>
      <c r="M278" s="14" t="n">
        <f aca="true">$B$16+NORMINV(RAND(),0,SQRT($B$13*($B$7+$B$8^2))*$B$9*(1-$B$10))</f>
        <v>3770.12638703373</v>
      </c>
      <c r="N278" s="14" t="n">
        <f aca="true">$B$16+NORMINV(RAND(),0,SQRT($B$13*($B$7+$B$8^2))*$B$9*(1-$B$10))</f>
        <v>3825.40147888383</v>
      </c>
      <c r="O278" s="14" t="n">
        <f aca="true">$B$16+NORMINV(RAND(),0,SQRT($B$13*($B$7+$B$8^2))*$B$9*(1-$B$10))</f>
        <v>4108.13092453191</v>
      </c>
      <c r="P278" s="14" t="n">
        <f aca="true">$B$16+NORMINV(RAND(),0,SQRT($B$13*($B$7+$B$8^2))*$B$9*(1-$B$10))</f>
        <v>4465.42433001782</v>
      </c>
      <c r="Q278" s="14" t="n">
        <f aca="true">$B$16+NORMINV(RAND(),0,SQRT($B$13*($B$7+$B$8^2))*$B$9*(1-$B$10))</f>
        <v>4159.87805130128</v>
      </c>
      <c r="R278" s="14" t="n">
        <f aca="false">$B$4-13*($B$5+$B$6)/30-IF($B$11&lt;=13,$B$12,0)+0</f>
        <v>8876.66666666667</v>
      </c>
      <c r="S278" s="14" t="n">
        <f aca="false">$B$4-27*($B$5+$B$6)/30-IF($B$11&lt;=27,$B$12,0)+L278</f>
        <v>10679.3157228914</v>
      </c>
      <c r="T278" s="14" t="n">
        <f aca="false">$B$4-41*($B$5+$B$6)/30-IF($B$11&lt;=41,$B$12,0)+L278+M278</f>
        <v>977.975443258463</v>
      </c>
      <c r="U278" s="14" t="n">
        <f aca="false">$B$4-55*($B$5+$B$6)/30-IF($B$11&lt;=55,$B$12,0)+L278+M278+N278</f>
        <v>2516.71025547563</v>
      </c>
      <c r="V278" s="14" t="n">
        <f aca="false">$B$4-69*($B$5+$B$6)/30-IF($B$11&lt;=69,$B$12,0)+L278+M278+N278+O278</f>
        <v>4338.17451334088</v>
      </c>
      <c r="W278" s="14" t="n">
        <f aca="false">$B$4-83*($B$5+$B$6)/30-IF($B$11&lt;=83,$B$12,0)+L278+M278+N278+O278+P278</f>
        <v>6516.93217669203</v>
      </c>
      <c r="X278" s="14" t="n">
        <f aca="false">$B$4-90*($B$5+$B$6)/30-IF($B$11&lt;=90,$B$12,0)+L278+M278+N278+O278+P278+Q278</f>
        <v>9533.47689465997</v>
      </c>
      <c r="AA278" s="14" t="n">
        <f aca="false">MIN(R278:X278)</f>
        <v>977.975443258463</v>
      </c>
    </row>
    <row r="279" customFormat="false" ht="15" hidden="false" customHeight="false" outlineLevel="0" collapsed="false">
      <c r="K279" s="2" t="n">
        <v>274</v>
      </c>
      <c r="L279" s="14" t="n">
        <f aca="true">$B$16+NORMINV(RAND(),0,SQRT($B$13*($B$7+$B$8^2))*$B$9*(1-$B$10))</f>
        <v>3947.65395180482</v>
      </c>
      <c r="M279" s="14" t="n">
        <f aca="true">$B$16+NORMINV(RAND(),0,SQRT($B$13*($B$7+$B$8^2))*$B$9*(1-$B$10))</f>
        <v>3836.99576777777</v>
      </c>
      <c r="N279" s="14" t="n">
        <f aca="true">$B$16+NORMINV(RAND(),0,SQRT($B$13*($B$7+$B$8^2))*$B$9*(1-$B$10))</f>
        <v>3812.31312754659</v>
      </c>
      <c r="O279" s="14" t="n">
        <f aca="true">$B$16+NORMINV(RAND(),0,SQRT($B$13*($B$7+$B$8^2))*$B$9*(1-$B$10))</f>
        <v>3912.21950245013</v>
      </c>
      <c r="P279" s="14" t="n">
        <f aca="true">$B$16+NORMINV(RAND(),0,SQRT($B$13*($B$7+$B$8^2))*$B$9*(1-$B$10))</f>
        <v>4009.32537284679</v>
      </c>
      <c r="Q279" s="14" t="n">
        <f aca="true">$B$16+NORMINV(RAND(),0,SQRT($B$13*($B$7+$B$8^2))*$B$9*(1-$B$10))</f>
        <v>4478.79875561881</v>
      </c>
      <c r="R279" s="14" t="n">
        <f aca="false">$B$4-13*($B$5+$B$6)/30-IF($B$11&lt;=13,$B$12,0)+0</f>
        <v>8876.66666666667</v>
      </c>
      <c r="S279" s="14" t="n">
        <f aca="false">$B$4-27*($B$5+$B$6)/30-IF($B$11&lt;=27,$B$12,0)+L279</f>
        <v>10537.6539518048</v>
      </c>
      <c r="T279" s="14" t="n">
        <f aca="false">$B$4-41*($B$5+$B$6)/30-IF($B$11&lt;=41,$B$12,0)+L279+M279</f>
        <v>903.183052915928</v>
      </c>
      <c r="U279" s="14" t="n">
        <f aca="false">$B$4-55*($B$5+$B$6)/30-IF($B$11&lt;=55,$B$12,0)+L279+M279+N279</f>
        <v>2428.82951379585</v>
      </c>
      <c r="V279" s="14" t="n">
        <f aca="false">$B$4-69*($B$5+$B$6)/30-IF($B$11&lt;=69,$B$12,0)+L279+M279+N279+O279</f>
        <v>4054.38234957931</v>
      </c>
      <c r="W279" s="14" t="n">
        <f aca="false">$B$4-83*($B$5+$B$6)/30-IF($B$11&lt;=83,$B$12,0)+L279+M279+N279+O279+P279</f>
        <v>5777.04105575944</v>
      </c>
      <c r="X279" s="14" t="n">
        <f aca="false">$B$4-90*($B$5+$B$6)/30-IF($B$11&lt;=90,$B$12,0)+L279+M279+N279+O279+P279+Q279</f>
        <v>9112.50647804491</v>
      </c>
      <c r="AA279" s="14" t="n">
        <f aca="false">MIN(R279:X279)</f>
        <v>903.183052915928</v>
      </c>
    </row>
    <row r="280" customFormat="false" ht="15" hidden="false" customHeight="false" outlineLevel="0" collapsed="false">
      <c r="K280" s="2" t="n">
        <v>275</v>
      </c>
      <c r="L280" s="14" t="n">
        <f aca="true">$B$16+NORMINV(RAND(),0,SQRT($B$13*($B$7+$B$8^2))*$B$9*(1-$B$10))</f>
        <v>4036.477497594</v>
      </c>
      <c r="M280" s="14" t="n">
        <f aca="true">$B$16+NORMINV(RAND(),0,SQRT($B$13*($B$7+$B$8^2))*$B$9*(1-$B$10))</f>
        <v>4050.74074607469</v>
      </c>
      <c r="N280" s="14" t="n">
        <f aca="true">$B$16+NORMINV(RAND(),0,SQRT($B$13*($B$7+$B$8^2))*$B$9*(1-$B$10))</f>
        <v>3785.86802754913</v>
      </c>
      <c r="O280" s="14" t="n">
        <f aca="true">$B$16+NORMINV(RAND(),0,SQRT($B$13*($B$7+$B$8^2))*$B$9*(1-$B$10))</f>
        <v>3763.36080604352</v>
      </c>
      <c r="P280" s="14" t="n">
        <f aca="true">$B$16+NORMINV(RAND(),0,SQRT($B$13*($B$7+$B$8^2))*$B$9*(1-$B$10))</f>
        <v>3753.11919444889</v>
      </c>
      <c r="Q280" s="14" t="n">
        <f aca="true">$B$16+NORMINV(RAND(),0,SQRT($B$13*($B$7+$B$8^2))*$B$9*(1-$B$10))</f>
        <v>4530.92064137442</v>
      </c>
      <c r="R280" s="14" t="n">
        <f aca="false">$B$4-13*($B$5+$B$6)/30-IF($B$11&lt;=13,$B$12,0)+0</f>
        <v>8876.66666666667</v>
      </c>
      <c r="S280" s="14" t="n">
        <f aca="false">$B$4-27*($B$5+$B$6)/30-IF($B$11&lt;=27,$B$12,0)+L280</f>
        <v>10626.477497594</v>
      </c>
      <c r="T280" s="14" t="n">
        <f aca="false">$B$4-41*($B$5+$B$6)/30-IF($B$11&lt;=41,$B$12,0)+L280+M280</f>
        <v>1205.75157700202</v>
      </c>
      <c r="U280" s="14" t="n">
        <f aca="false">$B$4-55*($B$5+$B$6)/30-IF($B$11&lt;=55,$B$12,0)+L280+M280+N280</f>
        <v>2704.95293788448</v>
      </c>
      <c r="V280" s="14" t="n">
        <f aca="false">$B$4-69*($B$5+$B$6)/30-IF($B$11&lt;=69,$B$12,0)+L280+M280+N280+O280</f>
        <v>4181.64707726134</v>
      </c>
      <c r="W280" s="14" t="n">
        <f aca="false">$B$4-83*($B$5+$B$6)/30-IF($B$11&lt;=83,$B$12,0)+L280+M280+N280+O280+P280</f>
        <v>5648.09960504356</v>
      </c>
      <c r="X280" s="14" t="n">
        <f aca="false">$B$4-90*($B$5+$B$6)/30-IF($B$11&lt;=90,$B$12,0)+L280+M280+N280+O280+P280+Q280</f>
        <v>9035.68691308465</v>
      </c>
      <c r="AA280" s="14" t="n">
        <f aca="false">MIN(R280:X280)</f>
        <v>1205.75157700202</v>
      </c>
    </row>
    <row r="281" customFormat="false" ht="15" hidden="false" customHeight="false" outlineLevel="0" collapsed="false">
      <c r="K281" s="2" t="n">
        <v>276</v>
      </c>
      <c r="L281" s="14" t="n">
        <f aca="true">$B$16+NORMINV(RAND(),0,SQRT($B$13*($B$7+$B$8^2))*$B$9*(1-$B$10))</f>
        <v>3261.23947578489</v>
      </c>
      <c r="M281" s="14" t="n">
        <f aca="true">$B$16+NORMINV(RAND(),0,SQRT($B$13*($B$7+$B$8^2))*$B$9*(1-$B$10))</f>
        <v>4110.79109047773</v>
      </c>
      <c r="N281" s="14" t="n">
        <f aca="true">$B$16+NORMINV(RAND(),0,SQRT($B$13*($B$7+$B$8^2))*$B$9*(1-$B$10))</f>
        <v>4396.04621040134</v>
      </c>
      <c r="O281" s="14" t="n">
        <f aca="true">$B$16+NORMINV(RAND(),0,SQRT($B$13*($B$7+$B$8^2))*$B$9*(1-$B$10))</f>
        <v>3765.16453174151</v>
      </c>
      <c r="P281" s="14" t="n">
        <f aca="true">$B$16+NORMINV(RAND(),0,SQRT($B$13*($B$7+$B$8^2))*$B$9*(1-$B$10))</f>
        <v>4151.73638631509</v>
      </c>
      <c r="Q281" s="14" t="n">
        <f aca="true">$B$16+NORMINV(RAND(),0,SQRT($B$13*($B$7+$B$8^2))*$B$9*(1-$B$10))</f>
        <v>4077.02469195039</v>
      </c>
      <c r="R281" s="14" t="n">
        <f aca="false">$B$4-13*($B$5+$B$6)/30-IF($B$11&lt;=13,$B$12,0)+0</f>
        <v>8876.66666666667</v>
      </c>
      <c r="S281" s="14" t="n">
        <f aca="false">$B$4-27*($B$5+$B$6)/30-IF($B$11&lt;=27,$B$12,0)+L281</f>
        <v>9851.23947578489</v>
      </c>
      <c r="T281" s="14" t="n">
        <f aca="false">$B$4-41*($B$5+$B$6)/30-IF($B$11&lt;=41,$B$12,0)+L281+M281</f>
        <v>490.563899595953</v>
      </c>
      <c r="U281" s="14" t="n">
        <f aca="false">$B$4-55*($B$5+$B$6)/30-IF($B$11&lt;=55,$B$12,0)+L281+M281+N281</f>
        <v>2599.94344333063</v>
      </c>
      <c r="V281" s="14" t="n">
        <f aca="false">$B$4-69*($B$5+$B$6)/30-IF($B$11&lt;=69,$B$12,0)+L281+M281+N281+O281</f>
        <v>4078.44130840547</v>
      </c>
      <c r="W281" s="14" t="n">
        <f aca="false">$B$4-83*($B$5+$B$6)/30-IF($B$11&lt;=83,$B$12,0)+L281+M281+N281+O281+P281</f>
        <v>5943.5110280539</v>
      </c>
      <c r="X281" s="14" t="n">
        <f aca="false">$B$4-90*($B$5+$B$6)/30-IF($B$11&lt;=90,$B$12,0)+L281+M281+N281+O281+P281+Q281</f>
        <v>8877.20238667095</v>
      </c>
      <c r="AA281" s="14" t="n">
        <f aca="false">MIN(R281:X281)</f>
        <v>490.563899595953</v>
      </c>
    </row>
    <row r="282" customFormat="false" ht="15" hidden="false" customHeight="false" outlineLevel="0" collapsed="false">
      <c r="K282" s="2" t="n">
        <v>277</v>
      </c>
      <c r="L282" s="14" t="n">
        <f aca="true">$B$16+NORMINV(RAND(),0,SQRT($B$13*($B$7+$B$8^2))*$B$9*(1-$B$10))</f>
        <v>4289.88876675508</v>
      </c>
      <c r="M282" s="14" t="n">
        <f aca="true">$B$16+NORMINV(RAND(),0,SQRT($B$13*($B$7+$B$8^2))*$B$9*(1-$B$10))</f>
        <v>4917.59857850198</v>
      </c>
      <c r="N282" s="14" t="n">
        <f aca="true">$B$16+NORMINV(RAND(),0,SQRT($B$13*($B$7+$B$8^2))*$B$9*(1-$B$10))</f>
        <v>4060.74397647638</v>
      </c>
      <c r="O282" s="14" t="n">
        <f aca="true">$B$16+NORMINV(RAND(),0,SQRT($B$13*($B$7+$B$8^2))*$B$9*(1-$B$10))</f>
        <v>4161.41366628096</v>
      </c>
      <c r="P282" s="14" t="n">
        <f aca="true">$B$16+NORMINV(RAND(),0,SQRT($B$13*($B$7+$B$8^2))*$B$9*(1-$B$10))</f>
        <v>4574.89453182731</v>
      </c>
      <c r="Q282" s="14" t="n">
        <f aca="true">$B$16+NORMINV(RAND(),0,SQRT($B$13*($B$7+$B$8^2))*$B$9*(1-$B$10))</f>
        <v>3650.37493989218</v>
      </c>
      <c r="R282" s="14" t="n">
        <f aca="false">$B$4-13*($B$5+$B$6)/30-IF($B$11&lt;=13,$B$12,0)+0</f>
        <v>8876.66666666667</v>
      </c>
      <c r="S282" s="14" t="n">
        <f aca="false">$B$4-27*($B$5+$B$6)/30-IF($B$11&lt;=27,$B$12,0)+L282</f>
        <v>10879.8887667551</v>
      </c>
      <c r="T282" s="14" t="n">
        <f aca="false">$B$4-41*($B$5+$B$6)/30-IF($B$11&lt;=41,$B$12,0)+L282+M282</f>
        <v>2326.02067859039</v>
      </c>
      <c r="U282" s="14" t="n">
        <f aca="false">$B$4-55*($B$5+$B$6)/30-IF($B$11&lt;=55,$B$12,0)+L282+M282+N282</f>
        <v>4100.0979884001</v>
      </c>
      <c r="V282" s="14" t="n">
        <f aca="false">$B$4-69*($B$5+$B$6)/30-IF($B$11&lt;=69,$B$12,0)+L282+M282+N282+O282</f>
        <v>5974.8449880144</v>
      </c>
      <c r="W282" s="14" t="n">
        <f aca="false">$B$4-83*($B$5+$B$6)/30-IF($B$11&lt;=83,$B$12,0)+L282+M282+N282+O282+P282</f>
        <v>8263.07285317504</v>
      </c>
      <c r="X282" s="14" t="n">
        <f aca="false">$B$4-90*($B$5+$B$6)/30-IF($B$11&lt;=90,$B$12,0)+L282+M282+N282+O282+P282+Q282</f>
        <v>10770.1144597339</v>
      </c>
      <c r="AA282" s="14" t="n">
        <f aca="false">MIN(R282:X282)</f>
        <v>2326.02067859039</v>
      </c>
    </row>
    <row r="283" customFormat="false" ht="15" hidden="false" customHeight="false" outlineLevel="0" collapsed="false">
      <c r="K283" s="2" t="n">
        <v>278</v>
      </c>
      <c r="L283" s="14" t="n">
        <f aca="true">$B$16+NORMINV(RAND(),0,SQRT($B$13*($B$7+$B$8^2))*$B$9*(1-$B$10))</f>
        <v>3669.10336160996</v>
      </c>
      <c r="M283" s="14" t="n">
        <f aca="true">$B$16+NORMINV(RAND(),0,SQRT($B$13*($B$7+$B$8^2))*$B$9*(1-$B$10))</f>
        <v>3727.88457053722</v>
      </c>
      <c r="N283" s="14" t="n">
        <f aca="true">$B$16+NORMINV(RAND(),0,SQRT($B$13*($B$7+$B$8^2))*$B$9*(1-$B$10))</f>
        <v>4045.40031909076</v>
      </c>
      <c r="O283" s="14" t="n">
        <f aca="true">$B$16+NORMINV(RAND(),0,SQRT($B$13*($B$7+$B$8^2))*$B$9*(1-$B$10))</f>
        <v>4095.2651167661</v>
      </c>
      <c r="P283" s="14" t="n">
        <f aca="true">$B$16+NORMINV(RAND(),0,SQRT($B$13*($B$7+$B$8^2))*$B$9*(1-$B$10))</f>
        <v>4329.36437977356</v>
      </c>
      <c r="Q283" s="14" t="n">
        <f aca="true">$B$16+NORMINV(RAND(),0,SQRT($B$13*($B$7+$B$8^2))*$B$9*(1-$B$10))</f>
        <v>4281.37748518127</v>
      </c>
      <c r="R283" s="14" t="n">
        <f aca="false">$B$4-13*($B$5+$B$6)/30-IF($B$11&lt;=13,$B$12,0)+0</f>
        <v>8876.66666666667</v>
      </c>
      <c r="S283" s="14" t="n">
        <f aca="false">$B$4-27*($B$5+$B$6)/30-IF($B$11&lt;=27,$B$12,0)+L283</f>
        <v>10259.10336161</v>
      </c>
      <c r="T283" s="14" t="n">
        <f aca="false">$B$4-41*($B$5+$B$6)/30-IF($B$11&lt;=41,$B$12,0)+L283+M283</f>
        <v>515.521265480515</v>
      </c>
      <c r="U283" s="14" t="n">
        <f aca="false">$B$4-55*($B$5+$B$6)/30-IF($B$11&lt;=55,$B$12,0)+L283+M283+N283</f>
        <v>2274.25491790461</v>
      </c>
      <c r="V283" s="14" t="n">
        <f aca="false">$B$4-69*($B$5+$B$6)/30-IF($B$11&lt;=69,$B$12,0)+L283+M283+N283+O283</f>
        <v>4082.85336800404</v>
      </c>
      <c r="W283" s="14" t="n">
        <f aca="false">$B$4-83*($B$5+$B$6)/30-IF($B$11&lt;=83,$B$12,0)+L283+M283+N283+O283+P283</f>
        <v>6125.55108111093</v>
      </c>
      <c r="X283" s="14" t="n">
        <f aca="false">$B$4-90*($B$5+$B$6)/30-IF($B$11&lt;=90,$B$12,0)+L283+M283+N283+O283+P283+Q283</f>
        <v>9263.59523295887</v>
      </c>
      <c r="AA283" s="14" t="n">
        <f aca="false">MIN(R283:X283)</f>
        <v>515.521265480515</v>
      </c>
    </row>
    <row r="284" customFormat="false" ht="15" hidden="false" customHeight="false" outlineLevel="0" collapsed="false">
      <c r="K284" s="2" t="n">
        <v>279</v>
      </c>
      <c r="L284" s="14" t="n">
        <f aca="true">$B$16+NORMINV(RAND(),0,SQRT($B$13*($B$7+$B$8^2))*$B$9*(1-$B$10))</f>
        <v>4478.5325104845</v>
      </c>
      <c r="M284" s="14" t="n">
        <f aca="true">$B$16+NORMINV(RAND(),0,SQRT($B$13*($B$7+$B$8^2))*$B$9*(1-$B$10))</f>
        <v>3669.15880468997</v>
      </c>
      <c r="N284" s="14" t="n">
        <f aca="true">$B$16+NORMINV(RAND(),0,SQRT($B$13*($B$7+$B$8^2))*$B$9*(1-$B$10))</f>
        <v>4441.39246634892</v>
      </c>
      <c r="O284" s="14" t="n">
        <f aca="true">$B$16+NORMINV(RAND(),0,SQRT($B$13*($B$7+$B$8^2))*$B$9*(1-$B$10))</f>
        <v>4037.51563769192</v>
      </c>
      <c r="P284" s="14" t="n">
        <f aca="true">$B$16+NORMINV(RAND(),0,SQRT($B$13*($B$7+$B$8^2))*$B$9*(1-$B$10))</f>
        <v>4731.45817884076</v>
      </c>
      <c r="Q284" s="14" t="n">
        <f aca="true">$B$16+NORMINV(RAND(),0,SQRT($B$13*($B$7+$B$8^2))*$B$9*(1-$B$10))</f>
        <v>4128.57959719539</v>
      </c>
      <c r="R284" s="14" t="n">
        <f aca="false">$B$4-13*($B$5+$B$6)/30-IF($B$11&lt;=13,$B$12,0)+0</f>
        <v>8876.66666666667</v>
      </c>
      <c r="S284" s="14" t="n">
        <f aca="false">$B$4-27*($B$5+$B$6)/30-IF($B$11&lt;=27,$B$12,0)+L284</f>
        <v>11068.5325104845</v>
      </c>
      <c r="T284" s="14" t="n">
        <f aca="false">$B$4-41*($B$5+$B$6)/30-IF($B$11&lt;=41,$B$12,0)+L284+M284</f>
        <v>1266.2246485078</v>
      </c>
      <c r="U284" s="14" t="n">
        <f aca="false">$B$4-55*($B$5+$B$6)/30-IF($B$11&lt;=55,$B$12,0)+L284+M284+N284</f>
        <v>3420.95044819006</v>
      </c>
      <c r="V284" s="14" t="n">
        <f aca="false">$B$4-69*($B$5+$B$6)/30-IF($B$11&lt;=69,$B$12,0)+L284+M284+N284+O284</f>
        <v>5171.79941921531</v>
      </c>
      <c r="W284" s="14" t="n">
        <f aca="false">$B$4-83*($B$5+$B$6)/30-IF($B$11&lt;=83,$B$12,0)+L284+M284+N284+O284+P284</f>
        <v>7616.5909313894</v>
      </c>
      <c r="X284" s="14" t="n">
        <f aca="false">$B$4-90*($B$5+$B$6)/30-IF($B$11&lt;=90,$B$12,0)+L284+M284+N284+O284+P284+Q284</f>
        <v>10601.8371952515</v>
      </c>
      <c r="AA284" s="14" t="n">
        <f aca="false">MIN(R284:X284)</f>
        <v>1266.2246485078</v>
      </c>
    </row>
    <row r="285" customFormat="false" ht="15" hidden="false" customHeight="false" outlineLevel="0" collapsed="false">
      <c r="K285" s="2" t="n">
        <v>280</v>
      </c>
      <c r="L285" s="14" t="n">
        <f aca="true">$B$16+NORMINV(RAND(),0,SQRT($B$13*($B$7+$B$8^2))*$B$9*(1-$B$10))</f>
        <v>3646.87185096368</v>
      </c>
      <c r="M285" s="14" t="n">
        <f aca="true">$B$16+NORMINV(RAND(),0,SQRT($B$13*($B$7+$B$8^2))*$B$9*(1-$B$10))</f>
        <v>4709.54068582505</v>
      </c>
      <c r="N285" s="14" t="n">
        <f aca="true">$B$16+NORMINV(RAND(),0,SQRT($B$13*($B$7+$B$8^2))*$B$9*(1-$B$10))</f>
        <v>4167.64109213281</v>
      </c>
      <c r="O285" s="14" t="n">
        <f aca="true">$B$16+NORMINV(RAND(),0,SQRT($B$13*($B$7+$B$8^2))*$B$9*(1-$B$10))</f>
        <v>4159.93989154226</v>
      </c>
      <c r="P285" s="14" t="n">
        <f aca="true">$B$16+NORMINV(RAND(),0,SQRT($B$13*($B$7+$B$8^2))*$B$9*(1-$B$10))</f>
        <v>4343.45509065703</v>
      </c>
      <c r="Q285" s="14" t="n">
        <f aca="true">$B$16+NORMINV(RAND(),0,SQRT($B$13*($B$7+$B$8^2))*$B$9*(1-$B$10))</f>
        <v>4162.9541642437</v>
      </c>
      <c r="R285" s="14" t="n">
        <f aca="false">$B$4-13*($B$5+$B$6)/30-IF($B$11&lt;=13,$B$12,0)+0</f>
        <v>8876.66666666667</v>
      </c>
      <c r="S285" s="14" t="n">
        <f aca="false">$B$4-27*($B$5+$B$6)/30-IF($B$11&lt;=27,$B$12,0)+L285</f>
        <v>10236.8718509637</v>
      </c>
      <c r="T285" s="14" t="n">
        <f aca="false">$B$4-41*($B$5+$B$6)/30-IF($B$11&lt;=41,$B$12,0)+L285+M285</f>
        <v>1474.94587012206</v>
      </c>
      <c r="U285" s="14" t="n">
        <f aca="false">$B$4-55*($B$5+$B$6)/30-IF($B$11&lt;=55,$B$12,0)+L285+M285+N285</f>
        <v>3355.9202955882</v>
      </c>
      <c r="V285" s="14" t="n">
        <f aca="false">$B$4-69*($B$5+$B$6)/30-IF($B$11&lt;=69,$B$12,0)+L285+M285+N285+O285</f>
        <v>5229.1935204638</v>
      </c>
      <c r="W285" s="14" t="n">
        <f aca="false">$B$4-83*($B$5+$B$6)/30-IF($B$11&lt;=83,$B$12,0)+L285+M285+N285+O285+P285</f>
        <v>7285.98194445416</v>
      </c>
      <c r="X285" s="14" t="n">
        <f aca="false">$B$4-90*($B$5+$B$6)/30-IF($B$11&lt;=90,$B$12,0)+L285+M285+N285+O285+P285+Q285</f>
        <v>10305.6027753645</v>
      </c>
      <c r="AA285" s="14" t="n">
        <f aca="false">MIN(R285:X285)</f>
        <v>1474.94587012206</v>
      </c>
    </row>
    <row r="286" customFormat="false" ht="15" hidden="false" customHeight="false" outlineLevel="0" collapsed="false">
      <c r="K286" s="2" t="n">
        <v>281</v>
      </c>
      <c r="L286" s="14" t="n">
        <f aca="true">$B$16+NORMINV(RAND(),0,SQRT($B$13*($B$7+$B$8^2))*$B$9*(1-$B$10))</f>
        <v>4655.81457098023</v>
      </c>
      <c r="M286" s="14" t="n">
        <f aca="true">$B$16+NORMINV(RAND(),0,SQRT($B$13*($B$7+$B$8^2))*$B$9*(1-$B$10))</f>
        <v>3926.48976327962</v>
      </c>
      <c r="N286" s="14" t="n">
        <f aca="true">$B$16+NORMINV(RAND(),0,SQRT($B$13*($B$7+$B$8^2))*$B$9*(1-$B$10))</f>
        <v>3902.74912187666</v>
      </c>
      <c r="O286" s="14" t="n">
        <f aca="true">$B$16+NORMINV(RAND(),0,SQRT($B$13*($B$7+$B$8^2))*$B$9*(1-$B$10))</f>
        <v>3970.19940789149</v>
      </c>
      <c r="P286" s="14" t="n">
        <f aca="true">$B$16+NORMINV(RAND(),0,SQRT($B$13*($B$7+$B$8^2))*$B$9*(1-$B$10))</f>
        <v>3924.56491880241</v>
      </c>
      <c r="Q286" s="14" t="n">
        <f aca="true">$B$16+NORMINV(RAND(),0,SQRT($B$13*($B$7+$B$8^2))*$B$9*(1-$B$10))</f>
        <v>3815.29243502785</v>
      </c>
      <c r="R286" s="14" t="n">
        <f aca="false">$B$4-13*($B$5+$B$6)/30-IF($B$11&lt;=13,$B$12,0)+0</f>
        <v>8876.66666666667</v>
      </c>
      <c r="S286" s="14" t="n">
        <f aca="false">$B$4-27*($B$5+$B$6)/30-IF($B$11&lt;=27,$B$12,0)+L286</f>
        <v>11245.8145709802</v>
      </c>
      <c r="T286" s="14" t="n">
        <f aca="false">$B$4-41*($B$5+$B$6)/30-IF($B$11&lt;=41,$B$12,0)+L286+M286</f>
        <v>1700.83766759318</v>
      </c>
      <c r="U286" s="14" t="n">
        <f aca="false">$B$4-55*($B$5+$B$6)/30-IF($B$11&lt;=55,$B$12,0)+L286+M286+N286</f>
        <v>3316.92012280318</v>
      </c>
      <c r="V286" s="14" t="n">
        <f aca="false">$B$4-69*($B$5+$B$6)/30-IF($B$11&lt;=69,$B$12,0)+L286+M286+N286+O286</f>
        <v>5000.452864028</v>
      </c>
      <c r="W286" s="14" t="n">
        <f aca="false">$B$4-83*($B$5+$B$6)/30-IF($B$11&lt;=83,$B$12,0)+L286+M286+N286+O286+P286</f>
        <v>6638.35111616374</v>
      </c>
      <c r="X286" s="14" t="n">
        <f aca="false">$B$4-90*($B$5+$B$6)/30-IF($B$11&lt;=90,$B$12,0)+L286+M286+N286+O286+P286+Q286</f>
        <v>9310.31021785826</v>
      </c>
      <c r="AA286" s="14" t="n">
        <f aca="false">MIN(R286:X286)</f>
        <v>1700.83766759318</v>
      </c>
    </row>
    <row r="287" customFormat="false" ht="15" hidden="false" customHeight="false" outlineLevel="0" collapsed="false">
      <c r="K287" s="2" t="n">
        <v>282</v>
      </c>
      <c r="L287" s="14" t="n">
        <f aca="true">$B$16+NORMINV(RAND(),0,SQRT($B$13*($B$7+$B$8^2))*$B$9*(1-$B$10))</f>
        <v>3920.2812516389</v>
      </c>
      <c r="M287" s="14" t="n">
        <f aca="true">$B$16+NORMINV(RAND(),0,SQRT($B$13*($B$7+$B$8^2))*$B$9*(1-$B$10))</f>
        <v>3693.05741269553</v>
      </c>
      <c r="N287" s="14" t="n">
        <f aca="true">$B$16+NORMINV(RAND(),0,SQRT($B$13*($B$7+$B$8^2))*$B$9*(1-$B$10))</f>
        <v>3827.10296629701</v>
      </c>
      <c r="O287" s="14" t="n">
        <f aca="true">$B$16+NORMINV(RAND(),0,SQRT($B$13*($B$7+$B$8^2))*$B$9*(1-$B$10))</f>
        <v>3489.53960813796</v>
      </c>
      <c r="P287" s="14" t="n">
        <f aca="true">$B$16+NORMINV(RAND(),0,SQRT($B$13*($B$7+$B$8^2))*$B$9*(1-$B$10))</f>
        <v>3784.08809595864</v>
      </c>
      <c r="Q287" s="14" t="n">
        <f aca="true">$B$16+NORMINV(RAND(),0,SQRT($B$13*($B$7+$B$8^2))*$B$9*(1-$B$10))</f>
        <v>4575.43362041861</v>
      </c>
      <c r="R287" s="14" t="n">
        <f aca="false">$B$4-13*($B$5+$B$6)/30-IF($B$11&lt;=13,$B$12,0)+0</f>
        <v>8876.66666666667</v>
      </c>
      <c r="S287" s="14" t="n">
        <f aca="false">$B$4-27*($B$5+$B$6)/30-IF($B$11&lt;=27,$B$12,0)+L287</f>
        <v>10510.2812516389</v>
      </c>
      <c r="T287" s="14" t="n">
        <f aca="false">$B$4-41*($B$5+$B$6)/30-IF($B$11&lt;=41,$B$12,0)+L287+M287</f>
        <v>731.871997667765</v>
      </c>
      <c r="U287" s="14" t="n">
        <f aca="false">$B$4-55*($B$5+$B$6)/30-IF($B$11&lt;=55,$B$12,0)+L287+M287+N287</f>
        <v>2272.30829729811</v>
      </c>
      <c r="V287" s="14" t="n">
        <f aca="false">$B$4-69*($B$5+$B$6)/30-IF($B$11&lt;=69,$B$12,0)+L287+M287+N287+O287</f>
        <v>3475.1812387694</v>
      </c>
      <c r="W287" s="14" t="n">
        <f aca="false">$B$4-83*($B$5+$B$6)/30-IF($B$11&lt;=83,$B$12,0)+L287+M287+N287+O287+P287</f>
        <v>4972.60266806138</v>
      </c>
      <c r="X287" s="14" t="n">
        <f aca="false">$B$4-90*($B$5+$B$6)/30-IF($B$11&lt;=90,$B$12,0)+L287+M287+N287+O287+P287+Q287</f>
        <v>8404.70295514665</v>
      </c>
      <c r="AA287" s="14" t="n">
        <f aca="false">MIN(R287:X287)</f>
        <v>731.871997667765</v>
      </c>
    </row>
    <row r="288" customFormat="false" ht="15" hidden="false" customHeight="false" outlineLevel="0" collapsed="false">
      <c r="K288" s="2" t="n">
        <v>283</v>
      </c>
      <c r="L288" s="14" t="n">
        <f aca="true">$B$16+NORMINV(RAND(),0,SQRT($B$13*($B$7+$B$8^2))*$B$9*(1-$B$10))</f>
        <v>4785.9019718647</v>
      </c>
      <c r="M288" s="14" t="n">
        <f aca="true">$B$16+NORMINV(RAND(),0,SQRT($B$13*($B$7+$B$8^2))*$B$9*(1-$B$10))</f>
        <v>3479.62723813383</v>
      </c>
      <c r="N288" s="14" t="n">
        <f aca="true">$B$16+NORMINV(RAND(),0,SQRT($B$13*($B$7+$B$8^2))*$B$9*(1-$B$10))</f>
        <v>4295.21089654217</v>
      </c>
      <c r="O288" s="14" t="n">
        <f aca="true">$B$16+NORMINV(RAND(),0,SQRT($B$13*($B$7+$B$8^2))*$B$9*(1-$B$10))</f>
        <v>4174.71061998406</v>
      </c>
      <c r="P288" s="14" t="n">
        <f aca="true">$B$16+NORMINV(RAND(),0,SQRT($B$13*($B$7+$B$8^2))*$B$9*(1-$B$10))</f>
        <v>3913.76645480498</v>
      </c>
      <c r="Q288" s="14" t="n">
        <f aca="true">$B$16+NORMINV(RAND(),0,SQRT($B$13*($B$7+$B$8^2))*$B$9*(1-$B$10))</f>
        <v>3814.08472219515</v>
      </c>
      <c r="R288" s="14" t="n">
        <f aca="false">$B$4-13*($B$5+$B$6)/30-IF($B$11&lt;=13,$B$12,0)+0</f>
        <v>8876.66666666667</v>
      </c>
      <c r="S288" s="14" t="n">
        <f aca="false">$B$4-27*($B$5+$B$6)/30-IF($B$11&lt;=27,$B$12,0)+L288</f>
        <v>11375.9019718647</v>
      </c>
      <c r="T288" s="14" t="n">
        <f aca="false">$B$4-41*($B$5+$B$6)/30-IF($B$11&lt;=41,$B$12,0)+L288+M288</f>
        <v>1384.06254333187</v>
      </c>
      <c r="U288" s="14" t="n">
        <f aca="false">$B$4-55*($B$5+$B$6)/30-IF($B$11&lt;=55,$B$12,0)+L288+M288+N288</f>
        <v>3392.60677320738</v>
      </c>
      <c r="V288" s="14" t="n">
        <f aca="false">$B$4-69*($B$5+$B$6)/30-IF($B$11&lt;=69,$B$12,0)+L288+M288+N288+O288</f>
        <v>5280.65072652477</v>
      </c>
      <c r="W288" s="14" t="n">
        <f aca="false">$B$4-83*($B$5+$B$6)/30-IF($B$11&lt;=83,$B$12,0)+L288+M288+N288+O288+P288</f>
        <v>6907.75051466308</v>
      </c>
      <c r="X288" s="14" t="n">
        <f aca="false">$B$4-90*($B$5+$B$6)/30-IF($B$11&lt;=90,$B$12,0)+L288+M288+N288+O288+P288+Q288</f>
        <v>9578.50190352489</v>
      </c>
      <c r="AA288" s="14" t="n">
        <f aca="false">MIN(R288:X288)</f>
        <v>1384.06254333187</v>
      </c>
    </row>
    <row r="289" customFormat="false" ht="15" hidden="false" customHeight="false" outlineLevel="0" collapsed="false">
      <c r="K289" s="2" t="n">
        <v>284</v>
      </c>
      <c r="L289" s="14" t="n">
        <f aca="true">$B$16+NORMINV(RAND(),0,SQRT($B$13*($B$7+$B$8^2))*$B$9*(1-$B$10))</f>
        <v>4053.05761604285</v>
      </c>
      <c r="M289" s="14" t="n">
        <f aca="true">$B$16+NORMINV(RAND(),0,SQRT($B$13*($B$7+$B$8^2))*$B$9*(1-$B$10))</f>
        <v>4028.77343344492</v>
      </c>
      <c r="N289" s="14" t="n">
        <f aca="true">$B$16+NORMINV(RAND(),0,SQRT($B$13*($B$7+$B$8^2))*$B$9*(1-$B$10))</f>
        <v>3561.02599544949</v>
      </c>
      <c r="O289" s="14" t="n">
        <f aca="true">$B$16+NORMINV(RAND(),0,SQRT($B$13*($B$7+$B$8^2))*$B$9*(1-$B$10))</f>
        <v>4614.8052692647</v>
      </c>
      <c r="P289" s="14" t="n">
        <f aca="true">$B$16+NORMINV(RAND(),0,SQRT($B$13*($B$7+$B$8^2))*$B$9*(1-$B$10))</f>
        <v>4157.39022949128</v>
      </c>
      <c r="Q289" s="14" t="n">
        <f aca="true">$B$16+NORMINV(RAND(),0,SQRT($B$13*($B$7+$B$8^2))*$B$9*(1-$B$10))</f>
        <v>4700.87736668285</v>
      </c>
      <c r="R289" s="14" t="n">
        <f aca="false">$B$4-13*($B$5+$B$6)/30-IF($B$11&lt;=13,$B$12,0)+0</f>
        <v>8876.66666666667</v>
      </c>
      <c r="S289" s="14" t="n">
        <f aca="false">$B$4-27*($B$5+$B$6)/30-IF($B$11&lt;=27,$B$12,0)+L289</f>
        <v>10643.0576160429</v>
      </c>
      <c r="T289" s="14" t="n">
        <f aca="false">$B$4-41*($B$5+$B$6)/30-IF($B$11&lt;=41,$B$12,0)+L289+M289</f>
        <v>1200.3643828211</v>
      </c>
      <c r="U289" s="14" t="n">
        <f aca="false">$B$4-55*($B$5+$B$6)/30-IF($B$11&lt;=55,$B$12,0)+L289+M289+N289</f>
        <v>2474.72371160392</v>
      </c>
      <c r="V289" s="14" t="n">
        <f aca="false">$B$4-69*($B$5+$B$6)/30-IF($B$11&lt;=69,$B$12,0)+L289+M289+N289+O289</f>
        <v>4802.86231420195</v>
      </c>
      <c r="W289" s="14" t="n">
        <f aca="false">$B$4-83*($B$5+$B$6)/30-IF($B$11&lt;=83,$B$12,0)+L289+M289+N289+O289+P289</f>
        <v>6673.58587702657</v>
      </c>
      <c r="X289" s="14" t="n">
        <f aca="false">$B$4-90*($B$5+$B$6)/30-IF($B$11&lt;=90,$B$12,0)+L289+M289+N289+O289+P289+Q289</f>
        <v>10231.1299103761</v>
      </c>
      <c r="AA289" s="14" t="n">
        <f aca="false">MIN(R289:X289)</f>
        <v>1200.3643828211</v>
      </c>
    </row>
    <row r="290" customFormat="false" ht="15" hidden="false" customHeight="false" outlineLevel="0" collapsed="false">
      <c r="K290" s="2" t="n">
        <v>285</v>
      </c>
      <c r="L290" s="14" t="n">
        <f aca="true">$B$16+NORMINV(RAND(),0,SQRT($B$13*($B$7+$B$8^2))*$B$9*(1-$B$10))</f>
        <v>4089.45453931845</v>
      </c>
      <c r="M290" s="14" t="n">
        <f aca="true">$B$16+NORMINV(RAND(),0,SQRT($B$13*($B$7+$B$8^2))*$B$9*(1-$B$10))</f>
        <v>4148.40114446463</v>
      </c>
      <c r="N290" s="14" t="n">
        <f aca="true">$B$16+NORMINV(RAND(),0,SQRT($B$13*($B$7+$B$8^2))*$B$9*(1-$B$10))</f>
        <v>4629.99811887873</v>
      </c>
      <c r="O290" s="14" t="n">
        <f aca="true">$B$16+NORMINV(RAND(),0,SQRT($B$13*($B$7+$B$8^2))*$B$9*(1-$B$10))</f>
        <v>4397.00621539483</v>
      </c>
      <c r="P290" s="14" t="n">
        <f aca="true">$B$16+NORMINV(RAND(),0,SQRT($B$13*($B$7+$B$8^2))*$B$9*(1-$B$10))</f>
        <v>3880.331130091</v>
      </c>
      <c r="Q290" s="14" t="n">
        <f aca="true">$B$16+NORMINV(RAND(),0,SQRT($B$13*($B$7+$B$8^2))*$B$9*(1-$B$10))</f>
        <v>4638.42820332237</v>
      </c>
      <c r="R290" s="14" t="n">
        <f aca="false">$B$4-13*($B$5+$B$6)/30-IF($B$11&lt;=13,$B$12,0)+0</f>
        <v>8876.66666666667</v>
      </c>
      <c r="S290" s="14" t="n">
        <f aca="false">$B$4-27*($B$5+$B$6)/30-IF($B$11&lt;=27,$B$12,0)+L290</f>
        <v>10679.4545393185</v>
      </c>
      <c r="T290" s="14" t="n">
        <f aca="false">$B$4-41*($B$5+$B$6)/30-IF($B$11&lt;=41,$B$12,0)+L290+M290</f>
        <v>1356.38901711642</v>
      </c>
      <c r="U290" s="14" t="n">
        <f aca="false">$B$4-55*($B$5+$B$6)/30-IF($B$11&lt;=55,$B$12,0)+L290+M290+N290</f>
        <v>3699.72046932849</v>
      </c>
      <c r="V290" s="14" t="n">
        <f aca="false">$B$4-69*($B$5+$B$6)/30-IF($B$11&lt;=69,$B$12,0)+L290+M290+N290+O290</f>
        <v>5810.06001805665</v>
      </c>
      <c r="W290" s="14" t="n">
        <f aca="false">$B$4-83*($B$5+$B$6)/30-IF($B$11&lt;=83,$B$12,0)+L290+M290+N290+O290+P290</f>
        <v>7403.72448148098</v>
      </c>
      <c r="X290" s="14" t="n">
        <f aca="false">$B$4-90*($B$5+$B$6)/30-IF($B$11&lt;=90,$B$12,0)+L290+M290+N290+O290+P290+Q290</f>
        <v>10898.81935147</v>
      </c>
      <c r="AA290" s="14" t="n">
        <f aca="false">MIN(R290:X290)</f>
        <v>1356.38901711642</v>
      </c>
    </row>
    <row r="291" customFormat="false" ht="15" hidden="false" customHeight="false" outlineLevel="0" collapsed="false">
      <c r="K291" s="2" t="n">
        <v>286</v>
      </c>
      <c r="L291" s="14" t="n">
        <f aca="true">$B$16+NORMINV(RAND(),0,SQRT($B$13*($B$7+$B$8^2))*$B$9*(1-$B$10))</f>
        <v>3756.51319305741</v>
      </c>
      <c r="M291" s="14" t="n">
        <f aca="true">$B$16+NORMINV(RAND(),0,SQRT($B$13*($B$7+$B$8^2))*$B$9*(1-$B$10))</f>
        <v>3892.48997331046</v>
      </c>
      <c r="N291" s="14" t="n">
        <f aca="true">$B$16+NORMINV(RAND(),0,SQRT($B$13*($B$7+$B$8^2))*$B$9*(1-$B$10))</f>
        <v>4359.91691069044</v>
      </c>
      <c r="O291" s="14" t="n">
        <f aca="true">$B$16+NORMINV(RAND(),0,SQRT($B$13*($B$7+$B$8^2))*$B$9*(1-$B$10))</f>
        <v>4243.43333013603</v>
      </c>
      <c r="P291" s="14" t="n">
        <f aca="true">$B$16+NORMINV(RAND(),0,SQRT($B$13*($B$7+$B$8^2))*$B$9*(1-$B$10))</f>
        <v>4010.38372804111</v>
      </c>
      <c r="Q291" s="14" t="n">
        <f aca="true">$B$16+NORMINV(RAND(),0,SQRT($B$13*($B$7+$B$8^2))*$B$9*(1-$B$10))</f>
        <v>3797.81781666563</v>
      </c>
      <c r="R291" s="14" t="n">
        <f aca="false">$B$4-13*($B$5+$B$6)/30-IF($B$11&lt;=13,$B$12,0)+0</f>
        <v>8876.66666666667</v>
      </c>
      <c r="S291" s="14" t="n">
        <f aca="false">$B$4-27*($B$5+$B$6)/30-IF($B$11&lt;=27,$B$12,0)+L291</f>
        <v>10346.5131930574</v>
      </c>
      <c r="T291" s="14" t="n">
        <f aca="false">$B$4-41*($B$5+$B$6)/30-IF($B$11&lt;=41,$B$12,0)+L291+M291</f>
        <v>767.536499701195</v>
      </c>
      <c r="U291" s="14" t="n">
        <f aca="false">$B$4-55*($B$5+$B$6)/30-IF($B$11&lt;=55,$B$12,0)+L291+M291+N291</f>
        <v>2840.78674372497</v>
      </c>
      <c r="V291" s="14" t="n">
        <f aca="false">$B$4-69*($B$5+$B$6)/30-IF($B$11&lt;=69,$B$12,0)+L291+M291+N291+O291</f>
        <v>4797.55340719434</v>
      </c>
      <c r="W291" s="14" t="n">
        <f aca="false">$B$4-83*($B$5+$B$6)/30-IF($B$11&lt;=83,$B$12,0)+L291+M291+N291+O291+P291</f>
        <v>6521.27046856878</v>
      </c>
      <c r="X291" s="14" t="n">
        <f aca="false">$B$4-90*($B$5+$B$6)/30-IF($B$11&lt;=90,$B$12,0)+L291+M291+N291+O291+P291+Q291</f>
        <v>9175.75495190108</v>
      </c>
      <c r="AA291" s="14" t="n">
        <f aca="false">MIN(R291:X291)</f>
        <v>767.536499701195</v>
      </c>
    </row>
    <row r="292" customFormat="false" ht="15" hidden="false" customHeight="false" outlineLevel="0" collapsed="false">
      <c r="K292" s="2" t="n">
        <v>287</v>
      </c>
      <c r="L292" s="14" t="n">
        <f aca="true">$B$16+NORMINV(RAND(),0,SQRT($B$13*($B$7+$B$8^2))*$B$9*(1-$B$10))</f>
        <v>4303.97903696762</v>
      </c>
      <c r="M292" s="14" t="n">
        <f aca="true">$B$16+NORMINV(RAND(),0,SQRT($B$13*($B$7+$B$8^2))*$B$9*(1-$B$10))</f>
        <v>3621.85337774978</v>
      </c>
      <c r="N292" s="14" t="n">
        <f aca="true">$B$16+NORMINV(RAND(),0,SQRT($B$13*($B$7+$B$8^2))*$B$9*(1-$B$10))</f>
        <v>4277.09036799762</v>
      </c>
      <c r="O292" s="14" t="n">
        <f aca="true">$B$16+NORMINV(RAND(),0,SQRT($B$13*($B$7+$B$8^2))*$B$9*(1-$B$10))</f>
        <v>4101.62523403362</v>
      </c>
      <c r="P292" s="14" t="n">
        <f aca="true">$B$16+NORMINV(RAND(),0,SQRT($B$13*($B$7+$B$8^2))*$B$9*(1-$B$10))</f>
        <v>4126.01577747436</v>
      </c>
      <c r="Q292" s="14" t="n">
        <f aca="true">$B$16+NORMINV(RAND(),0,SQRT($B$13*($B$7+$B$8^2))*$B$9*(1-$B$10))</f>
        <v>3461.2113815056</v>
      </c>
      <c r="R292" s="14" t="n">
        <f aca="false">$B$4-13*($B$5+$B$6)/30-IF($B$11&lt;=13,$B$12,0)+0</f>
        <v>8876.66666666667</v>
      </c>
      <c r="S292" s="14" t="n">
        <f aca="false">$B$4-27*($B$5+$B$6)/30-IF($B$11&lt;=27,$B$12,0)+L292</f>
        <v>10893.9790369676</v>
      </c>
      <c r="T292" s="14" t="n">
        <f aca="false">$B$4-41*($B$5+$B$6)/30-IF($B$11&lt;=41,$B$12,0)+L292+M292</f>
        <v>1044.36574805073</v>
      </c>
      <c r="U292" s="14" t="n">
        <f aca="false">$B$4-55*($B$5+$B$6)/30-IF($B$11&lt;=55,$B$12,0)+L292+M292+N292</f>
        <v>3034.78944938167</v>
      </c>
      <c r="V292" s="14" t="n">
        <f aca="false">$B$4-69*($B$5+$B$6)/30-IF($B$11&lt;=69,$B$12,0)+L292+M292+N292+O292</f>
        <v>4849.74801674863</v>
      </c>
      <c r="W292" s="14" t="n">
        <f aca="false">$B$4-83*($B$5+$B$6)/30-IF($B$11&lt;=83,$B$12,0)+L292+M292+N292+O292+P292</f>
        <v>6689.09712755632</v>
      </c>
      <c r="X292" s="14" t="n">
        <f aca="false">$B$4-90*($B$5+$B$6)/30-IF($B$11&lt;=90,$B$12,0)+L292+M292+N292+O292+P292+Q292</f>
        <v>9006.97517572859</v>
      </c>
      <c r="AA292" s="14" t="n">
        <f aca="false">MIN(R292:X292)</f>
        <v>1044.36574805073</v>
      </c>
    </row>
    <row r="293" customFormat="false" ht="15" hidden="false" customHeight="false" outlineLevel="0" collapsed="false">
      <c r="K293" s="2" t="n">
        <v>288</v>
      </c>
      <c r="L293" s="14" t="n">
        <f aca="true">$B$16+NORMINV(RAND(),0,SQRT($B$13*($B$7+$B$8^2))*$B$9*(1-$B$10))</f>
        <v>4303.77693586085</v>
      </c>
      <c r="M293" s="14" t="n">
        <f aca="true">$B$16+NORMINV(RAND(),0,SQRT($B$13*($B$7+$B$8^2))*$B$9*(1-$B$10))</f>
        <v>3920.77119838232</v>
      </c>
      <c r="N293" s="14" t="n">
        <f aca="true">$B$16+NORMINV(RAND(),0,SQRT($B$13*($B$7+$B$8^2))*$B$9*(1-$B$10))</f>
        <v>4488.05196415391</v>
      </c>
      <c r="O293" s="14" t="n">
        <f aca="true">$B$16+NORMINV(RAND(),0,SQRT($B$13*($B$7+$B$8^2))*$B$9*(1-$B$10))</f>
        <v>4234.64183700833</v>
      </c>
      <c r="P293" s="14" t="n">
        <f aca="true">$B$16+NORMINV(RAND(),0,SQRT($B$13*($B$7+$B$8^2))*$B$9*(1-$B$10))</f>
        <v>3879.6873724768</v>
      </c>
      <c r="Q293" s="14" t="n">
        <f aca="true">$B$16+NORMINV(RAND(),0,SQRT($B$13*($B$7+$B$8^2))*$B$9*(1-$B$10))</f>
        <v>4660.21007216711</v>
      </c>
      <c r="R293" s="14" t="n">
        <f aca="false">$B$4-13*($B$5+$B$6)/30-IF($B$11&lt;=13,$B$12,0)+0</f>
        <v>8876.66666666667</v>
      </c>
      <c r="S293" s="14" t="n">
        <f aca="false">$B$4-27*($B$5+$B$6)/30-IF($B$11&lt;=27,$B$12,0)+L293</f>
        <v>10893.7769358609</v>
      </c>
      <c r="T293" s="14" t="n">
        <f aca="false">$B$4-41*($B$5+$B$6)/30-IF($B$11&lt;=41,$B$12,0)+L293+M293</f>
        <v>1343.08146757651</v>
      </c>
      <c r="U293" s="14" t="n">
        <f aca="false">$B$4-55*($B$5+$B$6)/30-IF($B$11&lt;=55,$B$12,0)+L293+M293+N293</f>
        <v>3544.46676506376</v>
      </c>
      <c r="V293" s="14" t="n">
        <f aca="false">$B$4-69*($B$5+$B$6)/30-IF($B$11&lt;=69,$B$12,0)+L293+M293+N293+O293</f>
        <v>5492.44193540542</v>
      </c>
      <c r="W293" s="14" t="n">
        <f aca="false">$B$4-83*($B$5+$B$6)/30-IF($B$11&lt;=83,$B$12,0)+L293+M293+N293+O293+P293</f>
        <v>7085.46264121555</v>
      </c>
      <c r="X293" s="14" t="n">
        <f aca="false">$B$4-90*($B$5+$B$6)/30-IF($B$11&lt;=90,$B$12,0)+L293+M293+N293+O293+P293+Q293</f>
        <v>10602.3393800493</v>
      </c>
      <c r="AA293" s="14" t="n">
        <f aca="false">MIN(R293:X293)</f>
        <v>1343.08146757651</v>
      </c>
    </row>
    <row r="294" customFormat="false" ht="15" hidden="false" customHeight="false" outlineLevel="0" collapsed="false">
      <c r="K294" s="2" t="n">
        <v>289</v>
      </c>
      <c r="L294" s="14" t="n">
        <f aca="true">$B$16+NORMINV(RAND(),0,SQRT($B$13*($B$7+$B$8^2))*$B$9*(1-$B$10))</f>
        <v>4313.30622853947</v>
      </c>
      <c r="M294" s="14" t="n">
        <f aca="true">$B$16+NORMINV(RAND(),0,SQRT($B$13*($B$7+$B$8^2))*$B$9*(1-$B$10))</f>
        <v>3898.98684954993</v>
      </c>
      <c r="N294" s="14" t="n">
        <f aca="true">$B$16+NORMINV(RAND(),0,SQRT($B$13*($B$7+$B$8^2))*$B$9*(1-$B$10))</f>
        <v>3816.7754350706</v>
      </c>
      <c r="O294" s="14" t="n">
        <f aca="true">$B$16+NORMINV(RAND(),0,SQRT($B$13*($B$7+$B$8^2))*$B$9*(1-$B$10))</f>
        <v>4334.58221082252</v>
      </c>
      <c r="P294" s="14" t="n">
        <f aca="true">$B$16+NORMINV(RAND(),0,SQRT($B$13*($B$7+$B$8^2))*$B$9*(1-$B$10))</f>
        <v>4339.67066843036</v>
      </c>
      <c r="Q294" s="14" t="n">
        <f aca="true">$B$16+NORMINV(RAND(),0,SQRT($B$13*($B$7+$B$8^2))*$B$9*(1-$B$10))</f>
        <v>4687.73528742188</v>
      </c>
      <c r="R294" s="14" t="n">
        <f aca="false">$B$4-13*($B$5+$B$6)/30-IF($B$11&lt;=13,$B$12,0)+0</f>
        <v>8876.66666666667</v>
      </c>
      <c r="S294" s="14" t="n">
        <f aca="false">$B$4-27*($B$5+$B$6)/30-IF($B$11&lt;=27,$B$12,0)+L294</f>
        <v>10903.3062285395</v>
      </c>
      <c r="T294" s="14" t="n">
        <f aca="false">$B$4-41*($B$5+$B$6)/30-IF($B$11&lt;=41,$B$12,0)+L294+M294</f>
        <v>1330.82641142273</v>
      </c>
      <c r="U294" s="14" t="n">
        <f aca="false">$B$4-55*($B$5+$B$6)/30-IF($B$11&lt;=55,$B$12,0)+L294+M294+N294</f>
        <v>2860.93517982667</v>
      </c>
      <c r="V294" s="14" t="n">
        <f aca="false">$B$4-69*($B$5+$B$6)/30-IF($B$11&lt;=69,$B$12,0)+L294+M294+N294+O294</f>
        <v>4908.85072398252</v>
      </c>
      <c r="W294" s="14" t="n">
        <f aca="false">$B$4-83*($B$5+$B$6)/30-IF($B$11&lt;=83,$B$12,0)+L294+M294+N294+O294+P294</f>
        <v>6961.85472574621</v>
      </c>
      <c r="X294" s="14" t="n">
        <f aca="false">$B$4-90*($B$5+$B$6)/30-IF($B$11&lt;=90,$B$12,0)+L294+M294+N294+O294+P294+Q294</f>
        <v>10506.2566798348</v>
      </c>
      <c r="AA294" s="14" t="n">
        <f aca="false">MIN(R294:X294)</f>
        <v>1330.82641142273</v>
      </c>
    </row>
    <row r="295" customFormat="false" ht="15" hidden="false" customHeight="false" outlineLevel="0" collapsed="false">
      <c r="K295" s="2" t="n">
        <v>290</v>
      </c>
      <c r="L295" s="14" t="n">
        <f aca="true">$B$16+NORMINV(RAND(),0,SQRT($B$13*($B$7+$B$8^2))*$B$9*(1-$B$10))</f>
        <v>4396.24114779544</v>
      </c>
      <c r="M295" s="14" t="n">
        <f aca="true">$B$16+NORMINV(RAND(),0,SQRT($B$13*($B$7+$B$8^2))*$B$9*(1-$B$10))</f>
        <v>4410.46673356303</v>
      </c>
      <c r="N295" s="14" t="n">
        <f aca="true">$B$16+NORMINV(RAND(),0,SQRT($B$13*($B$7+$B$8^2))*$B$9*(1-$B$10))</f>
        <v>4051.90373707303</v>
      </c>
      <c r="O295" s="14" t="n">
        <f aca="true">$B$16+NORMINV(RAND(),0,SQRT($B$13*($B$7+$B$8^2))*$B$9*(1-$B$10))</f>
        <v>3544.32577806408</v>
      </c>
      <c r="P295" s="14" t="n">
        <f aca="true">$B$16+NORMINV(RAND(),0,SQRT($B$13*($B$7+$B$8^2))*$B$9*(1-$B$10))</f>
        <v>3964.75012416154</v>
      </c>
      <c r="Q295" s="14" t="n">
        <f aca="true">$B$16+NORMINV(RAND(),0,SQRT($B$13*($B$7+$B$8^2))*$B$9*(1-$B$10))</f>
        <v>3971.32260326473</v>
      </c>
      <c r="R295" s="14" t="n">
        <f aca="false">$B$4-13*($B$5+$B$6)/30-IF($B$11&lt;=13,$B$12,0)+0</f>
        <v>8876.66666666667</v>
      </c>
      <c r="S295" s="14" t="n">
        <f aca="false">$B$4-27*($B$5+$B$6)/30-IF($B$11&lt;=27,$B$12,0)+L295</f>
        <v>10986.2411477954</v>
      </c>
      <c r="T295" s="14" t="n">
        <f aca="false">$B$4-41*($B$5+$B$6)/30-IF($B$11&lt;=41,$B$12,0)+L295+M295</f>
        <v>1925.2412146918</v>
      </c>
      <c r="U295" s="14" t="n">
        <f aca="false">$B$4-55*($B$5+$B$6)/30-IF($B$11&lt;=55,$B$12,0)+L295+M295+N295</f>
        <v>3690.47828509815</v>
      </c>
      <c r="V295" s="14" t="n">
        <f aca="false">$B$4-69*($B$5+$B$6)/30-IF($B$11&lt;=69,$B$12,0)+L295+M295+N295+O295</f>
        <v>4948.13739649557</v>
      </c>
      <c r="W295" s="14" t="n">
        <f aca="false">$B$4-83*($B$5+$B$6)/30-IF($B$11&lt;=83,$B$12,0)+L295+M295+N295+O295+P295</f>
        <v>6626.22085399044</v>
      </c>
      <c r="X295" s="14" t="n">
        <f aca="false">$B$4-90*($B$5+$B$6)/30-IF($B$11&lt;=90,$B$12,0)+L295+M295+N295+O295+P295+Q295</f>
        <v>9454.21012392184</v>
      </c>
      <c r="AA295" s="14" t="n">
        <f aca="false">MIN(R295:X295)</f>
        <v>1925.2412146918</v>
      </c>
    </row>
    <row r="296" customFormat="false" ht="15" hidden="false" customHeight="false" outlineLevel="0" collapsed="false">
      <c r="K296" s="2" t="n">
        <v>291</v>
      </c>
      <c r="L296" s="14" t="n">
        <f aca="true">$B$16+NORMINV(RAND(),0,SQRT($B$13*($B$7+$B$8^2))*$B$9*(1-$B$10))</f>
        <v>4499.76127021103</v>
      </c>
      <c r="M296" s="14" t="n">
        <f aca="true">$B$16+NORMINV(RAND(),0,SQRT($B$13*($B$7+$B$8^2))*$B$9*(1-$B$10))</f>
        <v>4328.81825749919</v>
      </c>
      <c r="N296" s="14" t="n">
        <f aca="true">$B$16+NORMINV(RAND(),0,SQRT($B$13*($B$7+$B$8^2))*$B$9*(1-$B$10))</f>
        <v>4224.82010784041</v>
      </c>
      <c r="O296" s="14" t="n">
        <f aca="true">$B$16+NORMINV(RAND(),0,SQRT($B$13*($B$7+$B$8^2))*$B$9*(1-$B$10))</f>
        <v>4143.05409799226</v>
      </c>
      <c r="P296" s="14" t="n">
        <f aca="true">$B$16+NORMINV(RAND(),0,SQRT($B$13*($B$7+$B$8^2))*$B$9*(1-$B$10))</f>
        <v>3435.02954797331</v>
      </c>
      <c r="Q296" s="14" t="n">
        <f aca="true">$B$16+NORMINV(RAND(),0,SQRT($B$13*($B$7+$B$8^2))*$B$9*(1-$B$10))</f>
        <v>3898.32138199537</v>
      </c>
      <c r="R296" s="14" t="n">
        <f aca="false">$B$4-13*($B$5+$B$6)/30-IF($B$11&lt;=13,$B$12,0)+0</f>
        <v>8876.66666666667</v>
      </c>
      <c r="S296" s="14" t="n">
        <f aca="false">$B$4-27*($B$5+$B$6)/30-IF($B$11&lt;=27,$B$12,0)+L296</f>
        <v>11089.761270211</v>
      </c>
      <c r="T296" s="14" t="n">
        <f aca="false">$B$4-41*($B$5+$B$6)/30-IF($B$11&lt;=41,$B$12,0)+L296+M296</f>
        <v>1947.11286104355</v>
      </c>
      <c r="U296" s="14" t="n">
        <f aca="false">$B$4-55*($B$5+$B$6)/30-IF($B$11&lt;=55,$B$12,0)+L296+M296+N296</f>
        <v>3885.26630221729</v>
      </c>
      <c r="V296" s="14" t="n">
        <f aca="false">$B$4-69*($B$5+$B$6)/30-IF($B$11&lt;=69,$B$12,0)+L296+M296+N296+O296</f>
        <v>5741.65373354289</v>
      </c>
      <c r="W296" s="14" t="n">
        <f aca="false">$B$4-83*($B$5+$B$6)/30-IF($B$11&lt;=83,$B$12,0)+L296+M296+N296+O296+P296</f>
        <v>6890.01661484953</v>
      </c>
      <c r="X296" s="14" t="n">
        <f aca="false">$B$4-90*($B$5+$B$6)/30-IF($B$11&lt;=90,$B$12,0)+L296+M296+N296+O296+P296+Q296</f>
        <v>9645.00466351157</v>
      </c>
      <c r="AA296" s="14" t="n">
        <f aca="false">MIN(R296:X296)</f>
        <v>1947.11286104355</v>
      </c>
    </row>
    <row r="297" customFormat="false" ht="15" hidden="false" customHeight="false" outlineLevel="0" collapsed="false">
      <c r="K297" s="2" t="n">
        <v>292</v>
      </c>
      <c r="L297" s="14" t="n">
        <f aca="true">$B$16+NORMINV(RAND(),0,SQRT($B$13*($B$7+$B$8^2))*$B$9*(1-$B$10))</f>
        <v>4367.80894218232</v>
      </c>
      <c r="M297" s="14" t="n">
        <f aca="true">$B$16+NORMINV(RAND(),0,SQRT($B$13*($B$7+$B$8^2))*$B$9*(1-$B$10))</f>
        <v>3789.76002545827</v>
      </c>
      <c r="N297" s="14" t="n">
        <f aca="true">$B$16+NORMINV(RAND(),0,SQRT($B$13*($B$7+$B$8^2))*$B$9*(1-$B$10))</f>
        <v>3817.31912632875</v>
      </c>
      <c r="O297" s="14" t="n">
        <f aca="true">$B$16+NORMINV(RAND(),0,SQRT($B$13*($B$7+$B$8^2))*$B$9*(1-$B$10))</f>
        <v>4311.36904160715</v>
      </c>
      <c r="P297" s="14" t="n">
        <f aca="true">$B$16+NORMINV(RAND(),0,SQRT($B$13*($B$7+$B$8^2))*$B$9*(1-$B$10))</f>
        <v>4252.2431651588</v>
      </c>
      <c r="Q297" s="14" t="n">
        <f aca="true">$B$16+NORMINV(RAND(),0,SQRT($B$13*($B$7+$B$8^2))*$B$9*(1-$B$10))</f>
        <v>4023.2844466811</v>
      </c>
      <c r="R297" s="14" t="n">
        <f aca="false">$B$4-13*($B$5+$B$6)/30-IF($B$11&lt;=13,$B$12,0)+0</f>
        <v>8876.66666666667</v>
      </c>
      <c r="S297" s="14" t="n">
        <f aca="false">$B$4-27*($B$5+$B$6)/30-IF($B$11&lt;=27,$B$12,0)+L297</f>
        <v>10957.8089421823</v>
      </c>
      <c r="T297" s="14" t="n">
        <f aca="false">$B$4-41*($B$5+$B$6)/30-IF($B$11&lt;=41,$B$12,0)+L297+M297</f>
        <v>1276.10230097392</v>
      </c>
      <c r="U297" s="14" t="n">
        <f aca="false">$B$4-55*($B$5+$B$6)/30-IF($B$11&lt;=55,$B$12,0)+L297+M297+N297</f>
        <v>2806.75476063601</v>
      </c>
      <c r="V297" s="14" t="n">
        <f aca="false">$B$4-69*($B$5+$B$6)/30-IF($B$11&lt;=69,$B$12,0)+L297+M297+N297+O297</f>
        <v>4831.45713557649</v>
      </c>
      <c r="W297" s="14" t="n">
        <f aca="false">$B$4-83*($B$5+$B$6)/30-IF($B$11&lt;=83,$B$12,0)+L297+M297+N297+O297+P297</f>
        <v>6797.03363406862</v>
      </c>
      <c r="X297" s="14" t="n">
        <f aca="false">$B$4-90*($B$5+$B$6)/30-IF($B$11&lt;=90,$B$12,0)+L297+M297+N297+O297+P297+Q297</f>
        <v>9676.98474741638</v>
      </c>
      <c r="AA297" s="14" t="n">
        <f aca="false">MIN(R297:X297)</f>
        <v>1276.10230097392</v>
      </c>
    </row>
    <row r="298" customFormat="false" ht="15" hidden="false" customHeight="false" outlineLevel="0" collapsed="false">
      <c r="K298" s="2" t="n">
        <v>293</v>
      </c>
      <c r="L298" s="14" t="n">
        <f aca="true">$B$16+NORMINV(RAND(),0,SQRT($B$13*($B$7+$B$8^2))*$B$9*(1-$B$10))</f>
        <v>3641.32313186479</v>
      </c>
      <c r="M298" s="14" t="n">
        <f aca="true">$B$16+NORMINV(RAND(),0,SQRT($B$13*($B$7+$B$8^2))*$B$9*(1-$B$10))</f>
        <v>4499.6799588698</v>
      </c>
      <c r="N298" s="14" t="n">
        <f aca="true">$B$16+NORMINV(RAND(),0,SQRT($B$13*($B$7+$B$8^2))*$B$9*(1-$B$10))</f>
        <v>3800.6245970819</v>
      </c>
      <c r="O298" s="14" t="n">
        <f aca="true">$B$16+NORMINV(RAND(),0,SQRT($B$13*($B$7+$B$8^2))*$B$9*(1-$B$10))</f>
        <v>3973.77814975822</v>
      </c>
      <c r="P298" s="14" t="n">
        <f aca="true">$B$16+NORMINV(RAND(),0,SQRT($B$13*($B$7+$B$8^2))*$B$9*(1-$B$10))</f>
        <v>4515.44762603796</v>
      </c>
      <c r="Q298" s="14" t="n">
        <f aca="true">$B$16+NORMINV(RAND(),0,SQRT($B$13*($B$7+$B$8^2))*$B$9*(1-$B$10))</f>
        <v>4311.60691038366</v>
      </c>
      <c r="R298" s="14" t="n">
        <f aca="false">$B$4-13*($B$5+$B$6)/30-IF($B$11&lt;=13,$B$12,0)+0</f>
        <v>8876.66666666667</v>
      </c>
      <c r="S298" s="14" t="n">
        <f aca="false">$B$4-27*($B$5+$B$6)/30-IF($B$11&lt;=27,$B$12,0)+L298</f>
        <v>10231.3231318648</v>
      </c>
      <c r="T298" s="14" t="n">
        <f aca="false">$B$4-41*($B$5+$B$6)/30-IF($B$11&lt;=41,$B$12,0)+L298+M298</f>
        <v>1259.53642406792</v>
      </c>
      <c r="U298" s="14" t="n">
        <f aca="false">$B$4-55*($B$5+$B$6)/30-IF($B$11&lt;=55,$B$12,0)+L298+M298+N298</f>
        <v>2773.49435448316</v>
      </c>
      <c r="V298" s="14" t="n">
        <f aca="false">$B$4-69*($B$5+$B$6)/30-IF($B$11&lt;=69,$B$12,0)+L298+M298+N298+O298</f>
        <v>4460.60583757471</v>
      </c>
      <c r="W298" s="14" t="n">
        <f aca="false">$B$4-83*($B$5+$B$6)/30-IF($B$11&lt;=83,$B$12,0)+L298+M298+N298+O298+P298</f>
        <v>6689.386796946</v>
      </c>
      <c r="X298" s="14" t="n">
        <f aca="false">$B$4-90*($B$5+$B$6)/30-IF($B$11&lt;=90,$B$12,0)+L298+M298+N298+O298+P298+Q298</f>
        <v>9857.66037399633</v>
      </c>
      <c r="AA298" s="14" t="n">
        <f aca="false">MIN(R298:X298)</f>
        <v>1259.53642406792</v>
      </c>
    </row>
    <row r="299" customFormat="false" ht="15" hidden="false" customHeight="false" outlineLevel="0" collapsed="false">
      <c r="K299" s="2" t="n">
        <v>294</v>
      </c>
      <c r="L299" s="14" t="n">
        <f aca="true">$B$16+NORMINV(RAND(),0,SQRT($B$13*($B$7+$B$8^2))*$B$9*(1-$B$10))</f>
        <v>4590.54270960985</v>
      </c>
      <c r="M299" s="14" t="n">
        <f aca="true">$B$16+NORMINV(RAND(),0,SQRT($B$13*($B$7+$B$8^2))*$B$9*(1-$B$10))</f>
        <v>3990.40941200579</v>
      </c>
      <c r="N299" s="14" t="n">
        <f aca="true">$B$16+NORMINV(RAND(),0,SQRT($B$13*($B$7+$B$8^2))*$B$9*(1-$B$10))</f>
        <v>4150.2811898683</v>
      </c>
      <c r="O299" s="14" t="n">
        <f aca="true">$B$16+NORMINV(RAND(),0,SQRT($B$13*($B$7+$B$8^2))*$B$9*(1-$B$10))</f>
        <v>4072.12644156831</v>
      </c>
      <c r="P299" s="14" t="n">
        <f aca="true">$B$16+NORMINV(RAND(),0,SQRT($B$13*($B$7+$B$8^2))*$B$9*(1-$B$10))</f>
        <v>4122.77313997989</v>
      </c>
      <c r="Q299" s="14" t="n">
        <f aca="true">$B$16+NORMINV(RAND(),0,SQRT($B$13*($B$7+$B$8^2))*$B$9*(1-$B$10))</f>
        <v>3657.49153334797</v>
      </c>
      <c r="R299" s="14" t="n">
        <f aca="false">$B$4-13*($B$5+$B$6)/30-IF($B$11&lt;=13,$B$12,0)+0</f>
        <v>8876.66666666667</v>
      </c>
      <c r="S299" s="14" t="n">
        <f aca="false">$B$4-27*($B$5+$B$6)/30-IF($B$11&lt;=27,$B$12,0)+L299</f>
        <v>11180.5427096099</v>
      </c>
      <c r="T299" s="14" t="n">
        <f aca="false">$B$4-41*($B$5+$B$6)/30-IF($B$11&lt;=41,$B$12,0)+L299+M299</f>
        <v>1699.48545494897</v>
      </c>
      <c r="U299" s="14" t="n">
        <f aca="false">$B$4-55*($B$5+$B$6)/30-IF($B$11&lt;=55,$B$12,0)+L299+M299+N299</f>
        <v>3563.0999781506</v>
      </c>
      <c r="V299" s="14" t="n">
        <f aca="false">$B$4-69*($B$5+$B$6)/30-IF($B$11&lt;=69,$B$12,0)+L299+M299+N299+O299</f>
        <v>5348.55975305225</v>
      </c>
      <c r="W299" s="14" t="n">
        <f aca="false">$B$4-83*($B$5+$B$6)/30-IF($B$11&lt;=83,$B$12,0)+L299+M299+N299+O299+P299</f>
        <v>7184.66622636547</v>
      </c>
      <c r="X299" s="14" t="n">
        <f aca="false">$B$4-90*($B$5+$B$6)/30-IF($B$11&lt;=90,$B$12,0)+L299+M299+N299+O299+P299+Q299</f>
        <v>9698.82442638011</v>
      </c>
      <c r="AA299" s="14" t="n">
        <f aca="false">MIN(R299:X299)</f>
        <v>1699.48545494897</v>
      </c>
    </row>
    <row r="300" customFormat="false" ht="15" hidden="false" customHeight="false" outlineLevel="0" collapsed="false">
      <c r="K300" s="2" t="n">
        <v>295</v>
      </c>
      <c r="L300" s="14" t="n">
        <f aca="true">$B$16+NORMINV(RAND(),0,SQRT($B$13*($B$7+$B$8^2))*$B$9*(1-$B$10))</f>
        <v>3912.05727378809</v>
      </c>
      <c r="M300" s="14" t="n">
        <f aca="true">$B$16+NORMINV(RAND(),0,SQRT($B$13*($B$7+$B$8^2))*$B$9*(1-$B$10))</f>
        <v>3800.62898821421</v>
      </c>
      <c r="N300" s="14" t="n">
        <f aca="true">$B$16+NORMINV(RAND(),0,SQRT($B$13*($B$7+$B$8^2))*$B$9*(1-$B$10))</f>
        <v>4093.82490366638</v>
      </c>
      <c r="O300" s="14" t="n">
        <f aca="true">$B$16+NORMINV(RAND(),0,SQRT($B$13*($B$7+$B$8^2))*$B$9*(1-$B$10))</f>
        <v>4033.37064376127</v>
      </c>
      <c r="P300" s="14" t="n">
        <f aca="true">$B$16+NORMINV(RAND(),0,SQRT($B$13*($B$7+$B$8^2))*$B$9*(1-$B$10))</f>
        <v>4139.75080275272</v>
      </c>
      <c r="Q300" s="14" t="n">
        <f aca="true">$B$16+NORMINV(RAND(),0,SQRT($B$13*($B$7+$B$8^2))*$B$9*(1-$B$10))</f>
        <v>4098.72888518491</v>
      </c>
      <c r="R300" s="14" t="n">
        <f aca="false">$B$4-13*($B$5+$B$6)/30-IF($B$11&lt;=13,$B$12,0)+0</f>
        <v>8876.66666666667</v>
      </c>
      <c r="S300" s="14" t="n">
        <f aca="false">$B$4-27*($B$5+$B$6)/30-IF($B$11&lt;=27,$B$12,0)+L300</f>
        <v>10502.0572737881</v>
      </c>
      <c r="T300" s="14" t="n">
        <f aca="false">$B$4-41*($B$5+$B$6)/30-IF($B$11&lt;=41,$B$12,0)+L300+M300</f>
        <v>831.219595335625</v>
      </c>
      <c r="U300" s="14" t="n">
        <f aca="false">$B$4-55*($B$5+$B$6)/30-IF($B$11&lt;=55,$B$12,0)+L300+M300+N300</f>
        <v>2638.37783233534</v>
      </c>
      <c r="V300" s="14" t="n">
        <f aca="false">$B$4-69*($B$5+$B$6)/30-IF($B$11&lt;=69,$B$12,0)+L300+M300+N300+O300</f>
        <v>4385.08180942994</v>
      </c>
      <c r="W300" s="14" t="n">
        <f aca="false">$B$4-83*($B$5+$B$6)/30-IF($B$11&lt;=83,$B$12,0)+L300+M300+N300+O300+P300</f>
        <v>6238.16594551599</v>
      </c>
      <c r="X300" s="14" t="n">
        <f aca="false">$B$4-90*($B$5+$B$6)/30-IF($B$11&lt;=90,$B$12,0)+L300+M300+N300+O300+P300+Q300</f>
        <v>9193.56149736756</v>
      </c>
      <c r="AA300" s="14" t="n">
        <f aca="false">MIN(R300:X300)</f>
        <v>831.219595335625</v>
      </c>
    </row>
    <row r="301" customFormat="false" ht="15" hidden="false" customHeight="false" outlineLevel="0" collapsed="false">
      <c r="K301" s="2" t="n">
        <v>296</v>
      </c>
      <c r="L301" s="14" t="n">
        <f aca="true">$B$16+NORMINV(RAND(),0,SQRT($B$13*($B$7+$B$8^2))*$B$9*(1-$B$10))</f>
        <v>4041.87949783318</v>
      </c>
      <c r="M301" s="14" t="n">
        <f aca="true">$B$16+NORMINV(RAND(),0,SQRT($B$13*($B$7+$B$8^2))*$B$9*(1-$B$10))</f>
        <v>4091.5814717161</v>
      </c>
      <c r="N301" s="14" t="n">
        <f aca="true">$B$16+NORMINV(RAND(),0,SQRT($B$13*($B$7+$B$8^2))*$B$9*(1-$B$10))</f>
        <v>4520.13057617155</v>
      </c>
      <c r="O301" s="14" t="n">
        <f aca="true">$B$16+NORMINV(RAND(),0,SQRT($B$13*($B$7+$B$8^2))*$B$9*(1-$B$10))</f>
        <v>3505.17034552195</v>
      </c>
      <c r="P301" s="14" t="n">
        <f aca="true">$B$16+NORMINV(RAND(),0,SQRT($B$13*($B$7+$B$8^2))*$B$9*(1-$B$10))</f>
        <v>4819.51524751742</v>
      </c>
      <c r="Q301" s="14" t="n">
        <f aca="true">$B$16+NORMINV(RAND(),0,SQRT($B$13*($B$7+$B$8^2))*$B$9*(1-$B$10))</f>
        <v>4671.76032940826</v>
      </c>
      <c r="R301" s="14" t="n">
        <f aca="false">$B$4-13*($B$5+$B$6)/30-IF($B$11&lt;=13,$B$12,0)+0</f>
        <v>8876.66666666667</v>
      </c>
      <c r="S301" s="14" t="n">
        <f aca="false">$B$4-27*($B$5+$B$6)/30-IF($B$11&lt;=27,$B$12,0)+L301</f>
        <v>10631.8794978332</v>
      </c>
      <c r="T301" s="14" t="n">
        <f aca="false">$B$4-41*($B$5+$B$6)/30-IF($B$11&lt;=41,$B$12,0)+L301+M301</f>
        <v>1251.99430288262</v>
      </c>
      <c r="U301" s="14" t="n">
        <f aca="false">$B$4-55*($B$5+$B$6)/30-IF($B$11&lt;=55,$B$12,0)+L301+M301+N301</f>
        <v>3485.45821238751</v>
      </c>
      <c r="V301" s="14" t="n">
        <f aca="false">$B$4-69*($B$5+$B$6)/30-IF($B$11&lt;=69,$B$12,0)+L301+M301+N301+O301</f>
        <v>4703.96189124278</v>
      </c>
      <c r="W301" s="14" t="n">
        <f aca="false">$B$4-83*($B$5+$B$6)/30-IF($B$11&lt;=83,$B$12,0)+L301+M301+N301+O301+P301</f>
        <v>7236.81047209354</v>
      </c>
      <c r="X301" s="14" t="n">
        <f aca="false">$B$4-90*($B$5+$B$6)/30-IF($B$11&lt;=90,$B$12,0)+L301+M301+N301+O301+P301+Q301</f>
        <v>10765.2374681685</v>
      </c>
      <c r="AA301" s="14" t="n">
        <f aca="false">MIN(R301:X301)</f>
        <v>1251.99430288262</v>
      </c>
    </row>
    <row r="302" customFormat="false" ht="15" hidden="false" customHeight="false" outlineLevel="0" collapsed="false">
      <c r="K302" s="2" t="n">
        <v>297</v>
      </c>
      <c r="L302" s="14" t="n">
        <f aca="true">$B$16+NORMINV(RAND(),0,SQRT($B$13*($B$7+$B$8^2))*$B$9*(1-$B$10))</f>
        <v>4070.30014087219</v>
      </c>
      <c r="M302" s="14" t="n">
        <f aca="true">$B$16+NORMINV(RAND(),0,SQRT($B$13*($B$7+$B$8^2))*$B$9*(1-$B$10))</f>
        <v>3995.60554206139</v>
      </c>
      <c r="N302" s="14" t="n">
        <f aca="true">$B$16+NORMINV(RAND(),0,SQRT($B$13*($B$7+$B$8^2))*$B$9*(1-$B$10))</f>
        <v>3312.24689449267</v>
      </c>
      <c r="O302" s="14" t="n">
        <f aca="true">$B$16+NORMINV(RAND(),0,SQRT($B$13*($B$7+$B$8^2))*$B$9*(1-$B$10))</f>
        <v>3909.24668914537</v>
      </c>
      <c r="P302" s="14" t="n">
        <f aca="true">$B$16+NORMINV(RAND(),0,SQRT($B$13*($B$7+$B$8^2))*$B$9*(1-$B$10))</f>
        <v>4421.48884785405</v>
      </c>
      <c r="Q302" s="14" t="n">
        <f aca="true">$B$16+NORMINV(RAND(),0,SQRT($B$13*($B$7+$B$8^2))*$B$9*(1-$B$10))</f>
        <v>3591.56963151167</v>
      </c>
      <c r="R302" s="14" t="n">
        <f aca="false">$B$4-13*($B$5+$B$6)/30-IF($B$11&lt;=13,$B$12,0)+0</f>
        <v>8876.66666666667</v>
      </c>
      <c r="S302" s="14" t="n">
        <f aca="false">$B$4-27*($B$5+$B$6)/30-IF($B$11&lt;=27,$B$12,0)+L302</f>
        <v>10660.3001408722</v>
      </c>
      <c r="T302" s="14" t="n">
        <f aca="false">$B$4-41*($B$5+$B$6)/30-IF($B$11&lt;=41,$B$12,0)+L302+M302</f>
        <v>1184.43901626692</v>
      </c>
      <c r="U302" s="14" t="n">
        <f aca="false">$B$4-55*($B$5+$B$6)/30-IF($B$11&lt;=55,$B$12,0)+L302+M302+N302</f>
        <v>2210.01924409292</v>
      </c>
      <c r="V302" s="14" t="n">
        <f aca="false">$B$4-69*($B$5+$B$6)/30-IF($B$11&lt;=69,$B$12,0)+L302+M302+N302+O302</f>
        <v>3832.59926657163</v>
      </c>
      <c r="W302" s="14" t="n">
        <f aca="false">$B$4-83*($B$5+$B$6)/30-IF($B$11&lt;=83,$B$12,0)+L302+M302+N302+O302+P302</f>
        <v>5967.42144775901</v>
      </c>
      <c r="X302" s="14" t="n">
        <f aca="false">$B$4-90*($B$5+$B$6)/30-IF($B$11&lt;=90,$B$12,0)+L302+M302+N302+O302+P302+Q302</f>
        <v>8415.65774593735</v>
      </c>
      <c r="AA302" s="14" t="n">
        <f aca="false">MIN(R302:X302)</f>
        <v>1184.43901626692</v>
      </c>
    </row>
    <row r="303" customFormat="false" ht="15" hidden="false" customHeight="false" outlineLevel="0" collapsed="false">
      <c r="K303" s="2" t="n">
        <v>298</v>
      </c>
      <c r="L303" s="14" t="n">
        <f aca="true">$B$16+NORMINV(RAND(),0,SQRT($B$13*($B$7+$B$8^2))*$B$9*(1-$B$10))</f>
        <v>4290.93006228825</v>
      </c>
      <c r="M303" s="14" t="n">
        <f aca="true">$B$16+NORMINV(RAND(),0,SQRT($B$13*($B$7+$B$8^2))*$B$9*(1-$B$10))</f>
        <v>3980.29939779695</v>
      </c>
      <c r="N303" s="14" t="n">
        <f aca="true">$B$16+NORMINV(RAND(),0,SQRT($B$13*($B$7+$B$8^2))*$B$9*(1-$B$10))</f>
        <v>3103.88667078798</v>
      </c>
      <c r="O303" s="14" t="n">
        <f aca="true">$B$16+NORMINV(RAND(),0,SQRT($B$13*($B$7+$B$8^2))*$B$9*(1-$B$10))</f>
        <v>3452.76631306192</v>
      </c>
      <c r="P303" s="14" t="n">
        <f aca="true">$B$16+NORMINV(RAND(),0,SQRT($B$13*($B$7+$B$8^2))*$B$9*(1-$B$10))</f>
        <v>4100.66490434018</v>
      </c>
      <c r="Q303" s="14" t="n">
        <f aca="true">$B$16+NORMINV(RAND(),0,SQRT($B$13*($B$7+$B$8^2))*$B$9*(1-$B$10))</f>
        <v>3911.87373305548</v>
      </c>
      <c r="R303" s="14" t="n">
        <f aca="false">$B$4-13*($B$5+$B$6)/30-IF($B$11&lt;=13,$B$12,0)+0</f>
        <v>8876.66666666667</v>
      </c>
      <c r="S303" s="14" t="n">
        <f aca="false">$B$4-27*($B$5+$B$6)/30-IF($B$11&lt;=27,$B$12,0)+L303</f>
        <v>10880.9300622882</v>
      </c>
      <c r="T303" s="14" t="n">
        <f aca="false">$B$4-41*($B$5+$B$6)/30-IF($B$11&lt;=41,$B$12,0)+L303+M303</f>
        <v>1389.76279341852</v>
      </c>
      <c r="U303" s="14" t="n">
        <f aca="false">$B$4-55*($B$5+$B$6)/30-IF($B$11&lt;=55,$B$12,0)+L303+M303+N303</f>
        <v>2206.98279753984</v>
      </c>
      <c r="V303" s="14" t="n">
        <f aca="false">$B$4-69*($B$5+$B$6)/30-IF($B$11&lt;=69,$B$12,0)+L303+M303+N303+O303</f>
        <v>3373.08244393509</v>
      </c>
      <c r="W303" s="14" t="n">
        <f aca="false">$B$4-83*($B$5+$B$6)/30-IF($B$11&lt;=83,$B$12,0)+L303+M303+N303+O303+P303</f>
        <v>5187.0806816086</v>
      </c>
      <c r="X303" s="14" t="n">
        <f aca="false">$B$4-90*($B$5+$B$6)/30-IF($B$11&lt;=90,$B$12,0)+L303+M303+N303+O303+P303+Q303</f>
        <v>7955.62108133075</v>
      </c>
      <c r="AA303" s="14" t="n">
        <f aca="false">MIN(R303:X303)</f>
        <v>1389.76279341852</v>
      </c>
    </row>
    <row r="304" customFormat="false" ht="15" hidden="false" customHeight="false" outlineLevel="0" collapsed="false">
      <c r="K304" s="2" t="n">
        <v>299</v>
      </c>
      <c r="L304" s="14" t="n">
        <f aca="true">$B$16+NORMINV(RAND(),0,SQRT($B$13*($B$7+$B$8^2))*$B$9*(1-$B$10))</f>
        <v>4073.90925652605</v>
      </c>
      <c r="M304" s="14" t="n">
        <f aca="true">$B$16+NORMINV(RAND(),0,SQRT($B$13*($B$7+$B$8^2))*$B$9*(1-$B$10))</f>
        <v>4375.24707073122</v>
      </c>
      <c r="N304" s="14" t="n">
        <f aca="true">$B$16+NORMINV(RAND(),0,SQRT($B$13*($B$7+$B$8^2))*$B$9*(1-$B$10))</f>
        <v>3835.26174293339</v>
      </c>
      <c r="O304" s="14" t="n">
        <f aca="true">$B$16+NORMINV(RAND(),0,SQRT($B$13*($B$7+$B$8^2))*$B$9*(1-$B$10))</f>
        <v>3760.02865515794</v>
      </c>
      <c r="P304" s="14" t="n">
        <f aca="true">$B$16+NORMINV(RAND(),0,SQRT($B$13*($B$7+$B$8^2))*$B$9*(1-$B$10))</f>
        <v>4169.43832533995</v>
      </c>
      <c r="Q304" s="14" t="n">
        <f aca="true">$B$16+NORMINV(RAND(),0,SQRT($B$13*($B$7+$B$8^2))*$B$9*(1-$B$10))</f>
        <v>4064.49964572032</v>
      </c>
      <c r="R304" s="14" t="n">
        <f aca="false">$B$4-13*($B$5+$B$6)/30-IF($B$11&lt;=13,$B$12,0)+0</f>
        <v>8876.66666666667</v>
      </c>
      <c r="S304" s="14" t="n">
        <f aca="false">$B$4-27*($B$5+$B$6)/30-IF($B$11&lt;=27,$B$12,0)+L304</f>
        <v>10663.9092565261</v>
      </c>
      <c r="T304" s="14" t="n">
        <f aca="false">$B$4-41*($B$5+$B$6)/30-IF($B$11&lt;=41,$B$12,0)+L304+M304</f>
        <v>1567.68966059061</v>
      </c>
      <c r="U304" s="14" t="n">
        <f aca="false">$B$4-55*($B$5+$B$6)/30-IF($B$11&lt;=55,$B$12,0)+L304+M304+N304</f>
        <v>3116.28473685733</v>
      </c>
      <c r="V304" s="14" t="n">
        <f aca="false">$B$4-69*($B$5+$B$6)/30-IF($B$11&lt;=69,$B$12,0)+L304+M304+N304+O304</f>
        <v>4589.6467253486</v>
      </c>
      <c r="W304" s="14" t="n">
        <f aca="false">$B$4-83*($B$5+$B$6)/30-IF($B$11&lt;=83,$B$12,0)+L304+M304+N304+O304+P304</f>
        <v>6472.41838402188</v>
      </c>
      <c r="X304" s="14" t="n">
        <f aca="false">$B$4-90*($B$5+$B$6)/30-IF($B$11&lt;=90,$B$12,0)+L304+M304+N304+O304+P304+Q304</f>
        <v>9393.58469640886</v>
      </c>
      <c r="AA304" s="14" t="n">
        <f aca="false">MIN(R304:X304)</f>
        <v>1567.68966059061</v>
      </c>
    </row>
    <row r="305" customFormat="false" ht="15" hidden="false" customHeight="false" outlineLevel="0" collapsed="false">
      <c r="K305" s="2" t="n">
        <v>300</v>
      </c>
      <c r="L305" s="14" t="n">
        <f aca="true">$B$16+NORMINV(RAND(),0,SQRT($B$13*($B$7+$B$8^2))*$B$9*(1-$B$10))</f>
        <v>4559.88182143894</v>
      </c>
      <c r="M305" s="14" t="n">
        <f aca="true">$B$16+NORMINV(RAND(),0,SQRT($B$13*($B$7+$B$8^2))*$B$9*(1-$B$10))</f>
        <v>4344.48483733073</v>
      </c>
      <c r="N305" s="14" t="n">
        <f aca="true">$B$16+NORMINV(RAND(),0,SQRT($B$13*($B$7+$B$8^2))*$B$9*(1-$B$10))</f>
        <v>3937.50673017472</v>
      </c>
      <c r="O305" s="14" t="n">
        <f aca="true">$B$16+NORMINV(RAND(),0,SQRT($B$13*($B$7+$B$8^2))*$B$9*(1-$B$10))</f>
        <v>4334.85977911286</v>
      </c>
      <c r="P305" s="14" t="n">
        <f aca="true">$B$16+NORMINV(RAND(),0,SQRT($B$13*($B$7+$B$8^2))*$B$9*(1-$B$10))</f>
        <v>4530.97980983727</v>
      </c>
      <c r="Q305" s="14" t="n">
        <f aca="true">$B$16+NORMINV(RAND(),0,SQRT($B$13*($B$7+$B$8^2))*$B$9*(1-$B$10))</f>
        <v>4082.51739639905</v>
      </c>
      <c r="R305" s="14" t="n">
        <f aca="false">$B$4-13*($B$5+$B$6)/30-IF($B$11&lt;=13,$B$12,0)+0</f>
        <v>8876.66666666667</v>
      </c>
      <c r="S305" s="14" t="n">
        <f aca="false">$B$4-27*($B$5+$B$6)/30-IF($B$11&lt;=27,$B$12,0)+L305</f>
        <v>11149.8818214389</v>
      </c>
      <c r="T305" s="14" t="n">
        <f aca="false">$B$4-41*($B$5+$B$6)/30-IF($B$11&lt;=41,$B$12,0)+L305+M305</f>
        <v>2022.89999210301</v>
      </c>
      <c r="U305" s="14" t="n">
        <f aca="false">$B$4-55*($B$5+$B$6)/30-IF($B$11&lt;=55,$B$12,0)+L305+M305+N305</f>
        <v>3673.74005561106</v>
      </c>
      <c r="V305" s="14" t="n">
        <f aca="false">$B$4-69*($B$5+$B$6)/30-IF($B$11&lt;=69,$B$12,0)+L305+M305+N305+O305</f>
        <v>5721.93316805725</v>
      </c>
      <c r="W305" s="14" t="n">
        <f aca="false">$B$4-83*($B$5+$B$6)/30-IF($B$11&lt;=83,$B$12,0)+L305+M305+N305+O305+P305</f>
        <v>7966.24631122785</v>
      </c>
      <c r="X305" s="14" t="n">
        <f aca="false">$B$4-90*($B$5+$B$6)/30-IF($B$11&lt;=90,$B$12,0)+L305+M305+N305+O305+P305+Q305</f>
        <v>10905.4303742936</v>
      </c>
      <c r="AA305" s="14" t="n">
        <f aca="false">MIN(R305:X305)</f>
        <v>2022.89999210301</v>
      </c>
    </row>
    <row r="306" customFormat="false" ht="15" hidden="false" customHeight="false" outlineLevel="0" collapsed="false">
      <c r="K306" s="2" t="n">
        <v>301</v>
      </c>
      <c r="L306" s="14" t="n">
        <f aca="true">$B$16+NORMINV(RAND(),0,SQRT($B$13*($B$7+$B$8^2))*$B$9*(1-$B$10))</f>
        <v>4255.94766759653</v>
      </c>
      <c r="M306" s="14" t="n">
        <f aca="true">$B$16+NORMINV(RAND(),0,SQRT($B$13*($B$7+$B$8^2))*$B$9*(1-$B$10))</f>
        <v>4061.41987262782</v>
      </c>
      <c r="N306" s="14" t="n">
        <f aca="true">$B$16+NORMINV(RAND(),0,SQRT($B$13*($B$7+$B$8^2))*$B$9*(1-$B$10))</f>
        <v>3922.16002572256</v>
      </c>
      <c r="O306" s="14" t="n">
        <f aca="true">$B$16+NORMINV(RAND(),0,SQRT($B$13*($B$7+$B$8^2))*$B$9*(1-$B$10))</f>
        <v>4049.13006067677</v>
      </c>
      <c r="P306" s="14" t="n">
        <f aca="true">$B$16+NORMINV(RAND(),0,SQRT($B$13*($B$7+$B$8^2))*$B$9*(1-$B$10))</f>
        <v>4710.86374795972</v>
      </c>
      <c r="Q306" s="14" t="n">
        <f aca="true">$B$16+NORMINV(RAND(),0,SQRT($B$13*($B$7+$B$8^2))*$B$9*(1-$B$10))</f>
        <v>3946.14811234952</v>
      </c>
      <c r="R306" s="14" t="n">
        <f aca="false">$B$4-13*($B$5+$B$6)/30-IF($B$11&lt;=13,$B$12,0)+0</f>
        <v>8876.66666666667</v>
      </c>
      <c r="S306" s="14" t="n">
        <f aca="false">$B$4-27*($B$5+$B$6)/30-IF($B$11&lt;=27,$B$12,0)+L306</f>
        <v>10845.9476675965</v>
      </c>
      <c r="T306" s="14" t="n">
        <f aca="false">$B$4-41*($B$5+$B$6)/30-IF($B$11&lt;=41,$B$12,0)+L306+M306</f>
        <v>1435.90087355768</v>
      </c>
      <c r="U306" s="14" t="n">
        <f aca="false">$B$4-55*($B$5+$B$6)/30-IF($B$11&lt;=55,$B$12,0)+L306+M306+N306</f>
        <v>3071.39423261358</v>
      </c>
      <c r="V306" s="14" t="n">
        <f aca="false">$B$4-69*($B$5+$B$6)/30-IF($B$11&lt;=69,$B$12,0)+L306+M306+N306+O306</f>
        <v>4833.85762662368</v>
      </c>
      <c r="W306" s="14" t="n">
        <f aca="false">$B$4-83*($B$5+$B$6)/30-IF($B$11&lt;=83,$B$12,0)+L306+M306+N306+O306+P306</f>
        <v>7258.05470791674</v>
      </c>
      <c r="X306" s="14" t="n">
        <f aca="false">$B$4-90*($B$5+$B$6)/30-IF($B$11&lt;=90,$B$12,0)+L306+M306+N306+O306+P306+Q306</f>
        <v>10060.8694869329</v>
      </c>
      <c r="AA306" s="14" t="n">
        <f aca="false">MIN(R306:X306)</f>
        <v>1435.90087355768</v>
      </c>
    </row>
    <row r="307" customFormat="false" ht="15" hidden="false" customHeight="false" outlineLevel="0" collapsed="false">
      <c r="K307" s="2" t="n">
        <v>302</v>
      </c>
      <c r="L307" s="14" t="n">
        <f aca="true">$B$16+NORMINV(RAND(),0,SQRT($B$13*($B$7+$B$8^2))*$B$9*(1-$B$10))</f>
        <v>3948.37783697362</v>
      </c>
      <c r="M307" s="14" t="n">
        <f aca="true">$B$16+NORMINV(RAND(),0,SQRT($B$13*($B$7+$B$8^2))*$B$9*(1-$B$10))</f>
        <v>4159.11487518286</v>
      </c>
      <c r="N307" s="14" t="n">
        <f aca="true">$B$16+NORMINV(RAND(),0,SQRT($B$13*($B$7+$B$8^2))*$B$9*(1-$B$10))</f>
        <v>3713.49569039732</v>
      </c>
      <c r="O307" s="14" t="n">
        <f aca="true">$B$16+NORMINV(RAND(),0,SQRT($B$13*($B$7+$B$8^2))*$B$9*(1-$B$10))</f>
        <v>4470.25044314487</v>
      </c>
      <c r="P307" s="14" t="n">
        <f aca="true">$B$16+NORMINV(RAND(),0,SQRT($B$13*($B$7+$B$8^2))*$B$9*(1-$B$10))</f>
        <v>4699.16843443828</v>
      </c>
      <c r="Q307" s="14" t="n">
        <f aca="true">$B$16+NORMINV(RAND(),0,SQRT($B$13*($B$7+$B$8^2))*$B$9*(1-$B$10))</f>
        <v>3754.35331209789</v>
      </c>
      <c r="R307" s="14" t="n">
        <f aca="false">$B$4-13*($B$5+$B$6)/30-IF($B$11&lt;=13,$B$12,0)+0</f>
        <v>8876.66666666667</v>
      </c>
      <c r="S307" s="14" t="n">
        <f aca="false">$B$4-27*($B$5+$B$6)/30-IF($B$11&lt;=27,$B$12,0)+L307</f>
        <v>10538.3778369736</v>
      </c>
      <c r="T307" s="14" t="n">
        <f aca="false">$B$4-41*($B$5+$B$6)/30-IF($B$11&lt;=41,$B$12,0)+L307+M307</f>
        <v>1226.02604548982</v>
      </c>
      <c r="U307" s="14" t="n">
        <f aca="false">$B$4-55*($B$5+$B$6)/30-IF($B$11&lt;=55,$B$12,0)+L307+M307+N307</f>
        <v>2652.85506922047</v>
      </c>
      <c r="V307" s="14" t="n">
        <f aca="false">$B$4-69*($B$5+$B$6)/30-IF($B$11&lt;=69,$B$12,0)+L307+M307+N307+O307</f>
        <v>4836.43884569867</v>
      </c>
      <c r="W307" s="14" t="n">
        <f aca="false">$B$4-83*($B$5+$B$6)/30-IF($B$11&lt;=83,$B$12,0)+L307+M307+N307+O307+P307</f>
        <v>7248.94061347029</v>
      </c>
      <c r="X307" s="14" t="n">
        <f aca="false">$B$4-90*($B$5+$B$6)/30-IF($B$11&lt;=90,$B$12,0)+L307+M307+N307+O307+P307+Q307</f>
        <v>9859.96059223484</v>
      </c>
      <c r="AA307" s="14" t="n">
        <f aca="false">MIN(R307:X307)</f>
        <v>1226.02604548982</v>
      </c>
    </row>
    <row r="308" customFormat="false" ht="15" hidden="false" customHeight="false" outlineLevel="0" collapsed="false">
      <c r="K308" s="2" t="n">
        <v>303</v>
      </c>
      <c r="L308" s="14" t="n">
        <f aca="true">$B$16+NORMINV(RAND(),0,SQRT($B$13*($B$7+$B$8^2))*$B$9*(1-$B$10))</f>
        <v>4203.65128585471</v>
      </c>
      <c r="M308" s="14" t="n">
        <f aca="true">$B$16+NORMINV(RAND(),0,SQRT($B$13*($B$7+$B$8^2))*$B$9*(1-$B$10))</f>
        <v>3921.90201372725</v>
      </c>
      <c r="N308" s="14" t="n">
        <f aca="true">$B$16+NORMINV(RAND(),0,SQRT($B$13*($B$7+$B$8^2))*$B$9*(1-$B$10))</f>
        <v>3519.45195476557</v>
      </c>
      <c r="O308" s="14" t="n">
        <f aca="true">$B$16+NORMINV(RAND(),0,SQRT($B$13*($B$7+$B$8^2))*$B$9*(1-$B$10))</f>
        <v>3705.93173710956</v>
      </c>
      <c r="P308" s="14" t="n">
        <f aca="true">$B$16+NORMINV(RAND(),0,SQRT($B$13*($B$7+$B$8^2))*$B$9*(1-$B$10))</f>
        <v>4295.06159571469</v>
      </c>
      <c r="Q308" s="14" t="n">
        <f aca="true">$B$16+NORMINV(RAND(),0,SQRT($B$13*($B$7+$B$8^2))*$B$9*(1-$B$10))</f>
        <v>4331.13994394926</v>
      </c>
      <c r="R308" s="14" t="n">
        <f aca="false">$B$4-13*($B$5+$B$6)/30-IF($B$11&lt;=13,$B$12,0)+0</f>
        <v>8876.66666666667</v>
      </c>
      <c r="S308" s="14" t="n">
        <f aca="false">$B$4-27*($B$5+$B$6)/30-IF($B$11&lt;=27,$B$12,0)+L308</f>
        <v>10793.6512858547</v>
      </c>
      <c r="T308" s="14" t="n">
        <f aca="false">$B$4-41*($B$5+$B$6)/30-IF($B$11&lt;=41,$B$12,0)+L308+M308</f>
        <v>1244.0866329153</v>
      </c>
      <c r="U308" s="14" t="n">
        <f aca="false">$B$4-55*($B$5+$B$6)/30-IF($B$11&lt;=55,$B$12,0)+L308+M308+N308</f>
        <v>2476.87192101421</v>
      </c>
      <c r="V308" s="14" t="n">
        <f aca="false">$B$4-69*($B$5+$B$6)/30-IF($B$11&lt;=69,$B$12,0)+L308+M308+N308+O308</f>
        <v>3896.1369914571</v>
      </c>
      <c r="W308" s="14" t="n">
        <f aca="false">$B$4-83*($B$5+$B$6)/30-IF($B$11&lt;=83,$B$12,0)+L308+M308+N308+O308+P308</f>
        <v>5904.53192050512</v>
      </c>
      <c r="X308" s="14" t="n">
        <f aca="false">$B$4-90*($B$5+$B$6)/30-IF($B$11&lt;=90,$B$12,0)+L308+M308+N308+O308+P308+Q308</f>
        <v>9092.33853112104</v>
      </c>
      <c r="AA308" s="14" t="n">
        <f aca="false">MIN(R308:X308)</f>
        <v>1244.0866329153</v>
      </c>
    </row>
    <row r="309" customFormat="false" ht="15" hidden="false" customHeight="false" outlineLevel="0" collapsed="false">
      <c r="K309" s="2" t="n">
        <v>304</v>
      </c>
      <c r="L309" s="14" t="n">
        <f aca="true">$B$16+NORMINV(RAND(),0,SQRT($B$13*($B$7+$B$8^2))*$B$9*(1-$B$10))</f>
        <v>3804.05643424978</v>
      </c>
      <c r="M309" s="14" t="n">
        <f aca="true">$B$16+NORMINV(RAND(),0,SQRT($B$13*($B$7+$B$8^2))*$B$9*(1-$B$10))</f>
        <v>4350.33174689241</v>
      </c>
      <c r="N309" s="14" t="n">
        <f aca="true">$B$16+NORMINV(RAND(),0,SQRT($B$13*($B$7+$B$8^2))*$B$9*(1-$B$10))</f>
        <v>3994.59450152479</v>
      </c>
      <c r="O309" s="14" t="n">
        <f aca="true">$B$16+NORMINV(RAND(),0,SQRT($B$13*($B$7+$B$8^2))*$B$9*(1-$B$10))</f>
        <v>3936.47018155328</v>
      </c>
      <c r="P309" s="14" t="n">
        <f aca="true">$B$16+NORMINV(RAND(),0,SQRT($B$13*($B$7+$B$8^2))*$B$9*(1-$B$10))</f>
        <v>3715.58312983325</v>
      </c>
      <c r="Q309" s="14" t="n">
        <f aca="true">$B$16+NORMINV(RAND(),0,SQRT($B$13*($B$7+$B$8^2))*$B$9*(1-$B$10))</f>
        <v>3883.02034507513</v>
      </c>
      <c r="R309" s="14" t="n">
        <f aca="false">$B$4-13*($B$5+$B$6)/30-IF($B$11&lt;=13,$B$12,0)+0</f>
        <v>8876.66666666667</v>
      </c>
      <c r="S309" s="14" t="n">
        <f aca="false">$B$4-27*($B$5+$B$6)/30-IF($B$11&lt;=27,$B$12,0)+L309</f>
        <v>10394.0564342498</v>
      </c>
      <c r="T309" s="14" t="n">
        <f aca="false">$B$4-41*($B$5+$B$6)/30-IF($B$11&lt;=41,$B$12,0)+L309+M309</f>
        <v>1272.92151447552</v>
      </c>
      <c r="U309" s="14" t="n">
        <f aca="false">$B$4-55*($B$5+$B$6)/30-IF($B$11&lt;=55,$B$12,0)+L309+M309+N309</f>
        <v>2980.84934933364</v>
      </c>
      <c r="V309" s="14" t="n">
        <f aca="false">$B$4-69*($B$5+$B$6)/30-IF($B$11&lt;=69,$B$12,0)+L309+M309+N309+O309</f>
        <v>4630.65286422026</v>
      </c>
      <c r="W309" s="14" t="n">
        <f aca="false">$B$4-83*($B$5+$B$6)/30-IF($B$11&lt;=83,$B$12,0)+L309+M309+N309+O309+P309</f>
        <v>6059.56932738684</v>
      </c>
      <c r="X309" s="14" t="n">
        <f aca="false">$B$4-90*($B$5+$B$6)/30-IF($B$11&lt;=90,$B$12,0)+L309+M309+N309+O309+P309+Q309</f>
        <v>8799.25633912863</v>
      </c>
      <c r="AA309" s="14" t="n">
        <f aca="false">MIN(R309:X309)</f>
        <v>1272.92151447552</v>
      </c>
    </row>
    <row r="310" customFormat="false" ht="15" hidden="false" customHeight="false" outlineLevel="0" collapsed="false">
      <c r="K310" s="2" t="n">
        <v>305</v>
      </c>
      <c r="L310" s="14" t="n">
        <f aca="true">$B$16+NORMINV(RAND(),0,SQRT($B$13*($B$7+$B$8^2))*$B$9*(1-$B$10))</f>
        <v>4265.54651472077</v>
      </c>
      <c r="M310" s="14" t="n">
        <f aca="true">$B$16+NORMINV(RAND(),0,SQRT($B$13*($B$7+$B$8^2))*$B$9*(1-$B$10))</f>
        <v>3416.57113203183</v>
      </c>
      <c r="N310" s="14" t="n">
        <f aca="true">$B$16+NORMINV(RAND(),0,SQRT($B$13*($B$7+$B$8^2))*$B$9*(1-$B$10))</f>
        <v>3917.43085514676</v>
      </c>
      <c r="O310" s="14" t="n">
        <f aca="true">$B$16+NORMINV(RAND(),0,SQRT($B$13*($B$7+$B$8^2))*$B$9*(1-$B$10))</f>
        <v>4011.17264844798</v>
      </c>
      <c r="P310" s="14" t="n">
        <f aca="true">$B$16+NORMINV(RAND(),0,SQRT($B$13*($B$7+$B$8^2))*$B$9*(1-$B$10))</f>
        <v>4417.4507014764</v>
      </c>
      <c r="Q310" s="14" t="n">
        <f aca="true">$B$16+NORMINV(RAND(),0,SQRT($B$13*($B$7+$B$8^2))*$B$9*(1-$B$10))</f>
        <v>4171.23653471889</v>
      </c>
      <c r="R310" s="14" t="n">
        <f aca="false">$B$4-13*($B$5+$B$6)/30-IF($B$11&lt;=13,$B$12,0)+0</f>
        <v>8876.66666666667</v>
      </c>
      <c r="S310" s="14" t="n">
        <f aca="false">$B$4-27*($B$5+$B$6)/30-IF($B$11&lt;=27,$B$12,0)+L310</f>
        <v>10855.5465147208</v>
      </c>
      <c r="T310" s="14" t="n">
        <f aca="false">$B$4-41*($B$5+$B$6)/30-IF($B$11&lt;=41,$B$12,0)+L310+M310</f>
        <v>800.650980085929</v>
      </c>
      <c r="U310" s="14" t="n">
        <f aca="false">$B$4-55*($B$5+$B$6)/30-IF($B$11&lt;=55,$B$12,0)+L310+M310+N310</f>
        <v>2431.41516856602</v>
      </c>
      <c r="V310" s="14" t="n">
        <f aca="false">$B$4-69*($B$5+$B$6)/30-IF($B$11&lt;=69,$B$12,0)+L310+M310+N310+O310</f>
        <v>4155.92115034733</v>
      </c>
      <c r="W310" s="14" t="n">
        <f aca="false">$B$4-83*($B$5+$B$6)/30-IF($B$11&lt;=83,$B$12,0)+L310+M310+N310+O310+P310</f>
        <v>6286.70518515707</v>
      </c>
      <c r="X310" s="14" t="n">
        <f aca="false">$B$4-90*($B$5+$B$6)/30-IF($B$11&lt;=90,$B$12,0)+L310+M310+N310+O310+P310+Q310</f>
        <v>9314.60838654262</v>
      </c>
      <c r="AA310" s="14" t="n">
        <f aca="false">MIN(R310:X310)</f>
        <v>800.650980085929</v>
      </c>
    </row>
    <row r="311" customFormat="false" ht="15" hidden="false" customHeight="false" outlineLevel="0" collapsed="false">
      <c r="K311" s="2" t="n">
        <v>306</v>
      </c>
      <c r="L311" s="14" t="n">
        <f aca="true">$B$16+NORMINV(RAND(),0,SQRT($B$13*($B$7+$B$8^2))*$B$9*(1-$B$10))</f>
        <v>4390.77278351683</v>
      </c>
      <c r="M311" s="14" t="n">
        <f aca="true">$B$16+NORMINV(RAND(),0,SQRT($B$13*($B$7+$B$8^2))*$B$9*(1-$B$10))</f>
        <v>4295.70709982098</v>
      </c>
      <c r="N311" s="14" t="n">
        <f aca="true">$B$16+NORMINV(RAND(),0,SQRT($B$13*($B$7+$B$8^2))*$B$9*(1-$B$10))</f>
        <v>4117.26474700913</v>
      </c>
      <c r="O311" s="14" t="n">
        <f aca="true">$B$16+NORMINV(RAND(),0,SQRT($B$13*($B$7+$B$8^2))*$B$9*(1-$B$10))</f>
        <v>4313.51584567038</v>
      </c>
      <c r="P311" s="14" t="n">
        <f aca="true">$B$16+NORMINV(RAND(),0,SQRT($B$13*($B$7+$B$8^2))*$B$9*(1-$B$10))</f>
        <v>4269.120681049</v>
      </c>
      <c r="Q311" s="14" t="n">
        <f aca="true">$B$16+NORMINV(RAND(),0,SQRT($B$13*($B$7+$B$8^2))*$B$9*(1-$B$10))</f>
        <v>3361.92992541528</v>
      </c>
      <c r="R311" s="14" t="n">
        <f aca="false">$B$4-13*($B$5+$B$6)/30-IF($B$11&lt;=13,$B$12,0)+0</f>
        <v>8876.66666666667</v>
      </c>
      <c r="S311" s="14" t="n">
        <f aca="false">$B$4-27*($B$5+$B$6)/30-IF($B$11&lt;=27,$B$12,0)+L311</f>
        <v>10980.7727835168</v>
      </c>
      <c r="T311" s="14" t="n">
        <f aca="false">$B$4-41*($B$5+$B$6)/30-IF($B$11&lt;=41,$B$12,0)+L311+M311</f>
        <v>1805.01321667115</v>
      </c>
      <c r="U311" s="14" t="n">
        <f aca="false">$B$4-55*($B$5+$B$6)/30-IF($B$11&lt;=55,$B$12,0)+L311+M311+N311</f>
        <v>3635.61129701361</v>
      </c>
      <c r="V311" s="14" t="n">
        <f aca="false">$B$4-69*($B$5+$B$6)/30-IF($B$11&lt;=69,$B$12,0)+L311+M311+N311+O311</f>
        <v>5662.46047601732</v>
      </c>
      <c r="W311" s="14" t="n">
        <f aca="false">$B$4-83*($B$5+$B$6)/30-IF($B$11&lt;=83,$B$12,0)+L311+M311+N311+O311+P311</f>
        <v>7644.91449039965</v>
      </c>
      <c r="X311" s="14" t="n">
        <f aca="false">$B$4-90*($B$5+$B$6)/30-IF($B$11&lt;=90,$B$12,0)+L311+M311+N311+O311+P311+Q311</f>
        <v>9863.5110824816</v>
      </c>
      <c r="AA311" s="14" t="n">
        <f aca="false">MIN(R311:X311)</f>
        <v>1805.01321667115</v>
      </c>
    </row>
    <row r="312" customFormat="false" ht="15" hidden="false" customHeight="false" outlineLevel="0" collapsed="false">
      <c r="K312" s="2" t="n">
        <v>307</v>
      </c>
      <c r="L312" s="14" t="n">
        <f aca="true">$B$16+NORMINV(RAND(),0,SQRT($B$13*($B$7+$B$8^2))*$B$9*(1-$B$10))</f>
        <v>3621.34710281099</v>
      </c>
      <c r="M312" s="14" t="n">
        <f aca="true">$B$16+NORMINV(RAND(),0,SQRT($B$13*($B$7+$B$8^2))*$B$9*(1-$B$10))</f>
        <v>4057.0002212315</v>
      </c>
      <c r="N312" s="14" t="n">
        <f aca="true">$B$16+NORMINV(RAND(),0,SQRT($B$13*($B$7+$B$8^2))*$B$9*(1-$B$10))</f>
        <v>4525.53326918434</v>
      </c>
      <c r="O312" s="14" t="n">
        <f aca="true">$B$16+NORMINV(RAND(),0,SQRT($B$13*($B$7+$B$8^2))*$B$9*(1-$B$10))</f>
        <v>4267.48667803495</v>
      </c>
      <c r="P312" s="14" t="n">
        <f aca="true">$B$16+NORMINV(RAND(),0,SQRT($B$13*($B$7+$B$8^2))*$B$9*(1-$B$10))</f>
        <v>3967.87548373258</v>
      </c>
      <c r="Q312" s="14" t="n">
        <f aca="true">$B$16+NORMINV(RAND(),0,SQRT($B$13*($B$7+$B$8^2))*$B$9*(1-$B$10))</f>
        <v>3987.95340687411</v>
      </c>
      <c r="R312" s="14" t="n">
        <f aca="false">$B$4-13*($B$5+$B$6)/30-IF($B$11&lt;=13,$B$12,0)+0</f>
        <v>8876.66666666667</v>
      </c>
      <c r="S312" s="14" t="n">
        <f aca="false">$B$4-27*($B$5+$B$6)/30-IF($B$11&lt;=27,$B$12,0)+L312</f>
        <v>10211.347102811</v>
      </c>
      <c r="T312" s="14" t="n">
        <f aca="false">$B$4-41*($B$5+$B$6)/30-IF($B$11&lt;=41,$B$12,0)+L312+M312</f>
        <v>796.880657375819</v>
      </c>
      <c r="U312" s="14" t="n">
        <f aca="false">$B$4-55*($B$5+$B$6)/30-IF($B$11&lt;=55,$B$12,0)+L312+M312+N312</f>
        <v>3035.74725989349</v>
      </c>
      <c r="V312" s="14" t="n">
        <f aca="false">$B$4-69*($B$5+$B$6)/30-IF($B$11&lt;=69,$B$12,0)+L312+M312+N312+O312</f>
        <v>5016.56727126178</v>
      </c>
      <c r="W312" s="14" t="n">
        <f aca="false">$B$4-83*($B$5+$B$6)/30-IF($B$11&lt;=83,$B$12,0)+L312+M312+N312+O312+P312</f>
        <v>6697.77608832769</v>
      </c>
      <c r="X312" s="14" t="n">
        <f aca="false">$B$4-90*($B$5+$B$6)/30-IF($B$11&lt;=90,$B$12,0)+L312+M312+N312+O312+P312+Q312</f>
        <v>9542.39616186847</v>
      </c>
      <c r="AA312" s="14" t="n">
        <f aca="false">MIN(R312:X312)</f>
        <v>796.880657375819</v>
      </c>
    </row>
    <row r="313" customFormat="false" ht="15" hidden="false" customHeight="false" outlineLevel="0" collapsed="false">
      <c r="K313" s="2" t="n">
        <v>308</v>
      </c>
      <c r="L313" s="14" t="n">
        <f aca="true">$B$16+NORMINV(RAND(),0,SQRT($B$13*($B$7+$B$8^2))*$B$9*(1-$B$10))</f>
        <v>4380.42196543714</v>
      </c>
      <c r="M313" s="14" t="n">
        <f aca="true">$B$16+NORMINV(RAND(),0,SQRT($B$13*($B$7+$B$8^2))*$B$9*(1-$B$10))</f>
        <v>4596.80720045776</v>
      </c>
      <c r="N313" s="14" t="n">
        <f aca="true">$B$16+NORMINV(RAND(),0,SQRT($B$13*($B$7+$B$8^2))*$B$9*(1-$B$10))</f>
        <v>3898.9709620078</v>
      </c>
      <c r="O313" s="14" t="n">
        <f aca="true">$B$16+NORMINV(RAND(),0,SQRT($B$13*($B$7+$B$8^2))*$B$9*(1-$B$10))</f>
        <v>3976.74772902246</v>
      </c>
      <c r="P313" s="14" t="n">
        <f aca="true">$B$16+NORMINV(RAND(),0,SQRT($B$13*($B$7+$B$8^2))*$B$9*(1-$B$10))</f>
        <v>4097.41286146685</v>
      </c>
      <c r="Q313" s="14" t="n">
        <f aca="true">$B$16+NORMINV(RAND(),0,SQRT($B$13*($B$7+$B$8^2))*$B$9*(1-$B$10))</f>
        <v>4327.70510119925</v>
      </c>
      <c r="R313" s="14" t="n">
        <f aca="false">$B$4-13*($B$5+$B$6)/30-IF($B$11&lt;=13,$B$12,0)+0</f>
        <v>8876.66666666667</v>
      </c>
      <c r="S313" s="14" t="n">
        <f aca="false">$B$4-27*($B$5+$B$6)/30-IF($B$11&lt;=27,$B$12,0)+L313</f>
        <v>10970.4219654371</v>
      </c>
      <c r="T313" s="14" t="n">
        <f aca="false">$B$4-41*($B$5+$B$6)/30-IF($B$11&lt;=41,$B$12,0)+L313+M313</f>
        <v>2095.76249922823</v>
      </c>
      <c r="U313" s="14" t="n">
        <f aca="false">$B$4-55*($B$5+$B$6)/30-IF($B$11&lt;=55,$B$12,0)+L313+M313+N313</f>
        <v>3708.06679456935</v>
      </c>
      <c r="V313" s="14" t="n">
        <f aca="false">$B$4-69*($B$5+$B$6)/30-IF($B$11&lt;=69,$B$12,0)+L313+M313+N313+O313</f>
        <v>5398.14785692515</v>
      </c>
      <c r="W313" s="14" t="n">
        <f aca="false">$B$4-83*($B$5+$B$6)/30-IF($B$11&lt;=83,$B$12,0)+L313+M313+N313+O313+P313</f>
        <v>7208.89405172533</v>
      </c>
      <c r="X313" s="14" t="n">
        <f aca="false">$B$4-90*($B$5+$B$6)/30-IF($B$11&lt;=90,$B$12,0)+L313+M313+N313+O313+P313+Q313</f>
        <v>10393.2658195913</v>
      </c>
      <c r="AA313" s="14" t="n">
        <f aca="false">MIN(R313:X313)</f>
        <v>2095.76249922823</v>
      </c>
    </row>
    <row r="314" customFormat="false" ht="15" hidden="false" customHeight="false" outlineLevel="0" collapsed="false">
      <c r="K314" s="2" t="n">
        <v>309</v>
      </c>
      <c r="L314" s="14" t="n">
        <f aca="true">$B$16+NORMINV(RAND(),0,SQRT($B$13*($B$7+$B$8^2))*$B$9*(1-$B$10))</f>
        <v>4214.52221863298</v>
      </c>
      <c r="M314" s="14" t="n">
        <f aca="true">$B$16+NORMINV(RAND(),0,SQRT($B$13*($B$7+$B$8^2))*$B$9*(1-$B$10))</f>
        <v>3612.25662434009</v>
      </c>
      <c r="N314" s="14" t="n">
        <f aca="true">$B$16+NORMINV(RAND(),0,SQRT($B$13*($B$7+$B$8^2))*$B$9*(1-$B$10))</f>
        <v>4219.37775913214</v>
      </c>
      <c r="O314" s="14" t="n">
        <f aca="true">$B$16+NORMINV(RAND(),0,SQRT($B$13*($B$7+$B$8^2))*$B$9*(1-$B$10))</f>
        <v>4299.03924935602</v>
      </c>
      <c r="P314" s="14" t="n">
        <f aca="true">$B$16+NORMINV(RAND(),0,SQRT($B$13*($B$7+$B$8^2))*$B$9*(1-$B$10))</f>
        <v>3698.44452901629</v>
      </c>
      <c r="Q314" s="14" t="n">
        <f aca="true">$B$16+NORMINV(RAND(),0,SQRT($B$13*($B$7+$B$8^2))*$B$9*(1-$B$10))</f>
        <v>4172.37782519126</v>
      </c>
      <c r="R314" s="14" t="n">
        <f aca="false">$B$4-13*($B$5+$B$6)/30-IF($B$11&lt;=13,$B$12,0)+0</f>
        <v>8876.66666666667</v>
      </c>
      <c r="S314" s="14" t="n">
        <f aca="false">$B$4-27*($B$5+$B$6)/30-IF($B$11&lt;=27,$B$12,0)+L314</f>
        <v>10804.522218633</v>
      </c>
      <c r="T314" s="14" t="n">
        <f aca="false">$B$4-41*($B$5+$B$6)/30-IF($B$11&lt;=41,$B$12,0)+L314+M314</f>
        <v>945.312176306409</v>
      </c>
      <c r="U314" s="14" t="n">
        <f aca="false">$B$4-55*($B$5+$B$6)/30-IF($B$11&lt;=55,$B$12,0)+L314+M314+N314</f>
        <v>2878.02326877189</v>
      </c>
      <c r="V314" s="14" t="n">
        <f aca="false">$B$4-69*($B$5+$B$6)/30-IF($B$11&lt;=69,$B$12,0)+L314+M314+N314+O314</f>
        <v>4890.39585146124</v>
      </c>
      <c r="W314" s="14" t="n">
        <f aca="false">$B$4-83*($B$5+$B$6)/30-IF($B$11&lt;=83,$B$12,0)+L314+M314+N314+O314+P314</f>
        <v>6302.17371381086</v>
      </c>
      <c r="X314" s="14" t="n">
        <f aca="false">$B$4-90*($B$5+$B$6)/30-IF($B$11&lt;=90,$B$12,0)+L314+M314+N314+O314+P314+Q314</f>
        <v>9331.21820566878</v>
      </c>
      <c r="AA314" s="14" t="n">
        <f aca="false">MIN(R314:X314)</f>
        <v>945.312176306409</v>
      </c>
    </row>
    <row r="315" customFormat="false" ht="15" hidden="false" customHeight="false" outlineLevel="0" collapsed="false">
      <c r="K315" s="2" t="n">
        <v>310</v>
      </c>
      <c r="L315" s="14" t="n">
        <f aca="true">$B$16+NORMINV(RAND(),0,SQRT($B$13*($B$7+$B$8^2))*$B$9*(1-$B$10))</f>
        <v>4213.56130825955</v>
      </c>
      <c r="M315" s="14" t="n">
        <f aca="true">$B$16+NORMINV(RAND(),0,SQRT($B$13*($B$7+$B$8^2))*$B$9*(1-$B$10))</f>
        <v>4066.01276769986</v>
      </c>
      <c r="N315" s="14" t="n">
        <f aca="true">$B$16+NORMINV(RAND(),0,SQRT($B$13*($B$7+$B$8^2))*$B$9*(1-$B$10))</f>
        <v>3615.48729376224</v>
      </c>
      <c r="O315" s="14" t="n">
        <f aca="true">$B$16+NORMINV(RAND(),0,SQRT($B$13*($B$7+$B$8^2))*$B$9*(1-$B$10))</f>
        <v>3796.95072594171</v>
      </c>
      <c r="P315" s="14" t="n">
        <f aca="true">$B$16+NORMINV(RAND(),0,SQRT($B$13*($B$7+$B$8^2))*$B$9*(1-$B$10))</f>
        <v>4184.38062259363</v>
      </c>
      <c r="Q315" s="14" t="n">
        <f aca="true">$B$16+NORMINV(RAND(),0,SQRT($B$13*($B$7+$B$8^2))*$B$9*(1-$B$10))</f>
        <v>4028.47222603122</v>
      </c>
      <c r="R315" s="14" t="n">
        <f aca="false">$B$4-13*($B$5+$B$6)/30-IF($B$11&lt;=13,$B$12,0)+0</f>
        <v>8876.66666666667</v>
      </c>
      <c r="S315" s="14" t="n">
        <f aca="false">$B$4-27*($B$5+$B$6)/30-IF($B$11&lt;=27,$B$12,0)+L315</f>
        <v>10803.5613082596</v>
      </c>
      <c r="T315" s="14" t="n">
        <f aca="false">$B$4-41*($B$5+$B$6)/30-IF($B$11&lt;=41,$B$12,0)+L315+M315</f>
        <v>1398.10740929274</v>
      </c>
      <c r="U315" s="14" t="n">
        <f aca="false">$B$4-55*($B$5+$B$6)/30-IF($B$11&lt;=55,$B$12,0)+L315+M315+N315</f>
        <v>2726.92803638831</v>
      </c>
      <c r="V315" s="14" t="n">
        <f aca="false">$B$4-69*($B$5+$B$6)/30-IF($B$11&lt;=69,$B$12,0)+L315+M315+N315+O315</f>
        <v>4237.21209566335</v>
      </c>
      <c r="W315" s="14" t="n">
        <f aca="false">$B$4-83*($B$5+$B$6)/30-IF($B$11&lt;=83,$B$12,0)+L315+M315+N315+O315+P315</f>
        <v>6134.92605159032</v>
      </c>
      <c r="X315" s="14" t="n">
        <f aca="false">$B$4-90*($B$5+$B$6)/30-IF($B$11&lt;=90,$B$12,0)+L315+M315+N315+O315+P315+Q315</f>
        <v>9020.06494428821</v>
      </c>
      <c r="AA315" s="14" t="n">
        <f aca="false">MIN(R315:X315)</f>
        <v>1398.10740929274</v>
      </c>
    </row>
    <row r="316" customFormat="false" ht="15" hidden="false" customHeight="false" outlineLevel="0" collapsed="false">
      <c r="K316" s="2" t="n">
        <v>311</v>
      </c>
      <c r="L316" s="14" t="n">
        <f aca="true">$B$16+NORMINV(RAND(),0,SQRT($B$13*($B$7+$B$8^2))*$B$9*(1-$B$10))</f>
        <v>4090.95449273018</v>
      </c>
      <c r="M316" s="14" t="n">
        <f aca="true">$B$16+NORMINV(RAND(),0,SQRT($B$13*($B$7+$B$8^2))*$B$9*(1-$B$10))</f>
        <v>3957.25610380154</v>
      </c>
      <c r="N316" s="14" t="n">
        <f aca="true">$B$16+NORMINV(RAND(),0,SQRT($B$13*($B$7+$B$8^2))*$B$9*(1-$B$10))</f>
        <v>3893.83555968735</v>
      </c>
      <c r="O316" s="14" t="n">
        <f aca="true">$B$16+NORMINV(RAND(),0,SQRT($B$13*($B$7+$B$8^2))*$B$9*(1-$B$10))</f>
        <v>4529.10868165274</v>
      </c>
      <c r="P316" s="14" t="n">
        <f aca="true">$B$16+NORMINV(RAND(),0,SQRT($B$13*($B$7+$B$8^2))*$B$9*(1-$B$10))</f>
        <v>4624.79471973631</v>
      </c>
      <c r="Q316" s="14" t="n">
        <f aca="true">$B$16+NORMINV(RAND(),0,SQRT($B$13*($B$7+$B$8^2))*$B$9*(1-$B$10))</f>
        <v>3959.0653155102</v>
      </c>
      <c r="R316" s="14" t="n">
        <f aca="false">$B$4-13*($B$5+$B$6)/30-IF($B$11&lt;=13,$B$12,0)+0</f>
        <v>8876.66666666667</v>
      </c>
      <c r="S316" s="14" t="n">
        <f aca="false">$B$4-27*($B$5+$B$6)/30-IF($B$11&lt;=27,$B$12,0)+L316</f>
        <v>10680.9544927302</v>
      </c>
      <c r="T316" s="14" t="n">
        <f aca="false">$B$4-41*($B$5+$B$6)/30-IF($B$11&lt;=41,$B$12,0)+L316+M316</f>
        <v>1166.74392986505</v>
      </c>
      <c r="U316" s="14" t="n">
        <f aca="false">$B$4-55*($B$5+$B$6)/30-IF($B$11&lt;=55,$B$12,0)+L316+M316+N316</f>
        <v>2773.91282288573</v>
      </c>
      <c r="V316" s="14" t="n">
        <f aca="false">$B$4-69*($B$5+$B$6)/30-IF($B$11&lt;=69,$B$12,0)+L316+M316+N316+O316</f>
        <v>5016.35483787181</v>
      </c>
      <c r="W316" s="14" t="n">
        <f aca="false">$B$4-83*($B$5+$B$6)/30-IF($B$11&lt;=83,$B$12,0)+L316+M316+N316+O316+P316</f>
        <v>7354.48289094146</v>
      </c>
      <c r="X316" s="14" t="n">
        <f aca="false">$B$4-90*($B$5+$B$6)/30-IF($B$11&lt;=90,$B$12,0)+L316+M316+N316+O316+P316+Q316</f>
        <v>10170.2148731183</v>
      </c>
      <c r="AA316" s="14" t="n">
        <f aca="false">MIN(R316:X316)</f>
        <v>1166.74392986505</v>
      </c>
    </row>
    <row r="317" customFormat="false" ht="15" hidden="false" customHeight="false" outlineLevel="0" collapsed="false">
      <c r="K317" s="2" t="n">
        <v>312</v>
      </c>
      <c r="L317" s="14" t="n">
        <f aca="true">$B$16+NORMINV(RAND(),0,SQRT($B$13*($B$7+$B$8^2))*$B$9*(1-$B$10))</f>
        <v>4567.53841835235</v>
      </c>
      <c r="M317" s="14" t="n">
        <f aca="true">$B$16+NORMINV(RAND(),0,SQRT($B$13*($B$7+$B$8^2))*$B$9*(1-$B$10))</f>
        <v>4269.87891325119</v>
      </c>
      <c r="N317" s="14" t="n">
        <f aca="true">$B$16+NORMINV(RAND(),0,SQRT($B$13*($B$7+$B$8^2))*$B$9*(1-$B$10))</f>
        <v>3763.82514277003</v>
      </c>
      <c r="O317" s="14" t="n">
        <f aca="true">$B$16+NORMINV(RAND(),0,SQRT($B$13*($B$7+$B$8^2))*$B$9*(1-$B$10))</f>
        <v>4161.34525227938</v>
      </c>
      <c r="P317" s="14" t="n">
        <f aca="true">$B$16+NORMINV(RAND(),0,SQRT($B$13*($B$7+$B$8^2))*$B$9*(1-$B$10))</f>
        <v>4152.06440369068</v>
      </c>
      <c r="Q317" s="14" t="n">
        <f aca="true">$B$16+NORMINV(RAND(),0,SQRT($B$13*($B$7+$B$8^2))*$B$9*(1-$B$10))</f>
        <v>4088.3153049083</v>
      </c>
      <c r="R317" s="14" t="n">
        <f aca="false">$B$4-13*($B$5+$B$6)/30-IF($B$11&lt;=13,$B$12,0)+0</f>
        <v>8876.66666666667</v>
      </c>
      <c r="S317" s="14" t="n">
        <f aca="false">$B$4-27*($B$5+$B$6)/30-IF($B$11&lt;=27,$B$12,0)+L317</f>
        <v>11157.5384183524</v>
      </c>
      <c r="T317" s="14" t="n">
        <f aca="false">$B$4-41*($B$5+$B$6)/30-IF($B$11&lt;=41,$B$12,0)+L317+M317</f>
        <v>1955.95066493688</v>
      </c>
      <c r="U317" s="14" t="n">
        <f aca="false">$B$4-55*($B$5+$B$6)/30-IF($B$11&lt;=55,$B$12,0)+L317+M317+N317</f>
        <v>3433.10914104025</v>
      </c>
      <c r="V317" s="14" t="n">
        <f aca="false">$B$4-69*($B$5+$B$6)/30-IF($B$11&lt;=69,$B$12,0)+L317+M317+N317+O317</f>
        <v>5307.78772665296</v>
      </c>
      <c r="W317" s="14" t="n">
        <f aca="false">$B$4-83*($B$5+$B$6)/30-IF($B$11&lt;=83,$B$12,0)+L317+M317+N317+O317+P317</f>
        <v>7173.18546367698</v>
      </c>
      <c r="X317" s="14" t="n">
        <f aca="false">$B$4-90*($B$5+$B$6)/30-IF($B$11&lt;=90,$B$12,0)+L317+M317+N317+O317+P317+Q317</f>
        <v>10118.1674352519</v>
      </c>
      <c r="AA317" s="14" t="n">
        <f aca="false">MIN(R317:X317)</f>
        <v>1955.95066493688</v>
      </c>
    </row>
    <row r="318" customFormat="false" ht="15" hidden="false" customHeight="false" outlineLevel="0" collapsed="false">
      <c r="K318" s="2" t="n">
        <v>313</v>
      </c>
      <c r="L318" s="14" t="n">
        <f aca="true">$B$16+NORMINV(RAND(),0,SQRT($B$13*($B$7+$B$8^2))*$B$9*(1-$B$10))</f>
        <v>4134.80808095578</v>
      </c>
      <c r="M318" s="14" t="n">
        <f aca="true">$B$16+NORMINV(RAND(),0,SQRT($B$13*($B$7+$B$8^2))*$B$9*(1-$B$10))</f>
        <v>3548.00033450874</v>
      </c>
      <c r="N318" s="14" t="n">
        <f aca="true">$B$16+NORMINV(RAND(),0,SQRT($B$13*($B$7+$B$8^2))*$B$9*(1-$B$10))</f>
        <v>4574.52294543944</v>
      </c>
      <c r="O318" s="14" t="n">
        <f aca="true">$B$16+NORMINV(RAND(),0,SQRT($B$13*($B$7+$B$8^2))*$B$9*(1-$B$10))</f>
        <v>3643.29473396135</v>
      </c>
      <c r="P318" s="14" t="n">
        <f aca="true">$B$16+NORMINV(RAND(),0,SQRT($B$13*($B$7+$B$8^2))*$B$9*(1-$B$10))</f>
        <v>3630.24120641742</v>
      </c>
      <c r="Q318" s="14" t="n">
        <f aca="true">$B$16+NORMINV(RAND(),0,SQRT($B$13*($B$7+$B$8^2))*$B$9*(1-$B$10))</f>
        <v>4612.89266832281</v>
      </c>
      <c r="R318" s="14" t="n">
        <f aca="false">$B$4-13*($B$5+$B$6)/30-IF($B$11&lt;=13,$B$12,0)+0</f>
        <v>8876.66666666667</v>
      </c>
      <c r="S318" s="14" t="n">
        <f aca="false">$B$4-27*($B$5+$B$6)/30-IF($B$11&lt;=27,$B$12,0)+L318</f>
        <v>10724.8080809558</v>
      </c>
      <c r="T318" s="14" t="n">
        <f aca="false">$B$4-41*($B$5+$B$6)/30-IF($B$11&lt;=41,$B$12,0)+L318+M318</f>
        <v>801.341748797853</v>
      </c>
      <c r="U318" s="14" t="n">
        <f aca="false">$B$4-55*($B$5+$B$6)/30-IF($B$11&lt;=55,$B$12,0)+L318+M318+N318</f>
        <v>3089.19802757063</v>
      </c>
      <c r="V318" s="14" t="n">
        <f aca="false">$B$4-69*($B$5+$B$6)/30-IF($B$11&lt;=69,$B$12,0)+L318+M318+N318+O318</f>
        <v>4445.82609486531</v>
      </c>
      <c r="W318" s="14" t="n">
        <f aca="false">$B$4-83*($B$5+$B$6)/30-IF($B$11&lt;=83,$B$12,0)+L318+M318+N318+O318+P318</f>
        <v>5789.40063461606</v>
      </c>
      <c r="X318" s="14" t="n">
        <f aca="false">$B$4-90*($B$5+$B$6)/30-IF($B$11&lt;=90,$B$12,0)+L318+M318+N318+O318+P318+Q318</f>
        <v>9258.95996960554</v>
      </c>
      <c r="AA318" s="14" t="n">
        <f aca="false">MIN(R318:X318)</f>
        <v>801.341748797853</v>
      </c>
    </row>
    <row r="319" customFormat="false" ht="15" hidden="false" customHeight="false" outlineLevel="0" collapsed="false">
      <c r="K319" s="2" t="n">
        <v>314</v>
      </c>
      <c r="L319" s="14" t="n">
        <f aca="true">$B$16+NORMINV(RAND(),0,SQRT($B$13*($B$7+$B$8^2))*$B$9*(1-$B$10))</f>
        <v>3808.73924949174</v>
      </c>
      <c r="M319" s="14" t="n">
        <f aca="true">$B$16+NORMINV(RAND(),0,SQRT($B$13*($B$7+$B$8^2))*$B$9*(1-$B$10))</f>
        <v>3265.82325443773</v>
      </c>
      <c r="N319" s="14" t="n">
        <f aca="true">$B$16+NORMINV(RAND(),0,SQRT($B$13*($B$7+$B$8^2))*$B$9*(1-$B$10))</f>
        <v>3959.61151251014</v>
      </c>
      <c r="O319" s="14" t="n">
        <f aca="true">$B$16+NORMINV(RAND(),0,SQRT($B$13*($B$7+$B$8^2))*$B$9*(1-$B$10))</f>
        <v>3908.98278515626</v>
      </c>
      <c r="P319" s="14" t="n">
        <f aca="true">$B$16+NORMINV(RAND(),0,SQRT($B$13*($B$7+$B$8^2))*$B$9*(1-$B$10))</f>
        <v>4124.2329160195</v>
      </c>
      <c r="Q319" s="14" t="n">
        <f aca="true">$B$16+NORMINV(RAND(),0,SQRT($B$13*($B$7+$B$8^2))*$B$9*(1-$B$10))</f>
        <v>3797.27304922929</v>
      </c>
      <c r="R319" s="14" t="n">
        <f aca="false">$B$4-13*($B$5+$B$6)/30-IF($B$11&lt;=13,$B$12,0)+0</f>
        <v>8876.66666666667</v>
      </c>
      <c r="S319" s="14" t="n">
        <f aca="false">$B$4-27*($B$5+$B$6)/30-IF($B$11&lt;=27,$B$12,0)+L319</f>
        <v>10398.7392494917</v>
      </c>
      <c r="T319" s="14" t="n">
        <f aca="false">$B$4-41*($B$5+$B$6)/30-IF($B$11&lt;=41,$B$12,0)+L319+M319</f>
        <v>193.095837262805</v>
      </c>
      <c r="U319" s="14" t="n">
        <f aca="false">$B$4-55*($B$5+$B$6)/30-IF($B$11&lt;=55,$B$12,0)+L319+M319+N319</f>
        <v>1866.04068310628</v>
      </c>
      <c r="V319" s="14" t="n">
        <f aca="false">$B$4-69*($B$5+$B$6)/30-IF($B$11&lt;=69,$B$12,0)+L319+M319+N319+O319</f>
        <v>3488.35680159587</v>
      </c>
      <c r="W319" s="14" t="n">
        <f aca="false">$B$4-83*($B$5+$B$6)/30-IF($B$11&lt;=83,$B$12,0)+L319+M319+N319+O319+P319</f>
        <v>5325.9230509487</v>
      </c>
      <c r="X319" s="14" t="n">
        <f aca="false">$B$4-90*($B$5+$B$6)/30-IF($B$11&lt;=90,$B$12,0)+L319+M319+N319+O319+P319+Q319</f>
        <v>7979.86276684466</v>
      </c>
      <c r="AA319" s="14" t="n">
        <f aca="false">MIN(R319:X319)</f>
        <v>193.095837262805</v>
      </c>
    </row>
    <row r="320" customFormat="false" ht="15" hidden="false" customHeight="false" outlineLevel="0" collapsed="false">
      <c r="K320" s="2" t="n">
        <v>315</v>
      </c>
      <c r="L320" s="14" t="n">
        <f aca="true">$B$16+NORMINV(RAND(),0,SQRT($B$13*($B$7+$B$8^2))*$B$9*(1-$B$10))</f>
        <v>3733.92862309983</v>
      </c>
      <c r="M320" s="14" t="n">
        <f aca="true">$B$16+NORMINV(RAND(),0,SQRT($B$13*($B$7+$B$8^2))*$B$9*(1-$B$10))</f>
        <v>4228.09171728163</v>
      </c>
      <c r="N320" s="14" t="n">
        <f aca="true">$B$16+NORMINV(RAND(),0,SQRT($B$13*($B$7+$B$8^2))*$B$9*(1-$B$10))</f>
        <v>4287.84051353244</v>
      </c>
      <c r="O320" s="14" t="n">
        <f aca="true">$B$16+NORMINV(RAND(),0,SQRT($B$13*($B$7+$B$8^2))*$B$9*(1-$B$10))</f>
        <v>4732.47161028459</v>
      </c>
      <c r="P320" s="14" t="n">
        <f aca="true">$B$16+NORMINV(RAND(),0,SQRT($B$13*($B$7+$B$8^2))*$B$9*(1-$B$10))</f>
        <v>4418.21766673801</v>
      </c>
      <c r="Q320" s="14" t="n">
        <f aca="true">$B$16+NORMINV(RAND(),0,SQRT($B$13*($B$7+$B$8^2))*$B$9*(1-$B$10))</f>
        <v>4359.29493089314</v>
      </c>
      <c r="R320" s="14" t="n">
        <f aca="false">$B$4-13*($B$5+$B$6)/30-IF($B$11&lt;=13,$B$12,0)+0</f>
        <v>8876.66666666667</v>
      </c>
      <c r="S320" s="14" t="n">
        <f aca="false">$B$4-27*($B$5+$B$6)/30-IF($B$11&lt;=27,$B$12,0)+L320</f>
        <v>10323.9286230998</v>
      </c>
      <c r="T320" s="14" t="n">
        <f aca="false">$B$4-41*($B$5+$B$6)/30-IF($B$11&lt;=41,$B$12,0)+L320+M320</f>
        <v>1080.55367371479</v>
      </c>
      <c r="U320" s="14" t="n">
        <f aca="false">$B$4-55*($B$5+$B$6)/30-IF($B$11&lt;=55,$B$12,0)+L320+M320+N320</f>
        <v>3081.72752058057</v>
      </c>
      <c r="V320" s="14" t="n">
        <f aca="false">$B$4-69*($B$5+$B$6)/30-IF($B$11&lt;=69,$B$12,0)+L320+M320+N320+O320</f>
        <v>5527.53246419848</v>
      </c>
      <c r="W320" s="14" t="n">
        <f aca="false">$B$4-83*($B$5+$B$6)/30-IF($B$11&lt;=83,$B$12,0)+L320+M320+N320+O320+P320</f>
        <v>7659.08346426983</v>
      </c>
      <c r="X320" s="14" t="n">
        <f aca="false">$B$4-90*($B$5+$B$6)/30-IF($B$11&lt;=90,$B$12,0)+L320+M320+N320+O320+P320+Q320</f>
        <v>10875.0450618296</v>
      </c>
      <c r="AA320" s="14" t="n">
        <f aca="false">MIN(R320:X320)</f>
        <v>1080.55367371479</v>
      </c>
    </row>
    <row r="321" customFormat="false" ht="15" hidden="false" customHeight="false" outlineLevel="0" collapsed="false">
      <c r="K321" s="2" t="n">
        <v>316</v>
      </c>
      <c r="L321" s="14" t="n">
        <f aca="true">$B$16+NORMINV(RAND(),0,SQRT($B$13*($B$7+$B$8^2))*$B$9*(1-$B$10))</f>
        <v>3999.44422762932</v>
      </c>
      <c r="M321" s="14" t="n">
        <f aca="true">$B$16+NORMINV(RAND(),0,SQRT($B$13*($B$7+$B$8^2))*$B$9*(1-$B$10))</f>
        <v>3637.44979237398</v>
      </c>
      <c r="N321" s="14" t="n">
        <f aca="true">$B$16+NORMINV(RAND(),0,SQRT($B$13*($B$7+$B$8^2))*$B$9*(1-$B$10))</f>
        <v>3642.71199244702</v>
      </c>
      <c r="O321" s="14" t="n">
        <f aca="true">$B$16+NORMINV(RAND(),0,SQRT($B$13*($B$7+$B$8^2))*$B$9*(1-$B$10))</f>
        <v>3758.49929245011</v>
      </c>
      <c r="P321" s="14" t="n">
        <f aca="true">$B$16+NORMINV(RAND(),0,SQRT($B$13*($B$7+$B$8^2))*$B$9*(1-$B$10))</f>
        <v>3443.3403656857</v>
      </c>
      <c r="Q321" s="14" t="n">
        <f aca="true">$B$16+NORMINV(RAND(),0,SQRT($B$13*($B$7+$B$8^2))*$B$9*(1-$B$10))</f>
        <v>3737.72713333964</v>
      </c>
      <c r="R321" s="14" t="n">
        <f aca="false">$B$4-13*($B$5+$B$6)/30-IF($B$11&lt;=13,$B$12,0)+0</f>
        <v>8876.66666666667</v>
      </c>
      <c r="S321" s="14" t="n">
        <f aca="false">$B$4-27*($B$5+$B$6)/30-IF($B$11&lt;=27,$B$12,0)+L321</f>
        <v>10589.4442276293</v>
      </c>
      <c r="T321" s="14" t="n">
        <f aca="false">$B$4-41*($B$5+$B$6)/30-IF($B$11&lt;=41,$B$12,0)+L321+M321</f>
        <v>755.42735333663</v>
      </c>
      <c r="U321" s="14" t="n">
        <f aca="false">$B$4-55*($B$5+$B$6)/30-IF($B$11&lt;=55,$B$12,0)+L321+M321+N321</f>
        <v>2111.47267911698</v>
      </c>
      <c r="V321" s="14" t="n">
        <f aca="false">$B$4-69*($B$5+$B$6)/30-IF($B$11&lt;=69,$B$12,0)+L321+M321+N321+O321</f>
        <v>3583.30530490042</v>
      </c>
      <c r="W321" s="14" t="n">
        <f aca="false">$B$4-83*($B$5+$B$6)/30-IF($B$11&lt;=83,$B$12,0)+L321+M321+N321+O321+P321</f>
        <v>4739.97900391946</v>
      </c>
      <c r="X321" s="14" t="n">
        <f aca="false">$B$4-90*($B$5+$B$6)/30-IF($B$11&lt;=90,$B$12,0)+L321+M321+N321+O321+P321+Q321</f>
        <v>7334.37280392576</v>
      </c>
      <c r="AA321" s="14" t="n">
        <f aca="false">MIN(R321:X321)</f>
        <v>755.42735333663</v>
      </c>
    </row>
    <row r="322" customFormat="false" ht="15" hidden="false" customHeight="false" outlineLevel="0" collapsed="false">
      <c r="K322" s="2" t="n">
        <v>317</v>
      </c>
      <c r="L322" s="14" t="n">
        <f aca="true">$B$16+NORMINV(RAND(),0,SQRT($B$13*($B$7+$B$8^2))*$B$9*(1-$B$10))</f>
        <v>4740.83624972206</v>
      </c>
      <c r="M322" s="14" t="n">
        <f aca="true">$B$16+NORMINV(RAND(),0,SQRT($B$13*($B$7+$B$8^2))*$B$9*(1-$B$10))</f>
        <v>3577.99600692859</v>
      </c>
      <c r="N322" s="14" t="n">
        <f aca="true">$B$16+NORMINV(RAND(),0,SQRT($B$13*($B$7+$B$8^2))*$B$9*(1-$B$10))</f>
        <v>3868.49480684508</v>
      </c>
      <c r="O322" s="14" t="n">
        <f aca="true">$B$16+NORMINV(RAND(),0,SQRT($B$13*($B$7+$B$8^2))*$B$9*(1-$B$10))</f>
        <v>4360.50467266139</v>
      </c>
      <c r="P322" s="14" t="n">
        <f aca="true">$B$16+NORMINV(RAND(),0,SQRT($B$13*($B$7+$B$8^2))*$B$9*(1-$B$10))</f>
        <v>4320.11859959825</v>
      </c>
      <c r="Q322" s="14" t="n">
        <f aca="true">$B$16+NORMINV(RAND(),0,SQRT($B$13*($B$7+$B$8^2))*$B$9*(1-$B$10))</f>
        <v>4034.27795948804</v>
      </c>
      <c r="R322" s="14" t="n">
        <f aca="false">$B$4-13*($B$5+$B$6)/30-IF($B$11&lt;=13,$B$12,0)+0</f>
        <v>8876.66666666667</v>
      </c>
      <c r="S322" s="14" t="n">
        <f aca="false">$B$4-27*($B$5+$B$6)/30-IF($B$11&lt;=27,$B$12,0)+L322</f>
        <v>11330.8362497221</v>
      </c>
      <c r="T322" s="14" t="n">
        <f aca="false">$B$4-41*($B$5+$B$6)/30-IF($B$11&lt;=41,$B$12,0)+L322+M322</f>
        <v>1437.36558998399</v>
      </c>
      <c r="U322" s="14" t="n">
        <f aca="false">$B$4-55*($B$5+$B$6)/30-IF($B$11&lt;=55,$B$12,0)+L322+M322+N322</f>
        <v>3019.1937301624</v>
      </c>
      <c r="V322" s="14" t="n">
        <f aca="false">$B$4-69*($B$5+$B$6)/30-IF($B$11&lt;=69,$B$12,0)+L322+M322+N322+O322</f>
        <v>5093.03173615713</v>
      </c>
      <c r="W322" s="14" t="n">
        <f aca="false">$B$4-83*($B$5+$B$6)/30-IF($B$11&lt;=83,$B$12,0)+L322+M322+N322+O322+P322</f>
        <v>7126.48366908871</v>
      </c>
      <c r="X322" s="14" t="n">
        <f aca="false">$B$4-90*($B$5+$B$6)/30-IF($B$11&lt;=90,$B$12,0)+L322+M322+N322+O322+P322+Q322</f>
        <v>10017.4282952434</v>
      </c>
      <c r="AA322" s="14" t="n">
        <f aca="false">MIN(R322:X322)</f>
        <v>1437.36558998399</v>
      </c>
    </row>
    <row r="323" customFormat="false" ht="15" hidden="false" customHeight="false" outlineLevel="0" collapsed="false">
      <c r="K323" s="2" t="n">
        <v>318</v>
      </c>
      <c r="L323" s="14" t="n">
        <f aca="true">$B$16+NORMINV(RAND(),0,SQRT($B$13*($B$7+$B$8^2))*$B$9*(1-$B$10))</f>
        <v>3711.73170138161</v>
      </c>
      <c r="M323" s="14" t="n">
        <f aca="true">$B$16+NORMINV(RAND(),0,SQRT($B$13*($B$7+$B$8^2))*$B$9*(1-$B$10))</f>
        <v>3830.28991500063</v>
      </c>
      <c r="N323" s="14" t="n">
        <f aca="true">$B$16+NORMINV(RAND(),0,SQRT($B$13*($B$7+$B$8^2))*$B$9*(1-$B$10))</f>
        <v>4226.12332938019</v>
      </c>
      <c r="O323" s="14" t="n">
        <f aca="true">$B$16+NORMINV(RAND(),0,SQRT($B$13*($B$7+$B$8^2))*$B$9*(1-$B$10))</f>
        <v>4017.62969118127</v>
      </c>
      <c r="P323" s="14" t="n">
        <f aca="true">$B$16+NORMINV(RAND(),0,SQRT($B$13*($B$7+$B$8^2))*$B$9*(1-$B$10))</f>
        <v>3817.88835426982</v>
      </c>
      <c r="Q323" s="14" t="n">
        <f aca="true">$B$16+NORMINV(RAND(),0,SQRT($B$13*($B$7+$B$8^2))*$B$9*(1-$B$10))</f>
        <v>3589.22724000696</v>
      </c>
      <c r="R323" s="14" t="n">
        <f aca="false">$B$4-13*($B$5+$B$6)/30-IF($B$11&lt;=13,$B$12,0)+0</f>
        <v>8876.66666666667</v>
      </c>
      <c r="S323" s="14" t="n">
        <f aca="false">$B$4-27*($B$5+$B$6)/30-IF($B$11&lt;=27,$B$12,0)+L323</f>
        <v>10301.7317013816</v>
      </c>
      <c r="T323" s="14" t="n">
        <f aca="false">$B$4-41*($B$5+$B$6)/30-IF($B$11&lt;=41,$B$12,0)+L323+M323</f>
        <v>660.554949715564</v>
      </c>
      <c r="U323" s="14" t="n">
        <f aca="false">$B$4-55*($B$5+$B$6)/30-IF($B$11&lt;=55,$B$12,0)+L323+M323+N323</f>
        <v>2600.01161242908</v>
      </c>
      <c r="V323" s="14" t="n">
        <f aca="false">$B$4-69*($B$5+$B$6)/30-IF($B$11&lt;=69,$B$12,0)+L323+M323+N323+O323</f>
        <v>4330.97463694369</v>
      </c>
      <c r="W323" s="14" t="n">
        <f aca="false">$B$4-83*($B$5+$B$6)/30-IF($B$11&lt;=83,$B$12,0)+L323+M323+N323+O323+P323</f>
        <v>5862.19632454684</v>
      </c>
      <c r="X323" s="14" t="n">
        <f aca="false">$B$4-90*($B$5+$B$6)/30-IF($B$11&lt;=90,$B$12,0)+L323+M323+N323+O323+P323+Q323</f>
        <v>8308.09023122047</v>
      </c>
      <c r="AA323" s="14" t="n">
        <f aca="false">MIN(R323:X323)</f>
        <v>660.554949715564</v>
      </c>
    </row>
    <row r="324" customFormat="false" ht="15" hidden="false" customHeight="false" outlineLevel="0" collapsed="false">
      <c r="K324" s="2" t="n">
        <v>319</v>
      </c>
      <c r="L324" s="14" t="n">
        <f aca="true">$B$16+NORMINV(RAND(),0,SQRT($B$13*($B$7+$B$8^2))*$B$9*(1-$B$10))</f>
        <v>3816.39818835136</v>
      </c>
      <c r="M324" s="14" t="n">
        <f aca="true">$B$16+NORMINV(RAND(),0,SQRT($B$13*($B$7+$B$8^2))*$B$9*(1-$B$10))</f>
        <v>4056.98611751273</v>
      </c>
      <c r="N324" s="14" t="n">
        <f aca="true">$B$16+NORMINV(RAND(),0,SQRT($B$13*($B$7+$B$8^2))*$B$9*(1-$B$10))</f>
        <v>3194.97916360015</v>
      </c>
      <c r="O324" s="14" t="n">
        <f aca="true">$B$16+NORMINV(RAND(),0,SQRT($B$13*($B$7+$B$8^2))*$B$9*(1-$B$10))</f>
        <v>4105.32293822034</v>
      </c>
      <c r="P324" s="14" t="n">
        <f aca="true">$B$16+NORMINV(RAND(),0,SQRT($B$13*($B$7+$B$8^2))*$B$9*(1-$B$10))</f>
        <v>4328.96136446739</v>
      </c>
      <c r="Q324" s="14" t="n">
        <f aca="true">$B$16+NORMINV(RAND(),0,SQRT($B$13*($B$7+$B$8^2))*$B$9*(1-$B$10))</f>
        <v>4256.00983228565</v>
      </c>
      <c r="R324" s="14" t="n">
        <f aca="false">$B$4-13*($B$5+$B$6)/30-IF($B$11&lt;=13,$B$12,0)+0</f>
        <v>8876.66666666667</v>
      </c>
      <c r="S324" s="14" t="n">
        <f aca="false">$B$4-27*($B$5+$B$6)/30-IF($B$11&lt;=27,$B$12,0)+L324</f>
        <v>10406.3981883514</v>
      </c>
      <c r="T324" s="14" t="n">
        <f aca="false">$B$4-41*($B$5+$B$6)/30-IF($B$11&lt;=41,$B$12,0)+L324+M324</f>
        <v>991.917639197419</v>
      </c>
      <c r="U324" s="14" t="n">
        <f aca="false">$B$4-55*($B$5+$B$6)/30-IF($B$11&lt;=55,$B$12,0)+L324+M324+N324</f>
        <v>1900.23013613091</v>
      </c>
      <c r="V324" s="14" t="n">
        <f aca="false">$B$4-69*($B$5+$B$6)/30-IF($B$11&lt;=69,$B$12,0)+L324+M324+N324+O324</f>
        <v>3718.88640768458</v>
      </c>
      <c r="W324" s="14" t="n">
        <f aca="false">$B$4-83*($B$5+$B$6)/30-IF($B$11&lt;=83,$B$12,0)+L324+M324+N324+O324+P324</f>
        <v>5761.1811054853</v>
      </c>
      <c r="X324" s="14" t="n">
        <f aca="false">$B$4-90*($B$5+$B$6)/30-IF($B$11&lt;=90,$B$12,0)+L324+M324+N324+O324+P324+Q324</f>
        <v>8873.85760443762</v>
      </c>
      <c r="AA324" s="14" t="n">
        <f aca="false">MIN(R324:X324)</f>
        <v>991.917639197419</v>
      </c>
    </row>
    <row r="325" customFormat="false" ht="15" hidden="false" customHeight="false" outlineLevel="0" collapsed="false">
      <c r="K325" s="2" t="n">
        <v>320</v>
      </c>
      <c r="L325" s="14" t="n">
        <f aca="true">$B$16+NORMINV(RAND(),0,SQRT($B$13*($B$7+$B$8^2))*$B$9*(1-$B$10))</f>
        <v>3626.6022526408</v>
      </c>
      <c r="M325" s="14" t="n">
        <f aca="true">$B$16+NORMINV(RAND(),0,SQRT($B$13*($B$7+$B$8^2))*$B$9*(1-$B$10))</f>
        <v>4216.46230496235</v>
      </c>
      <c r="N325" s="14" t="n">
        <f aca="true">$B$16+NORMINV(RAND(),0,SQRT($B$13*($B$7+$B$8^2))*$B$9*(1-$B$10))</f>
        <v>4396.35126871315</v>
      </c>
      <c r="O325" s="14" t="n">
        <f aca="true">$B$16+NORMINV(RAND(),0,SQRT($B$13*($B$7+$B$8^2))*$B$9*(1-$B$10))</f>
        <v>4212.10993880531</v>
      </c>
      <c r="P325" s="14" t="n">
        <f aca="true">$B$16+NORMINV(RAND(),0,SQRT($B$13*($B$7+$B$8^2))*$B$9*(1-$B$10))</f>
        <v>4339.72371051473</v>
      </c>
      <c r="Q325" s="14" t="n">
        <f aca="true">$B$16+NORMINV(RAND(),0,SQRT($B$13*($B$7+$B$8^2))*$B$9*(1-$B$10))</f>
        <v>3966.7545251531</v>
      </c>
      <c r="R325" s="14" t="n">
        <f aca="false">$B$4-13*($B$5+$B$6)/30-IF($B$11&lt;=13,$B$12,0)+0</f>
        <v>8876.66666666667</v>
      </c>
      <c r="S325" s="14" t="n">
        <f aca="false">$B$4-27*($B$5+$B$6)/30-IF($B$11&lt;=27,$B$12,0)+L325</f>
        <v>10216.6022526408</v>
      </c>
      <c r="T325" s="14" t="n">
        <f aca="false">$B$4-41*($B$5+$B$6)/30-IF($B$11&lt;=41,$B$12,0)+L325+M325</f>
        <v>961.597890936474</v>
      </c>
      <c r="U325" s="14" t="n">
        <f aca="false">$B$4-55*($B$5+$B$6)/30-IF($B$11&lt;=55,$B$12,0)+L325+M325+N325</f>
        <v>3071.28249298296</v>
      </c>
      <c r="V325" s="14" t="n">
        <f aca="false">$B$4-69*($B$5+$B$6)/30-IF($B$11&lt;=69,$B$12,0)+L325+M325+N325+O325</f>
        <v>4996.72576512161</v>
      </c>
      <c r="W325" s="14" t="n">
        <f aca="false">$B$4-83*($B$5+$B$6)/30-IF($B$11&lt;=83,$B$12,0)+L325+M325+N325+O325+P325</f>
        <v>7049.78280896967</v>
      </c>
      <c r="X325" s="14" t="n">
        <f aca="false">$B$4-90*($B$5+$B$6)/30-IF($B$11&lt;=90,$B$12,0)+L325+M325+N325+O325+P325+Q325</f>
        <v>9873.20400078944</v>
      </c>
      <c r="AA325" s="14" t="n">
        <f aca="false">MIN(R325:X325)</f>
        <v>961.597890936474</v>
      </c>
    </row>
    <row r="326" customFormat="false" ht="15" hidden="false" customHeight="false" outlineLevel="0" collapsed="false">
      <c r="K326" s="2" t="n">
        <v>321</v>
      </c>
      <c r="L326" s="14" t="n">
        <f aca="true">$B$16+NORMINV(RAND(),0,SQRT($B$13*($B$7+$B$8^2))*$B$9*(1-$B$10))</f>
        <v>3934.24181452158</v>
      </c>
      <c r="M326" s="14" t="n">
        <f aca="true">$B$16+NORMINV(RAND(),0,SQRT($B$13*($B$7+$B$8^2))*$B$9*(1-$B$10))</f>
        <v>4208.83563945726</v>
      </c>
      <c r="N326" s="14" t="n">
        <f aca="true">$B$16+NORMINV(RAND(),0,SQRT($B$13*($B$7+$B$8^2))*$B$9*(1-$B$10))</f>
        <v>4257.64654360859</v>
      </c>
      <c r="O326" s="14" t="n">
        <f aca="true">$B$16+NORMINV(RAND(),0,SQRT($B$13*($B$7+$B$8^2))*$B$9*(1-$B$10))</f>
        <v>4272.84686760013</v>
      </c>
      <c r="P326" s="14" t="n">
        <f aca="true">$B$16+NORMINV(RAND(),0,SQRT($B$13*($B$7+$B$8^2))*$B$9*(1-$B$10))</f>
        <v>3766.80201719184</v>
      </c>
      <c r="Q326" s="14" t="n">
        <f aca="true">$B$16+NORMINV(RAND(),0,SQRT($B$13*($B$7+$B$8^2))*$B$9*(1-$B$10))</f>
        <v>4200.83523890329</v>
      </c>
      <c r="R326" s="14" t="n">
        <f aca="false">$B$4-13*($B$5+$B$6)/30-IF($B$11&lt;=13,$B$12,0)+0</f>
        <v>8876.66666666667</v>
      </c>
      <c r="S326" s="14" t="n">
        <f aca="false">$B$4-27*($B$5+$B$6)/30-IF($B$11&lt;=27,$B$12,0)+L326</f>
        <v>10524.2418145216</v>
      </c>
      <c r="T326" s="14" t="n">
        <f aca="false">$B$4-41*($B$5+$B$6)/30-IF($B$11&lt;=41,$B$12,0)+L326+M326</f>
        <v>1261.61078731217</v>
      </c>
      <c r="U326" s="14" t="n">
        <f aca="false">$B$4-55*($B$5+$B$6)/30-IF($B$11&lt;=55,$B$12,0)+L326+M326+N326</f>
        <v>3232.59066425409</v>
      </c>
      <c r="V326" s="14" t="n">
        <f aca="false">$B$4-69*($B$5+$B$6)/30-IF($B$11&lt;=69,$B$12,0)+L326+M326+N326+O326</f>
        <v>5218.77086518755</v>
      </c>
      <c r="W326" s="14" t="n">
        <f aca="false">$B$4-83*($B$5+$B$6)/30-IF($B$11&lt;=83,$B$12,0)+L326+M326+N326+O326+P326</f>
        <v>6698.90621571273</v>
      </c>
      <c r="X326" s="14" t="n">
        <f aca="false">$B$4-90*($B$5+$B$6)/30-IF($B$11&lt;=90,$B$12,0)+L326+M326+N326+O326+P326+Q326</f>
        <v>9756.40812128268</v>
      </c>
      <c r="AA326" s="14" t="n">
        <f aca="false">MIN(R326:X326)</f>
        <v>1261.61078731217</v>
      </c>
    </row>
    <row r="327" customFormat="false" ht="15" hidden="false" customHeight="false" outlineLevel="0" collapsed="false">
      <c r="K327" s="2" t="n">
        <v>322</v>
      </c>
      <c r="L327" s="14" t="n">
        <f aca="true">$B$16+NORMINV(RAND(),0,SQRT($B$13*($B$7+$B$8^2))*$B$9*(1-$B$10))</f>
        <v>3840.6001979868</v>
      </c>
      <c r="M327" s="14" t="n">
        <f aca="true">$B$16+NORMINV(RAND(),0,SQRT($B$13*($B$7+$B$8^2))*$B$9*(1-$B$10))</f>
        <v>3752.30632249662</v>
      </c>
      <c r="N327" s="14" t="n">
        <f aca="true">$B$16+NORMINV(RAND(),0,SQRT($B$13*($B$7+$B$8^2))*$B$9*(1-$B$10))</f>
        <v>4142.93276670444</v>
      </c>
      <c r="O327" s="14" t="n">
        <f aca="true">$B$16+NORMINV(RAND(),0,SQRT($B$13*($B$7+$B$8^2))*$B$9*(1-$B$10))</f>
        <v>3844.27230283214</v>
      </c>
      <c r="P327" s="14" t="n">
        <f aca="true">$B$16+NORMINV(RAND(),0,SQRT($B$13*($B$7+$B$8^2))*$B$9*(1-$B$10))</f>
        <v>4290.99972892042</v>
      </c>
      <c r="Q327" s="14" t="n">
        <f aca="true">$B$16+NORMINV(RAND(),0,SQRT($B$13*($B$7+$B$8^2))*$B$9*(1-$B$10))</f>
        <v>3469.26848666646</v>
      </c>
      <c r="R327" s="14" t="n">
        <f aca="false">$B$4-13*($B$5+$B$6)/30-IF($B$11&lt;=13,$B$12,0)+0</f>
        <v>8876.66666666667</v>
      </c>
      <c r="S327" s="14" t="n">
        <f aca="false">$B$4-27*($B$5+$B$6)/30-IF($B$11&lt;=27,$B$12,0)+L327</f>
        <v>10430.6001979868</v>
      </c>
      <c r="T327" s="14" t="n">
        <f aca="false">$B$4-41*($B$5+$B$6)/30-IF($B$11&lt;=41,$B$12,0)+L327+M327</f>
        <v>711.439853816748</v>
      </c>
      <c r="U327" s="14" t="n">
        <f aca="false">$B$4-55*($B$5+$B$6)/30-IF($B$11&lt;=55,$B$12,0)+L327+M327+N327</f>
        <v>2567.70595385452</v>
      </c>
      <c r="V327" s="14" t="n">
        <f aca="false">$B$4-69*($B$5+$B$6)/30-IF($B$11&lt;=69,$B$12,0)+L327+M327+N327+O327</f>
        <v>4125.31159001999</v>
      </c>
      <c r="W327" s="14" t="n">
        <f aca="false">$B$4-83*($B$5+$B$6)/30-IF($B$11&lt;=83,$B$12,0)+L327+M327+N327+O327+P327</f>
        <v>6129.64465227375</v>
      </c>
      <c r="X327" s="14" t="n">
        <f aca="false">$B$4-90*($B$5+$B$6)/30-IF($B$11&lt;=90,$B$12,0)+L327+M327+N327+O327+P327+Q327</f>
        <v>8455.57980560687</v>
      </c>
      <c r="AA327" s="14" t="n">
        <f aca="false">MIN(R327:X327)</f>
        <v>711.439853816748</v>
      </c>
    </row>
    <row r="328" customFormat="false" ht="15" hidden="false" customHeight="false" outlineLevel="0" collapsed="false">
      <c r="K328" s="2" t="n">
        <v>323</v>
      </c>
      <c r="L328" s="14" t="n">
        <f aca="true">$B$16+NORMINV(RAND(),0,SQRT($B$13*($B$7+$B$8^2))*$B$9*(1-$B$10))</f>
        <v>3963.07199949729</v>
      </c>
      <c r="M328" s="14" t="n">
        <f aca="true">$B$16+NORMINV(RAND(),0,SQRT($B$13*($B$7+$B$8^2))*$B$9*(1-$B$10))</f>
        <v>3916.42637154621</v>
      </c>
      <c r="N328" s="14" t="n">
        <f aca="true">$B$16+NORMINV(RAND(),0,SQRT($B$13*($B$7+$B$8^2))*$B$9*(1-$B$10))</f>
        <v>4079.1822500619</v>
      </c>
      <c r="O328" s="14" t="n">
        <f aca="true">$B$16+NORMINV(RAND(),0,SQRT($B$13*($B$7+$B$8^2))*$B$9*(1-$B$10))</f>
        <v>3990.39860388195</v>
      </c>
      <c r="P328" s="14" t="n">
        <f aca="true">$B$16+NORMINV(RAND(),0,SQRT($B$13*($B$7+$B$8^2))*$B$9*(1-$B$10))</f>
        <v>4179.77667028109</v>
      </c>
      <c r="Q328" s="14" t="n">
        <f aca="true">$B$16+NORMINV(RAND(),0,SQRT($B$13*($B$7+$B$8^2))*$B$9*(1-$B$10))</f>
        <v>4209.41739554038</v>
      </c>
      <c r="R328" s="14" t="n">
        <f aca="false">$B$4-13*($B$5+$B$6)/30-IF($B$11&lt;=13,$B$12,0)+0</f>
        <v>8876.66666666667</v>
      </c>
      <c r="S328" s="14" t="n">
        <f aca="false">$B$4-27*($B$5+$B$6)/30-IF($B$11&lt;=27,$B$12,0)+L328</f>
        <v>10553.0719994973</v>
      </c>
      <c r="T328" s="14" t="n">
        <f aca="false">$B$4-41*($B$5+$B$6)/30-IF($B$11&lt;=41,$B$12,0)+L328+M328</f>
        <v>998.031704376834</v>
      </c>
      <c r="U328" s="14" t="n">
        <f aca="false">$B$4-55*($B$5+$B$6)/30-IF($B$11&lt;=55,$B$12,0)+L328+M328+N328</f>
        <v>2790.54728777207</v>
      </c>
      <c r="V328" s="14" t="n">
        <f aca="false">$B$4-69*($B$5+$B$6)/30-IF($B$11&lt;=69,$B$12,0)+L328+M328+N328+O328</f>
        <v>4494.27922498735</v>
      </c>
      <c r="W328" s="14" t="n">
        <f aca="false">$B$4-83*($B$5+$B$6)/30-IF($B$11&lt;=83,$B$12,0)+L328+M328+N328+O328+P328</f>
        <v>6387.38922860177</v>
      </c>
      <c r="X328" s="14" t="n">
        <f aca="false">$B$4-90*($B$5+$B$6)/30-IF($B$11&lt;=90,$B$12,0)+L328+M328+N328+O328+P328+Q328</f>
        <v>9453.47329080882</v>
      </c>
      <c r="AA328" s="14" t="n">
        <f aca="false">MIN(R328:X328)</f>
        <v>998.031704376834</v>
      </c>
    </row>
    <row r="329" customFormat="false" ht="15" hidden="false" customHeight="false" outlineLevel="0" collapsed="false">
      <c r="K329" s="2" t="n">
        <v>324</v>
      </c>
      <c r="L329" s="14" t="n">
        <f aca="true">$B$16+NORMINV(RAND(),0,SQRT($B$13*($B$7+$B$8^2))*$B$9*(1-$B$10))</f>
        <v>4056.9712378031</v>
      </c>
      <c r="M329" s="14" t="n">
        <f aca="true">$B$16+NORMINV(RAND(),0,SQRT($B$13*($B$7+$B$8^2))*$B$9*(1-$B$10))</f>
        <v>4666.70326789049</v>
      </c>
      <c r="N329" s="14" t="n">
        <f aca="true">$B$16+NORMINV(RAND(),0,SQRT($B$13*($B$7+$B$8^2))*$B$9*(1-$B$10))</f>
        <v>4206.79043635807</v>
      </c>
      <c r="O329" s="14" t="n">
        <f aca="true">$B$16+NORMINV(RAND(),0,SQRT($B$13*($B$7+$B$8^2))*$B$9*(1-$B$10))</f>
        <v>3582.87715993375</v>
      </c>
      <c r="P329" s="14" t="n">
        <f aca="true">$B$16+NORMINV(RAND(),0,SQRT($B$13*($B$7+$B$8^2))*$B$9*(1-$B$10))</f>
        <v>3833.15267899581</v>
      </c>
      <c r="Q329" s="14" t="n">
        <f aca="true">$B$16+NORMINV(RAND(),0,SQRT($B$13*($B$7+$B$8^2))*$B$9*(1-$B$10))</f>
        <v>3564.60415306399</v>
      </c>
      <c r="R329" s="14" t="n">
        <f aca="false">$B$4-13*($B$5+$B$6)/30-IF($B$11&lt;=13,$B$12,0)+0</f>
        <v>8876.66666666667</v>
      </c>
      <c r="S329" s="14" t="n">
        <f aca="false">$B$4-27*($B$5+$B$6)/30-IF($B$11&lt;=27,$B$12,0)+L329</f>
        <v>10646.9712378031</v>
      </c>
      <c r="T329" s="14" t="n">
        <f aca="false">$B$4-41*($B$5+$B$6)/30-IF($B$11&lt;=41,$B$12,0)+L329+M329</f>
        <v>1842.20783902692</v>
      </c>
      <c r="U329" s="14" t="n">
        <f aca="false">$B$4-55*($B$5+$B$6)/30-IF($B$11&lt;=55,$B$12,0)+L329+M329+N329</f>
        <v>3762.33160871832</v>
      </c>
      <c r="V329" s="14" t="n">
        <f aca="false">$B$4-69*($B$5+$B$6)/30-IF($B$11&lt;=69,$B$12,0)+L329+M329+N329+O329</f>
        <v>5058.54210198541</v>
      </c>
      <c r="W329" s="14" t="n">
        <f aca="false">$B$4-83*($B$5+$B$6)/30-IF($B$11&lt;=83,$B$12,0)+L329+M329+N329+O329+P329</f>
        <v>6605.02811431455</v>
      </c>
      <c r="X329" s="14" t="n">
        <f aca="false">$B$4-90*($B$5+$B$6)/30-IF($B$11&lt;=90,$B$12,0)+L329+M329+N329+O329+P329+Q329</f>
        <v>9026.2989340452</v>
      </c>
      <c r="AA329" s="14" t="n">
        <f aca="false">MIN(R329:X329)</f>
        <v>1842.20783902692</v>
      </c>
    </row>
    <row r="330" customFormat="false" ht="15" hidden="false" customHeight="false" outlineLevel="0" collapsed="false">
      <c r="K330" s="2" t="n">
        <v>325</v>
      </c>
      <c r="L330" s="14" t="n">
        <f aca="true">$B$16+NORMINV(RAND(),0,SQRT($B$13*($B$7+$B$8^2))*$B$9*(1-$B$10))</f>
        <v>4512.95115067322</v>
      </c>
      <c r="M330" s="14" t="n">
        <f aca="true">$B$16+NORMINV(RAND(),0,SQRT($B$13*($B$7+$B$8^2))*$B$9*(1-$B$10))</f>
        <v>4061.45402337564</v>
      </c>
      <c r="N330" s="14" t="n">
        <f aca="true">$B$16+NORMINV(RAND(),0,SQRT($B$13*($B$7+$B$8^2))*$B$9*(1-$B$10))</f>
        <v>4041.66443247089</v>
      </c>
      <c r="O330" s="14" t="n">
        <f aca="true">$B$16+NORMINV(RAND(),0,SQRT($B$13*($B$7+$B$8^2))*$B$9*(1-$B$10))</f>
        <v>4503.70183890797</v>
      </c>
      <c r="P330" s="14" t="n">
        <f aca="true">$B$16+NORMINV(RAND(),0,SQRT($B$13*($B$7+$B$8^2))*$B$9*(1-$B$10))</f>
        <v>4036.36239611373</v>
      </c>
      <c r="Q330" s="14" t="n">
        <f aca="true">$B$16+NORMINV(RAND(),0,SQRT($B$13*($B$7+$B$8^2))*$B$9*(1-$B$10))</f>
        <v>4156.10929508925</v>
      </c>
      <c r="R330" s="14" t="n">
        <f aca="false">$B$4-13*($B$5+$B$6)/30-IF($B$11&lt;=13,$B$12,0)+0</f>
        <v>8876.66666666667</v>
      </c>
      <c r="S330" s="14" t="n">
        <f aca="false">$B$4-27*($B$5+$B$6)/30-IF($B$11&lt;=27,$B$12,0)+L330</f>
        <v>11102.9511506732</v>
      </c>
      <c r="T330" s="14" t="n">
        <f aca="false">$B$4-41*($B$5+$B$6)/30-IF($B$11&lt;=41,$B$12,0)+L330+M330</f>
        <v>1692.93850738219</v>
      </c>
      <c r="U330" s="14" t="n">
        <f aca="false">$B$4-55*($B$5+$B$6)/30-IF($B$11&lt;=55,$B$12,0)+L330+M330+N330</f>
        <v>3447.93627318642</v>
      </c>
      <c r="V330" s="14" t="n">
        <f aca="false">$B$4-69*($B$5+$B$6)/30-IF($B$11&lt;=69,$B$12,0)+L330+M330+N330+O330</f>
        <v>5664.97144542772</v>
      </c>
      <c r="W330" s="14" t="n">
        <f aca="false">$B$4-83*($B$5+$B$6)/30-IF($B$11&lt;=83,$B$12,0)+L330+M330+N330+O330+P330</f>
        <v>7414.66717487478</v>
      </c>
      <c r="X330" s="14" t="n">
        <f aca="false">$B$4-90*($B$5+$B$6)/30-IF($B$11&lt;=90,$B$12,0)+L330+M330+N330+O330+P330+Q330</f>
        <v>10427.4431366307</v>
      </c>
      <c r="AA330" s="14" t="n">
        <f aca="false">MIN(R330:X330)</f>
        <v>1692.93850738219</v>
      </c>
    </row>
    <row r="331" customFormat="false" ht="15" hidden="false" customHeight="false" outlineLevel="0" collapsed="false">
      <c r="K331" s="2" t="n">
        <v>326</v>
      </c>
      <c r="L331" s="14" t="n">
        <f aca="true">$B$16+NORMINV(RAND(),0,SQRT($B$13*($B$7+$B$8^2))*$B$9*(1-$B$10))</f>
        <v>4151.01669778365</v>
      </c>
      <c r="M331" s="14" t="n">
        <f aca="true">$B$16+NORMINV(RAND(),0,SQRT($B$13*($B$7+$B$8^2))*$B$9*(1-$B$10))</f>
        <v>3974.73597548495</v>
      </c>
      <c r="N331" s="14" t="n">
        <f aca="true">$B$16+NORMINV(RAND(),0,SQRT($B$13*($B$7+$B$8^2))*$B$9*(1-$B$10))</f>
        <v>3777.58435969835</v>
      </c>
      <c r="O331" s="14" t="n">
        <f aca="true">$B$16+NORMINV(RAND(),0,SQRT($B$13*($B$7+$B$8^2))*$B$9*(1-$B$10))</f>
        <v>4156.62530644511</v>
      </c>
      <c r="P331" s="14" t="n">
        <f aca="true">$B$16+NORMINV(RAND(),0,SQRT($B$13*($B$7+$B$8^2))*$B$9*(1-$B$10))</f>
        <v>4202.34743044748</v>
      </c>
      <c r="Q331" s="14" t="n">
        <f aca="true">$B$16+NORMINV(RAND(),0,SQRT($B$13*($B$7+$B$8^2))*$B$9*(1-$B$10))</f>
        <v>4157.30715410317</v>
      </c>
      <c r="R331" s="14" t="n">
        <f aca="false">$B$4-13*($B$5+$B$6)/30-IF($B$11&lt;=13,$B$12,0)+0</f>
        <v>8876.66666666667</v>
      </c>
      <c r="S331" s="14" t="n">
        <f aca="false">$B$4-27*($B$5+$B$6)/30-IF($B$11&lt;=27,$B$12,0)+L331</f>
        <v>10741.0166977836</v>
      </c>
      <c r="T331" s="14" t="n">
        <f aca="false">$B$4-41*($B$5+$B$6)/30-IF($B$11&lt;=41,$B$12,0)+L331+M331</f>
        <v>1244.28600660192</v>
      </c>
      <c r="U331" s="14" t="n">
        <f aca="false">$B$4-55*($B$5+$B$6)/30-IF($B$11&lt;=55,$B$12,0)+L331+M331+N331</f>
        <v>2735.2036996336</v>
      </c>
      <c r="V331" s="14" t="n">
        <f aca="false">$B$4-69*($B$5+$B$6)/30-IF($B$11&lt;=69,$B$12,0)+L331+M331+N331+O331</f>
        <v>4605.16233941205</v>
      </c>
      <c r="W331" s="14" t="n">
        <f aca="false">$B$4-83*($B$5+$B$6)/30-IF($B$11&lt;=83,$B$12,0)+L331+M331+N331+O331+P331</f>
        <v>6520.84310319286</v>
      </c>
      <c r="X331" s="14" t="n">
        <f aca="false">$B$4-90*($B$5+$B$6)/30-IF($B$11&lt;=90,$B$12,0)+L331+M331+N331+O331+P331+Q331</f>
        <v>9534.81692396269</v>
      </c>
      <c r="AA331" s="14" t="n">
        <f aca="false">MIN(R331:X331)</f>
        <v>1244.28600660192</v>
      </c>
    </row>
    <row r="332" customFormat="false" ht="15" hidden="false" customHeight="false" outlineLevel="0" collapsed="false">
      <c r="K332" s="2" t="n">
        <v>327</v>
      </c>
      <c r="L332" s="14" t="n">
        <f aca="true">$B$16+NORMINV(RAND(),0,SQRT($B$13*($B$7+$B$8^2))*$B$9*(1-$B$10))</f>
        <v>3979.28822480148</v>
      </c>
      <c r="M332" s="14" t="n">
        <f aca="true">$B$16+NORMINV(RAND(),0,SQRT($B$13*($B$7+$B$8^2))*$B$9*(1-$B$10))</f>
        <v>4256.37255534744</v>
      </c>
      <c r="N332" s="14" t="n">
        <f aca="true">$B$16+NORMINV(RAND(),0,SQRT($B$13*($B$7+$B$8^2))*$B$9*(1-$B$10))</f>
        <v>4114.79842780179</v>
      </c>
      <c r="O332" s="14" t="n">
        <f aca="true">$B$16+NORMINV(RAND(),0,SQRT($B$13*($B$7+$B$8^2))*$B$9*(1-$B$10))</f>
        <v>4039.85576807977</v>
      </c>
      <c r="P332" s="14" t="n">
        <f aca="true">$B$16+NORMINV(RAND(),0,SQRT($B$13*($B$7+$B$8^2))*$B$9*(1-$B$10))</f>
        <v>3899.03663591676</v>
      </c>
      <c r="Q332" s="14" t="n">
        <f aca="true">$B$16+NORMINV(RAND(),0,SQRT($B$13*($B$7+$B$8^2))*$B$9*(1-$B$10))</f>
        <v>4987.74895222644</v>
      </c>
      <c r="R332" s="14" t="n">
        <f aca="false">$B$4-13*($B$5+$B$6)/30-IF($B$11&lt;=13,$B$12,0)+0</f>
        <v>8876.66666666667</v>
      </c>
      <c r="S332" s="14" t="n">
        <f aca="false">$B$4-27*($B$5+$B$6)/30-IF($B$11&lt;=27,$B$12,0)+L332</f>
        <v>10569.2882248015</v>
      </c>
      <c r="T332" s="14" t="n">
        <f aca="false">$B$4-41*($B$5+$B$6)/30-IF($B$11&lt;=41,$B$12,0)+L332+M332</f>
        <v>1354.19411348226</v>
      </c>
      <c r="U332" s="14" t="n">
        <f aca="false">$B$4-55*($B$5+$B$6)/30-IF($B$11&lt;=55,$B$12,0)+L332+M332+N332</f>
        <v>3182.32587461738</v>
      </c>
      <c r="V332" s="14" t="n">
        <f aca="false">$B$4-69*($B$5+$B$6)/30-IF($B$11&lt;=69,$B$12,0)+L332+M332+N332+O332</f>
        <v>4935.51497603048</v>
      </c>
      <c r="W332" s="14" t="n">
        <f aca="false">$B$4-83*($B$5+$B$6)/30-IF($B$11&lt;=83,$B$12,0)+L332+M332+N332+O332+P332</f>
        <v>6547.88494528057</v>
      </c>
      <c r="X332" s="14" t="n">
        <f aca="false">$B$4-90*($B$5+$B$6)/30-IF($B$11&lt;=90,$B$12,0)+L332+M332+N332+O332+P332+Q332</f>
        <v>10392.3005641737</v>
      </c>
      <c r="AA332" s="14" t="n">
        <f aca="false">MIN(R332:X332)</f>
        <v>1354.19411348226</v>
      </c>
    </row>
    <row r="333" customFormat="false" ht="15" hidden="false" customHeight="false" outlineLevel="0" collapsed="false">
      <c r="K333" s="2" t="n">
        <v>328</v>
      </c>
      <c r="L333" s="14" t="n">
        <f aca="true">$B$16+NORMINV(RAND(),0,SQRT($B$13*($B$7+$B$8^2))*$B$9*(1-$B$10))</f>
        <v>4743.91247208852</v>
      </c>
      <c r="M333" s="14" t="n">
        <f aca="true">$B$16+NORMINV(RAND(),0,SQRT($B$13*($B$7+$B$8^2))*$B$9*(1-$B$10))</f>
        <v>4160.1629903936</v>
      </c>
      <c r="N333" s="14" t="n">
        <f aca="true">$B$16+NORMINV(RAND(),0,SQRT($B$13*($B$7+$B$8^2))*$B$9*(1-$B$10))</f>
        <v>4401.40338128634</v>
      </c>
      <c r="O333" s="14" t="n">
        <f aca="true">$B$16+NORMINV(RAND(),0,SQRT($B$13*($B$7+$B$8^2))*$B$9*(1-$B$10))</f>
        <v>3721.20201084295</v>
      </c>
      <c r="P333" s="14" t="n">
        <f aca="true">$B$16+NORMINV(RAND(),0,SQRT($B$13*($B$7+$B$8^2))*$B$9*(1-$B$10))</f>
        <v>4132.45470548305</v>
      </c>
      <c r="Q333" s="14" t="n">
        <f aca="true">$B$16+NORMINV(RAND(),0,SQRT($B$13*($B$7+$B$8^2))*$B$9*(1-$B$10))</f>
        <v>3609.76452450132</v>
      </c>
      <c r="R333" s="14" t="n">
        <f aca="false">$B$4-13*($B$5+$B$6)/30-IF($B$11&lt;=13,$B$12,0)+0</f>
        <v>8876.66666666667</v>
      </c>
      <c r="S333" s="14" t="n">
        <f aca="false">$B$4-27*($B$5+$B$6)/30-IF($B$11&lt;=27,$B$12,0)+L333</f>
        <v>11333.9124720885</v>
      </c>
      <c r="T333" s="14" t="n">
        <f aca="false">$B$4-41*($B$5+$B$6)/30-IF($B$11&lt;=41,$B$12,0)+L333+M333</f>
        <v>2022.60879581545</v>
      </c>
      <c r="U333" s="14" t="n">
        <f aca="false">$B$4-55*($B$5+$B$6)/30-IF($B$11&lt;=55,$B$12,0)+L333+M333+N333</f>
        <v>4137.34551043513</v>
      </c>
      <c r="V333" s="14" t="n">
        <f aca="false">$B$4-69*($B$5+$B$6)/30-IF($B$11&lt;=69,$B$12,0)+L333+M333+N333+O333</f>
        <v>5571.88085461141</v>
      </c>
      <c r="W333" s="14" t="n">
        <f aca="false">$B$4-83*($B$5+$B$6)/30-IF($B$11&lt;=83,$B$12,0)+L333+M333+N333+O333+P333</f>
        <v>7417.66889342779</v>
      </c>
      <c r="X333" s="14" t="n">
        <f aca="false">$B$4-90*($B$5+$B$6)/30-IF($B$11&lt;=90,$B$12,0)+L333+M333+N333+O333+P333+Q333</f>
        <v>9884.10008459578</v>
      </c>
      <c r="AA333" s="14" t="n">
        <f aca="false">MIN(R333:X333)</f>
        <v>2022.60879581545</v>
      </c>
    </row>
    <row r="334" customFormat="false" ht="15" hidden="false" customHeight="false" outlineLevel="0" collapsed="false">
      <c r="K334" s="2" t="n">
        <v>329</v>
      </c>
      <c r="L334" s="14" t="n">
        <f aca="true">$B$16+NORMINV(RAND(),0,SQRT($B$13*($B$7+$B$8^2))*$B$9*(1-$B$10))</f>
        <v>4341.53141772123</v>
      </c>
      <c r="M334" s="14" t="n">
        <f aca="true">$B$16+NORMINV(RAND(),0,SQRT($B$13*($B$7+$B$8^2))*$B$9*(1-$B$10))</f>
        <v>4386.77444702439</v>
      </c>
      <c r="N334" s="14" t="n">
        <f aca="true">$B$16+NORMINV(RAND(),0,SQRT($B$13*($B$7+$B$8^2))*$B$9*(1-$B$10))</f>
        <v>4055.94041590872</v>
      </c>
      <c r="O334" s="14" t="n">
        <f aca="true">$B$16+NORMINV(RAND(),0,SQRT($B$13*($B$7+$B$8^2))*$B$9*(1-$B$10))</f>
        <v>3742.95212571844</v>
      </c>
      <c r="P334" s="14" t="n">
        <f aca="true">$B$16+NORMINV(RAND(),0,SQRT($B$13*($B$7+$B$8^2))*$B$9*(1-$B$10))</f>
        <v>4180.77071048475</v>
      </c>
      <c r="Q334" s="14" t="n">
        <f aca="true">$B$16+NORMINV(RAND(),0,SQRT($B$13*($B$7+$B$8^2))*$B$9*(1-$B$10))</f>
        <v>4456.81132886585</v>
      </c>
      <c r="R334" s="14" t="n">
        <f aca="false">$B$4-13*($B$5+$B$6)/30-IF($B$11&lt;=13,$B$12,0)+0</f>
        <v>8876.66666666667</v>
      </c>
      <c r="S334" s="14" t="n">
        <f aca="false">$B$4-27*($B$5+$B$6)/30-IF($B$11&lt;=27,$B$12,0)+L334</f>
        <v>10931.5314177212</v>
      </c>
      <c r="T334" s="14" t="n">
        <f aca="false">$B$4-41*($B$5+$B$6)/30-IF($B$11&lt;=41,$B$12,0)+L334+M334</f>
        <v>1846.83919807896</v>
      </c>
      <c r="U334" s="14" t="n">
        <f aca="false">$B$4-55*($B$5+$B$6)/30-IF($B$11&lt;=55,$B$12,0)+L334+M334+N334</f>
        <v>3616.11294732101</v>
      </c>
      <c r="V334" s="14" t="n">
        <f aca="false">$B$4-69*($B$5+$B$6)/30-IF($B$11&lt;=69,$B$12,0)+L334+M334+N334+O334</f>
        <v>5072.39840637278</v>
      </c>
      <c r="W334" s="14" t="n">
        <f aca="false">$B$4-83*($B$5+$B$6)/30-IF($B$11&lt;=83,$B$12,0)+L334+M334+N334+O334+P334</f>
        <v>6966.50245019087</v>
      </c>
      <c r="X334" s="14" t="n">
        <f aca="false">$B$4-90*($B$5+$B$6)/30-IF($B$11&lt;=90,$B$12,0)+L334+M334+N334+O334+P334+Q334</f>
        <v>10279.9804457234</v>
      </c>
      <c r="AA334" s="14" t="n">
        <f aca="false">MIN(R334:X334)</f>
        <v>1846.83919807896</v>
      </c>
    </row>
    <row r="335" customFormat="false" ht="15" hidden="false" customHeight="false" outlineLevel="0" collapsed="false">
      <c r="K335" s="2" t="n">
        <v>330</v>
      </c>
      <c r="L335" s="14" t="n">
        <f aca="true">$B$16+NORMINV(RAND(),0,SQRT($B$13*($B$7+$B$8^2))*$B$9*(1-$B$10))</f>
        <v>4432.51665657687</v>
      </c>
      <c r="M335" s="14" t="n">
        <f aca="true">$B$16+NORMINV(RAND(),0,SQRT($B$13*($B$7+$B$8^2))*$B$9*(1-$B$10))</f>
        <v>4086.71033587453</v>
      </c>
      <c r="N335" s="14" t="n">
        <f aca="true">$B$16+NORMINV(RAND(),0,SQRT($B$13*($B$7+$B$8^2))*$B$9*(1-$B$10))</f>
        <v>4359.23873795541</v>
      </c>
      <c r="O335" s="14" t="n">
        <f aca="true">$B$16+NORMINV(RAND(),0,SQRT($B$13*($B$7+$B$8^2))*$B$9*(1-$B$10))</f>
        <v>4170.40168399768</v>
      </c>
      <c r="P335" s="14" t="n">
        <f aca="true">$B$16+NORMINV(RAND(),0,SQRT($B$13*($B$7+$B$8^2))*$B$9*(1-$B$10))</f>
        <v>4497.59964222251</v>
      </c>
      <c r="Q335" s="14" t="n">
        <f aca="true">$B$16+NORMINV(RAND(),0,SQRT($B$13*($B$7+$B$8^2))*$B$9*(1-$B$10))</f>
        <v>4419.95574188359</v>
      </c>
      <c r="R335" s="14" t="n">
        <f aca="false">$B$4-13*($B$5+$B$6)/30-IF($B$11&lt;=13,$B$12,0)+0</f>
        <v>8876.66666666667</v>
      </c>
      <c r="S335" s="14" t="n">
        <f aca="false">$B$4-27*($B$5+$B$6)/30-IF($B$11&lt;=27,$B$12,0)+L335</f>
        <v>11022.5166565769</v>
      </c>
      <c r="T335" s="14" t="n">
        <f aca="false">$B$4-41*($B$5+$B$6)/30-IF($B$11&lt;=41,$B$12,0)+L335+M335</f>
        <v>1637.76032578473</v>
      </c>
      <c r="U335" s="14" t="n">
        <f aca="false">$B$4-55*($B$5+$B$6)/30-IF($B$11&lt;=55,$B$12,0)+L335+M335+N335</f>
        <v>3710.33239707347</v>
      </c>
      <c r="V335" s="14" t="n">
        <f aca="false">$B$4-69*($B$5+$B$6)/30-IF($B$11&lt;=69,$B$12,0)+L335+M335+N335+O335</f>
        <v>5594.06741440449</v>
      </c>
      <c r="W335" s="14" t="n">
        <f aca="false">$B$4-83*($B$5+$B$6)/30-IF($B$11&lt;=83,$B$12,0)+L335+M335+N335+O335+P335</f>
        <v>7805.00038996033</v>
      </c>
      <c r="X335" s="14" t="n">
        <f aca="false">$B$4-90*($B$5+$B$6)/30-IF($B$11&lt;=90,$B$12,0)+L335+M335+N335+O335+P335+Q335</f>
        <v>11081.6227985106</v>
      </c>
      <c r="AA335" s="14" t="n">
        <f aca="false">MIN(R335:X335)</f>
        <v>1637.76032578473</v>
      </c>
    </row>
    <row r="336" customFormat="false" ht="15" hidden="false" customHeight="false" outlineLevel="0" collapsed="false">
      <c r="K336" s="2" t="n">
        <v>331</v>
      </c>
      <c r="L336" s="14" t="n">
        <f aca="true">$B$16+NORMINV(RAND(),0,SQRT($B$13*($B$7+$B$8^2))*$B$9*(1-$B$10))</f>
        <v>3776.49191274042</v>
      </c>
      <c r="M336" s="14" t="n">
        <f aca="true">$B$16+NORMINV(RAND(),0,SQRT($B$13*($B$7+$B$8^2))*$B$9*(1-$B$10))</f>
        <v>4012.68217843359</v>
      </c>
      <c r="N336" s="14" t="n">
        <f aca="true">$B$16+NORMINV(RAND(),0,SQRT($B$13*($B$7+$B$8^2))*$B$9*(1-$B$10))</f>
        <v>3699.32007531214</v>
      </c>
      <c r="O336" s="14" t="n">
        <f aca="true">$B$16+NORMINV(RAND(),0,SQRT($B$13*($B$7+$B$8^2))*$B$9*(1-$B$10))</f>
        <v>3835.41481093592</v>
      </c>
      <c r="P336" s="14" t="n">
        <f aca="true">$B$16+NORMINV(RAND(),0,SQRT($B$13*($B$7+$B$8^2))*$B$9*(1-$B$10))</f>
        <v>3692.71506363531</v>
      </c>
      <c r="Q336" s="14" t="n">
        <f aca="true">$B$16+NORMINV(RAND(),0,SQRT($B$13*($B$7+$B$8^2))*$B$9*(1-$B$10))</f>
        <v>4532.75966344631</v>
      </c>
      <c r="R336" s="14" t="n">
        <f aca="false">$B$4-13*($B$5+$B$6)/30-IF($B$11&lt;=13,$B$12,0)+0</f>
        <v>8876.66666666667</v>
      </c>
      <c r="S336" s="14" t="n">
        <f aca="false">$B$4-27*($B$5+$B$6)/30-IF($B$11&lt;=27,$B$12,0)+L336</f>
        <v>10366.4919127404</v>
      </c>
      <c r="T336" s="14" t="n">
        <f aca="false">$B$4-41*($B$5+$B$6)/30-IF($B$11&lt;=41,$B$12,0)+L336+M336</f>
        <v>907.707424507343</v>
      </c>
      <c r="U336" s="14" t="n">
        <f aca="false">$B$4-55*($B$5+$B$6)/30-IF($B$11&lt;=55,$B$12,0)+L336+M336+N336</f>
        <v>2320.36083315281</v>
      </c>
      <c r="V336" s="14" t="n">
        <f aca="false">$B$4-69*($B$5+$B$6)/30-IF($B$11&lt;=69,$B$12,0)+L336+M336+N336+O336</f>
        <v>3869.10897742207</v>
      </c>
      <c r="W336" s="14" t="n">
        <f aca="false">$B$4-83*($B$5+$B$6)/30-IF($B$11&lt;=83,$B$12,0)+L336+M336+N336+O336+P336</f>
        <v>5275.15737439071</v>
      </c>
      <c r="X336" s="14" t="n">
        <f aca="false">$B$4-90*($B$5+$B$6)/30-IF($B$11&lt;=90,$B$12,0)+L336+M336+N336+O336+P336+Q336</f>
        <v>8664.58370450369</v>
      </c>
      <c r="AA336" s="14" t="n">
        <f aca="false">MIN(R336:X336)</f>
        <v>907.707424507343</v>
      </c>
    </row>
    <row r="337" customFormat="false" ht="15" hidden="false" customHeight="false" outlineLevel="0" collapsed="false">
      <c r="K337" s="2" t="n">
        <v>332</v>
      </c>
      <c r="L337" s="14" t="n">
        <f aca="true">$B$16+NORMINV(RAND(),0,SQRT($B$13*($B$7+$B$8^2))*$B$9*(1-$B$10))</f>
        <v>4314.79779310076</v>
      </c>
      <c r="M337" s="14" t="n">
        <f aca="true">$B$16+NORMINV(RAND(),0,SQRT($B$13*($B$7+$B$8^2))*$B$9*(1-$B$10))</f>
        <v>4207.38733293513</v>
      </c>
      <c r="N337" s="14" t="n">
        <f aca="true">$B$16+NORMINV(RAND(),0,SQRT($B$13*($B$7+$B$8^2))*$B$9*(1-$B$10))</f>
        <v>4189.9923111454</v>
      </c>
      <c r="O337" s="14" t="n">
        <f aca="true">$B$16+NORMINV(RAND(),0,SQRT($B$13*($B$7+$B$8^2))*$B$9*(1-$B$10))</f>
        <v>4417.75961166802</v>
      </c>
      <c r="P337" s="14" t="n">
        <f aca="true">$B$16+NORMINV(RAND(),0,SQRT($B$13*($B$7+$B$8^2))*$B$9*(1-$B$10))</f>
        <v>3739.48232912903</v>
      </c>
      <c r="Q337" s="14" t="n">
        <f aca="true">$B$16+NORMINV(RAND(),0,SQRT($B$13*($B$7+$B$8^2))*$B$9*(1-$B$10))</f>
        <v>3862.21040901913</v>
      </c>
      <c r="R337" s="14" t="n">
        <f aca="false">$B$4-13*($B$5+$B$6)/30-IF($B$11&lt;=13,$B$12,0)+0</f>
        <v>8876.66666666667</v>
      </c>
      <c r="S337" s="14" t="n">
        <f aca="false">$B$4-27*($B$5+$B$6)/30-IF($B$11&lt;=27,$B$12,0)+L337</f>
        <v>10904.7977931008</v>
      </c>
      <c r="T337" s="14" t="n">
        <f aca="false">$B$4-41*($B$5+$B$6)/30-IF($B$11&lt;=41,$B$12,0)+L337+M337</f>
        <v>1640.71845936922</v>
      </c>
      <c r="U337" s="14" t="n">
        <f aca="false">$B$4-55*($B$5+$B$6)/30-IF($B$11&lt;=55,$B$12,0)+L337+M337+N337</f>
        <v>3544.04410384795</v>
      </c>
      <c r="V337" s="14" t="n">
        <f aca="false">$B$4-69*($B$5+$B$6)/30-IF($B$11&lt;=69,$B$12,0)+L337+M337+N337+O337</f>
        <v>5675.1370488493</v>
      </c>
      <c r="W337" s="14" t="n">
        <f aca="false">$B$4-83*($B$5+$B$6)/30-IF($B$11&lt;=83,$B$12,0)+L337+M337+N337+O337+P337</f>
        <v>7127.95271131167</v>
      </c>
      <c r="X337" s="14" t="n">
        <f aca="false">$B$4-90*($B$5+$B$6)/30-IF($B$11&lt;=90,$B$12,0)+L337+M337+N337+O337+P337+Q337</f>
        <v>9846.82978699746</v>
      </c>
      <c r="AA337" s="14" t="n">
        <f aca="false">MIN(R337:X337)</f>
        <v>1640.71845936922</v>
      </c>
    </row>
    <row r="338" customFormat="false" ht="15" hidden="false" customHeight="false" outlineLevel="0" collapsed="false">
      <c r="K338" s="2" t="n">
        <v>333</v>
      </c>
      <c r="L338" s="14" t="n">
        <f aca="true">$B$16+NORMINV(RAND(),0,SQRT($B$13*($B$7+$B$8^2))*$B$9*(1-$B$10))</f>
        <v>4026.63059412834</v>
      </c>
      <c r="M338" s="14" t="n">
        <f aca="true">$B$16+NORMINV(RAND(),0,SQRT($B$13*($B$7+$B$8^2))*$B$9*(1-$B$10))</f>
        <v>4025.80416172916</v>
      </c>
      <c r="N338" s="14" t="n">
        <f aca="true">$B$16+NORMINV(RAND(),0,SQRT($B$13*($B$7+$B$8^2))*$B$9*(1-$B$10))</f>
        <v>4151.72827150836</v>
      </c>
      <c r="O338" s="14" t="n">
        <f aca="true">$B$16+NORMINV(RAND(),0,SQRT($B$13*($B$7+$B$8^2))*$B$9*(1-$B$10))</f>
        <v>4278.25212170382</v>
      </c>
      <c r="P338" s="14" t="n">
        <f aca="true">$B$16+NORMINV(RAND(),0,SQRT($B$13*($B$7+$B$8^2))*$B$9*(1-$B$10))</f>
        <v>4179.15375060721</v>
      </c>
      <c r="Q338" s="14" t="n">
        <f aca="true">$B$16+NORMINV(RAND(),0,SQRT($B$13*($B$7+$B$8^2))*$B$9*(1-$B$10))</f>
        <v>4066.1663645976</v>
      </c>
      <c r="R338" s="14" t="n">
        <f aca="false">$B$4-13*($B$5+$B$6)/30-IF($B$11&lt;=13,$B$12,0)+0</f>
        <v>8876.66666666667</v>
      </c>
      <c r="S338" s="14" t="n">
        <f aca="false">$B$4-27*($B$5+$B$6)/30-IF($B$11&lt;=27,$B$12,0)+L338</f>
        <v>10616.6305941283</v>
      </c>
      <c r="T338" s="14" t="n">
        <f aca="false">$B$4-41*($B$5+$B$6)/30-IF($B$11&lt;=41,$B$12,0)+L338+M338</f>
        <v>1170.96808919082</v>
      </c>
      <c r="U338" s="14" t="n">
        <f aca="false">$B$4-55*($B$5+$B$6)/30-IF($B$11&lt;=55,$B$12,0)+L338+M338+N338</f>
        <v>3036.02969403251</v>
      </c>
      <c r="V338" s="14" t="n">
        <f aca="false">$B$4-69*($B$5+$B$6)/30-IF($B$11&lt;=69,$B$12,0)+L338+M338+N338+O338</f>
        <v>5027.61514906967</v>
      </c>
      <c r="W338" s="14" t="n">
        <f aca="false">$B$4-83*($B$5+$B$6)/30-IF($B$11&lt;=83,$B$12,0)+L338+M338+N338+O338+P338</f>
        <v>6920.10223301022</v>
      </c>
      <c r="X338" s="14" t="n">
        <f aca="false">$B$4-90*($B$5+$B$6)/30-IF($B$11&lt;=90,$B$12,0)+L338+M338+N338+O338+P338+Q338</f>
        <v>9842.93526427448</v>
      </c>
      <c r="AA338" s="14" t="n">
        <f aca="false">MIN(R338:X338)</f>
        <v>1170.96808919082</v>
      </c>
    </row>
    <row r="339" customFormat="false" ht="15" hidden="false" customHeight="false" outlineLevel="0" collapsed="false">
      <c r="K339" s="2" t="n">
        <v>334</v>
      </c>
      <c r="L339" s="14" t="n">
        <f aca="true">$B$16+NORMINV(RAND(),0,SQRT($B$13*($B$7+$B$8^2))*$B$9*(1-$B$10))</f>
        <v>4451.91112241314</v>
      </c>
      <c r="M339" s="14" t="n">
        <f aca="true">$B$16+NORMINV(RAND(),0,SQRT($B$13*($B$7+$B$8^2))*$B$9*(1-$B$10))</f>
        <v>4576.78995374203</v>
      </c>
      <c r="N339" s="14" t="n">
        <f aca="true">$B$16+NORMINV(RAND(),0,SQRT($B$13*($B$7+$B$8^2))*$B$9*(1-$B$10))</f>
        <v>3987.66511724783</v>
      </c>
      <c r="O339" s="14" t="n">
        <f aca="true">$B$16+NORMINV(RAND(),0,SQRT($B$13*($B$7+$B$8^2))*$B$9*(1-$B$10))</f>
        <v>3812.12822683513</v>
      </c>
      <c r="P339" s="14" t="n">
        <f aca="true">$B$16+NORMINV(RAND(),0,SQRT($B$13*($B$7+$B$8^2))*$B$9*(1-$B$10))</f>
        <v>4002.3936445308</v>
      </c>
      <c r="Q339" s="14" t="n">
        <f aca="true">$B$16+NORMINV(RAND(),0,SQRT($B$13*($B$7+$B$8^2))*$B$9*(1-$B$10))</f>
        <v>4532.10921574912</v>
      </c>
      <c r="R339" s="14" t="n">
        <f aca="false">$B$4-13*($B$5+$B$6)/30-IF($B$11&lt;=13,$B$12,0)+0</f>
        <v>8876.66666666667</v>
      </c>
      <c r="S339" s="14" t="n">
        <f aca="false">$B$4-27*($B$5+$B$6)/30-IF($B$11&lt;=27,$B$12,0)+L339</f>
        <v>11041.9111224131</v>
      </c>
      <c r="T339" s="14" t="n">
        <f aca="false">$B$4-41*($B$5+$B$6)/30-IF($B$11&lt;=41,$B$12,0)+L339+M339</f>
        <v>2147.2344094885</v>
      </c>
      <c r="U339" s="14" t="n">
        <f aca="false">$B$4-55*($B$5+$B$6)/30-IF($B$11&lt;=55,$B$12,0)+L339+M339+N339</f>
        <v>3848.23286006966</v>
      </c>
      <c r="V339" s="14" t="n">
        <f aca="false">$B$4-69*($B$5+$B$6)/30-IF($B$11&lt;=69,$B$12,0)+L339+M339+N339+O339</f>
        <v>5373.69442023812</v>
      </c>
      <c r="W339" s="14" t="n">
        <f aca="false">$B$4-83*($B$5+$B$6)/30-IF($B$11&lt;=83,$B$12,0)+L339+M339+N339+O339+P339</f>
        <v>7089.42139810226</v>
      </c>
      <c r="X339" s="14" t="n">
        <f aca="false">$B$4-90*($B$5+$B$6)/30-IF($B$11&lt;=90,$B$12,0)+L339+M339+N339+O339+P339+Q339</f>
        <v>10478.197280518</v>
      </c>
      <c r="AA339" s="14" t="n">
        <f aca="false">MIN(R339:X339)</f>
        <v>2147.2344094885</v>
      </c>
    </row>
    <row r="340" customFormat="false" ht="15" hidden="false" customHeight="false" outlineLevel="0" collapsed="false">
      <c r="K340" s="2" t="n">
        <v>335</v>
      </c>
      <c r="L340" s="14" t="n">
        <f aca="true">$B$16+NORMINV(RAND(),0,SQRT($B$13*($B$7+$B$8^2))*$B$9*(1-$B$10))</f>
        <v>4045.59332079155</v>
      </c>
      <c r="M340" s="14" t="n">
        <f aca="true">$B$16+NORMINV(RAND(),0,SQRT($B$13*($B$7+$B$8^2))*$B$9*(1-$B$10))</f>
        <v>4291.77112827255</v>
      </c>
      <c r="N340" s="14" t="n">
        <f aca="true">$B$16+NORMINV(RAND(),0,SQRT($B$13*($B$7+$B$8^2))*$B$9*(1-$B$10))</f>
        <v>3966.1219722454</v>
      </c>
      <c r="O340" s="14" t="n">
        <f aca="true">$B$16+NORMINV(RAND(),0,SQRT($B$13*($B$7+$B$8^2))*$B$9*(1-$B$10))</f>
        <v>4132.15397415705</v>
      </c>
      <c r="P340" s="14" t="n">
        <f aca="true">$B$16+NORMINV(RAND(),0,SQRT($B$13*($B$7+$B$8^2))*$B$9*(1-$B$10))</f>
        <v>3840.58475880334</v>
      </c>
      <c r="Q340" s="14" t="n">
        <f aca="true">$B$16+NORMINV(RAND(),0,SQRT($B$13*($B$7+$B$8^2))*$B$9*(1-$B$10))</f>
        <v>4041.86052979881</v>
      </c>
      <c r="R340" s="14" t="n">
        <f aca="false">$B$4-13*($B$5+$B$6)/30-IF($B$11&lt;=13,$B$12,0)+0</f>
        <v>8876.66666666667</v>
      </c>
      <c r="S340" s="14" t="n">
        <f aca="false">$B$4-27*($B$5+$B$6)/30-IF($B$11&lt;=27,$B$12,0)+L340</f>
        <v>10635.5933207916</v>
      </c>
      <c r="T340" s="14" t="n">
        <f aca="false">$B$4-41*($B$5+$B$6)/30-IF($B$11&lt;=41,$B$12,0)+L340+M340</f>
        <v>1455.89778239743</v>
      </c>
      <c r="U340" s="14" t="n">
        <f aca="false">$B$4-55*($B$5+$B$6)/30-IF($B$11&lt;=55,$B$12,0)+L340+M340+N340</f>
        <v>3135.35308797616</v>
      </c>
      <c r="V340" s="14" t="n">
        <f aca="false">$B$4-69*($B$5+$B$6)/30-IF($B$11&lt;=69,$B$12,0)+L340+M340+N340+O340</f>
        <v>4980.84039546655</v>
      </c>
      <c r="W340" s="14" t="n">
        <f aca="false">$B$4-83*($B$5+$B$6)/30-IF($B$11&lt;=83,$B$12,0)+L340+M340+N340+O340+P340</f>
        <v>6534.75848760322</v>
      </c>
      <c r="X340" s="14" t="n">
        <f aca="false">$B$4-90*($B$5+$B$6)/30-IF($B$11&lt;=90,$B$12,0)+L340+M340+N340+O340+P340+Q340</f>
        <v>9433.28568406869</v>
      </c>
      <c r="AA340" s="14" t="n">
        <f aca="false">MIN(R340:X340)</f>
        <v>1455.89778239743</v>
      </c>
    </row>
    <row r="341" customFormat="false" ht="15" hidden="false" customHeight="false" outlineLevel="0" collapsed="false">
      <c r="K341" s="2" t="n">
        <v>336</v>
      </c>
      <c r="L341" s="14" t="n">
        <f aca="true">$B$16+NORMINV(RAND(),0,SQRT($B$13*($B$7+$B$8^2))*$B$9*(1-$B$10))</f>
        <v>4486.94843058897</v>
      </c>
      <c r="M341" s="14" t="n">
        <f aca="true">$B$16+NORMINV(RAND(),0,SQRT($B$13*($B$7+$B$8^2))*$B$9*(1-$B$10))</f>
        <v>3667.98509149745</v>
      </c>
      <c r="N341" s="14" t="n">
        <f aca="true">$B$16+NORMINV(RAND(),0,SQRT($B$13*($B$7+$B$8^2))*$B$9*(1-$B$10))</f>
        <v>4471.51035477498</v>
      </c>
      <c r="O341" s="14" t="n">
        <f aca="true">$B$16+NORMINV(RAND(),0,SQRT($B$13*($B$7+$B$8^2))*$B$9*(1-$B$10))</f>
        <v>3952.62747132779</v>
      </c>
      <c r="P341" s="14" t="n">
        <f aca="true">$B$16+NORMINV(RAND(),0,SQRT($B$13*($B$7+$B$8^2))*$B$9*(1-$B$10))</f>
        <v>4400.11404117791</v>
      </c>
      <c r="Q341" s="14" t="n">
        <f aca="true">$B$16+NORMINV(RAND(),0,SQRT($B$13*($B$7+$B$8^2))*$B$9*(1-$B$10))</f>
        <v>3910.3290680897</v>
      </c>
      <c r="R341" s="14" t="n">
        <f aca="false">$B$4-13*($B$5+$B$6)/30-IF($B$11&lt;=13,$B$12,0)+0</f>
        <v>8876.66666666667</v>
      </c>
      <c r="S341" s="14" t="n">
        <f aca="false">$B$4-27*($B$5+$B$6)/30-IF($B$11&lt;=27,$B$12,0)+L341</f>
        <v>11076.948430589</v>
      </c>
      <c r="T341" s="14" t="n">
        <f aca="false">$B$4-41*($B$5+$B$6)/30-IF($B$11&lt;=41,$B$12,0)+L341+M341</f>
        <v>1273.46685541975</v>
      </c>
      <c r="U341" s="14" t="n">
        <f aca="false">$B$4-55*($B$5+$B$6)/30-IF($B$11&lt;=55,$B$12,0)+L341+M341+N341</f>
        <v>3458.31054352806</v>
      </c>
      <c r="V341" s="14" t="n">
        <f aca="false">$B$4-69*($B$5+$B$6)/30-IF($B$11&lt;=69,$B$12,0)+L341+M341+N341+O341</f>
        <v>5124.27134818918</v>
      </c>
      <c r="W341" s="14" t="n">
        <f aca="false">$B$4-83*($B$5+$B$6)/30-IF($B$11&lt;=83,$B$12,0)+L341+M341+N341+O341+P341</f>
        <v>7237.71872270043</v>
      </c>
      <c r="X341" s="14" t="n">
        <f aca="false">$B$4-90*($B$5+$B$6)/30-IF($B$11&lt;=90,$B$12,0)+L341+M341+N341+O341+P341+Q341</f>
        <v>10004.7144574568</v>
      </c>
      <c r="AA341" s="14" t="n">
        <f aca="false">MIN(R341:X341)</f>
        <v>1273.46685541975</v>
      </c>
    </row>
    <row r="342" customFormat="false" ht="15" hidden="false" customHeight="false" outlineLevel="0" collapsed="false">
      <c r="K342" s="2" t="n">
        <v>337</v>
      </c>
      <c r="L342" s="14" t="n">
        <f aca="true">$B$16+NORMINV(RAND(),0,SQRT($B$13*($B$7+$B$8^2))*$B$9*(1-$B$10))</f>
        <v>3750.50417618701</v>
      </c>
      <c r="M342" s="14" t="n">
        <f aca="true">$B$16+NORMINV(RAND(),0,SQRT($B$13*($B$7+$B$8^2))*$B$9*(1-$B$10))</f>
        <v>4561.2519994481</v>
      </c>
      <c r="N342" s="14" t="n">
        <f aca="true">$B$16+NORMINV(RAND(),0,SQRT($B$13*($B$7+$B$8^2))*$B$9*(1-$B$10))</f>
        <v>3831.99875817986</v>
      </c>
      <c r="O342" s="14" t="n">
        <f aca="true">$B$16+NORMINV(RAND(),0,SQRT($B$13*($B$7+$B$8^2))*$B$9*(1-$B$10))</f>
        <v>3926.93621841639</v>
      </c>
      <c r="P342" s="14" t="n">
        <f aca="true">$B$16+NORMINV(RAND(),0,SQRT($B$13*($B$7+$B$8^2))*$B$9*(1-$B$10))</f>
        <v>3959.67725689677</v>
      </c>
      <c r="Q342" s="14" t="n">
        <f aca="true">$B$16+NORMINV(RAND(),0,SQRT($B$13*($B$7+$B$8^2))*$B$9*(1-$B$10))</f>
        <v>4126.46152401977</v>
      </c>
      <c r="R342" s="14" t="n">
        <f aca="false">$B$4-13*($B$5+$B$6)/30-IF($B$11&lt;=13,$B$12,0)+0</f>
        <v>8876.66666666667</v>
      </c>
      <c r="S342" s="14" t="n">
        <f aca="false">$B$4-27*($B$5+$B$6)/30-IF($B$11&lt;=27,$B$12,0)+L342</f>
        <v>10340.504176187</v>
      </c>
      <c r="T342" s="14" t="n">
        <f aca="false">$B$4-41*($B$5+$B$6)/30-IF($B$11&lt;=41,$B$12,0)+L342+M342</f>
        <v>1430.28950896844</v>
      </c>
      <c r="U342" s="14" t="n">
        <f aca="false">$B$4-55*($B$5+$B$6)/30-IF($B$11&lt;=55,$B$12,0)+L342+M342+N342</f>
        <v>2975.62160048163</v>
      </c>
      <c r="V342" s="14" t="n">
        <f aca="false">$B$4-69*($B$5+$B$6)/30-IF($B$11&lt;=69,$B$12,0)+L342+M342+N342+O342</f>
        <v>4615.89115223135</v>
      </c>
      <c r="W342" s="14" t="n">
        <f aca="false">$B$4-83*($B$5+$B$6)/30-IF($B$11&lt;=83,$B$12,0)+L342+M342+N342+O342+P342</f>
        <v>6288.90174246145</v>
      </c>
      <c r="X342" s="14" t="n">
        <f aca="false">$B$4-90*($B$5+$B$6)/30-IF($B$11&lt;=90,$B$12,0)+L342+M342+N342+O342+P342+Q342</f>
        <v>9272.02993314789</v>
      </c>
      <c r="AA342" s="14" t="n">
        <f aca="false">MIN(R342:X342)</f>
        <v>1430.28950896844</v>
      </c>
    </row>
    <row r="343" customFormat="false" ht="15" hidden="false" customHeight="false" outlineLevel="0" collapsed="false">
      <c r="K343" s="2" t="n">
        <v>338</v>
      </c>
      <c r="L343" s="14" t="n">
        <f aca="true">$B$16+NORMINV(RAND(),0,SQRT($B$13*($B$7+$B$8^2))*$B$9*(1-$B$10))</f>
        <v>3648.48485754781</v>
      </c>
      <c r="M343" s="14" t="n">
        <f aca="true">$B$16+NORMINV(RAND(),0,SQRT($B$13*($B$7+$B$8^2))*$B$9*(1-$B$10))</f>
        <v>3226.62229513509</v>
      </c>
      <c r="N343" s="14" t="n">
        <f aca="true">$B$16+NORMINV(RAND(),0,SQRT($B$13*($B$7+$B$8^2))*$B$9*(1-$B$10))</f>
        <v>4379.90625817017</v>
      </c>
      <c r="O343" s="14" t="n">
        <f aca="true">$B$16+NORMINV(RAND(),0,SQRT($B$13*($B$7+$B$8^2))*$B$9*(1-$B$10))</f>
        <v>4047.53436940287</v>
      </c>
      <c r="P343" s="14" t="n">
        <f aca="true">$B$16+NORMINV(RAND(),0,SQRT($B$13*($B$7+$B$8^2))*$B$9*(1-$B$10))</f>
        <v>4122.21323513231</v>
      </c>
      <c r="Q343" s="14" t="n">
        <f aca="true">$B$16+NORMINV(RAND(),0,SQRT($B$13*($B$7+$B$8^2))*$B$9*(1-$B$10))</f>
        <v>3393.20486668856</v>
      </c>
      <c r="R343" s="14" t="n">
        <f aca="false">$B$4-13*($B$5+$B$6)/30-IF($B$11&lt;=13,$B$12,0)+0</f>
        <v>8876.66666666667</v>
      </c>
      <c r="S343" s="14" t="n">
        <f aca="false">$B$4-27*($B$5+$B$6)/30-IF($B$11&lt;=27,$B$12,0)+L343</f>
        <v>10238.4848575478</v>
      </c>
      <c r="T343" s="14" t="n">
        <f aca="false">$B$4-41*($B$5+$B$6)/30-IF($B$11&lt;=41,$B$12,0)+L343+M343</f>
        <v>-6.35951398376437</v>
      </c>
      <c r="U343" s="14" t="n">
        <f aca="false">$B$4-55*($B$5+$B$6)/30-IF($B$11&lt;=55,$B$12,0)+L343+M343+N343</f>
        <v>2086.88007751973</v>
      </c>
      <c r="V343" s="14" t="n">
        <f aca="false">$B$4-69*($B$5+$B$6)/30-IF($B$11&lt;=69,$B$12,0)+L343+M343+N343+O343</f>
        <v>3847.74778025594</v>
      </c>
      <c r="W343" s="14" t="n">
        <f aca="false">$B$4-83*($B$5+$B$6)/30-IF($B$11&lt;=83,$B$12,0)+L343+M343+N343+O343+P343</f>
        <v>5683.29434872159</v>
      </c>
      <c r="X343" s="14" t="n">
        <f aca="false">$B$4-90*($B$5+$B$6)/30-IF($B$11&lt;=90,$B$12,0)+L343+M343+N343+O343+P343+Q343</f>
        <v>7933.16588207682</v>
      </c>
      <c r="AA343" s="14" t="n">
        <f aca="false">MIN(R343:X343)</f>
        <v>-6.35951398376437</v>
      </c>
    </row>
    <row r="344" customFormat="false" ht="15" hidden="false" customHeight="false" outlineLevel="0" collapsed="false">
      <c r="K344" s="2" t="n">
        <v>339</v>
      </c>
      <c r="L344" s="14" t="n">
        <f aca="true">$B$16+NORMINV(RAND(),0,SQRT($B$13*($B$7+$B$8^2))*$B$9*(1-$B$10))</f>
        <v>4129.53752005811</v>
      </c>
      <c r="M344" s="14" t="n">
        <f aca="true">$B$16+NORMINV(RAND(),0,SQRT($B$13*($B$7+$B$8^2))*$B$9*(1-$B$10))</f>
        <v>4565.66971826034</v>
      </c>
      <c r="N344" s="14" t="n">
        <f aca="true">$B$16+NORMINV(RAND(),0,SQRT($B$13*($B$7+$B$8^2))*$B$9*(1-$B$10))</f>
        <v>4133.73222950887</v>
      </c>
      <c r="O344" s="14" t="n">
        <f aca="true">$B$16+NORMINV(RAND(),0,SQRT($B$13*($B$7+$B$8^2))*$B$9*(1-$B$10))</f>
        <v>4457.92861140891</v>
      </c>
      <c r="P344" s="14" t="n">
        <f aca="true">$B$16+NORMINV(RAND(),0,SQRT($B$13*($B$7+$B$8^2))*$B$9*(1-$B$10))</f>
        <v>3981.43268394338</v>
      </c>
      <c r="Q344" s="14" t="n">
        <f aca="true">$B$16+NORMINV(RAND(),0,SQRT($B$13*($B$7+$B$8^2))*$B$9*(1-$B$10))</f>
        <v>4329.78127236002</v>
      </c>
      <c r="R344" s="14" t="n">
        <f aca="false">$B$4-13*($B$5+$B$6)/30-IF($B$11&lt;=13,$B$12,0)+0</f>
        <v>8876.66666666667</v>
      </c>
      <c r="S344" s="14" t="n">
        <f aca="false">$B$4-27*($B$5+$B$6)/30-IF($B$11&lt;=27,$B$12,0)+L344</f>
        <v>10719.5375200581</v>
      </c>
      <c r="T344" s="14" t="n">
        <f aca="false">$B$4-41*($B$5+$B$6)/30-IF($B$11&lt;=41,$B$12,0)+L344+M344</f>
        <v>1813.74057165179</v>
      </c>
      <c r="U344" s="14" t="n">
        <f aca="false">$B$4-55*($B$5+$B$6)/30-IF($B$11&lt;=55,$B$12,0)+L344+M344+N344</f>
        <v>3660.80613449399</v>
      </c>
      <c r="V344" s="14" t="n">
        <f aca="false">$B$4-69*($B$5+$B$6)/30-IF($B$11&lt;=69,$B$12,0)+L344+M344+N344+O344</f>
        <v>5832.06807923624</v>
      </c>
      <c r="W344" s="14" t="n">
        <f aca="false">$B$4-83*($B$5+$B$6)/30-IF($B$11&lt;=83,$B$12,0)+L344+M344+N344+O344+P344</f>
        <v>7526.83409651295</v>
      </c>
      <c r="X344" s="14" t="n">
        <f aca="false">$B$4-90*($B$5+$B$6)/30-IF($B$11&lt;=90,$B$12,0)+L344+M344+N344+O344+P344+Q344</f>
        <v>10713.2820355396</v>
      </c>
      <c r="AA344" s="14" t="n">
        <f aca="false">MIN(R344:X344)</f>
        <v>1813.74057165179</v>
      </c>
    </row>
    <row r="345" customFormat="false" ht="15" hidden="false" customHeight="false" outlineLevel="0" collapsed="false">
      <c r="K345" s="2" t="n">
        <v>340</v>
      </c>
      <c r="L345" s="14" t="n">
        <f aca="true">$B$16+NORMINV(RAND(),0,SQRT($B$13*($B$7+$B$8^2))*$B$9*(1-$B$10))</f>
        <v>3937.68066730843</v>
      </c>
      <c r="M345" s="14" t="n">
        <f aca="true">$B$16+NORMINV(RAND(),0,SQRT($B$13*($B$7+$B$8^2))*$B$9*(1-$B$10))</f>
        <v>4097.93660088772</v>
      </c>
      <c r="N345" s="14" t="n">
        <f aca="true">$B$16+NORMINV(RAND(),0,SQRT($B$13*($B$7+$B$8^2))*$B$9*(1-$B$10))</f>
        <v>3937.69626169092</v>
      </c>
      <c r="O345" s="14" t="n">
        <f aca="true">$B$16+NORMINV(RAND(),0,SQRT($B$13*($B$7+$B$8^2))*$B$9*(1-$B$10))</f>
        <v>3660.52373928734</v>
      </c>
      <c r="P345" s="14" t="n">
        <f aca="true">$B$16+NORMINV(RAND(),0,SQRT($B$13*($B$7+$B$8^2))*$B$9*(1-$B$10))</f>
        <v>4034.70469822963</v>
      </c>
      <c r="Q345" s="14" t="n">
        <f aca="true">$B$16+NORMINV(RAND(),0,SQRT($B$13*($B$7+$B$8^2))*$B$9*(1-$B$10))</f>
        <v>4249.97662667684</v>
      </c>
      <c r="R345" s="14" t="n">
        <f aca="false">$B$4-13*($B$5+$B$6)/30-IF($B$11&lt;=13,$B$12,0)+0</f>
        <v>8876.66666666667</v>
      </c>
      <c r="S345" s="14" t="n">
        <f aca="false">$B$4-27*($B$5+$B$6)/30-IF($B$11&lt;=27,$B$12,0)+L345</f>
        <v>10527.6806673084</v>
      </c>
      <c r="T345" s="14" t="n">
        <f aca="false">$B$4-41*($B$5+$B$6)/30-IF($B$11&lt;=41,$B$12,0)+L345+M345</f>
        <v>1154.15060152948</v>
      </c>
      <c r="U345" s="14" t="n">
        <f aca="false">$B$4-55*($B$5+$B$6)/30-IF($B$11&lt;=55,$B$12,0)+L345+M345+N345</f>
        <v>2805.18019655373</v>
      </c>
      <c r="V345" s="14" t="n">
        <f aca="false">$B$4-69*($B$5+$B$6)/30-IF($B$11&lt;=69,$B$12,0)+L345+M345+N345+O345</f>
        <v>4179.03726917441</v>
      </c>
      <c r="W345" s="14" t="n">
        <f aca="false">$B$4-83*($B$5+$B$6)/30-IF($B$11&lt;=83,$B$12,0)+L345+M345+N345+O345+P345</f>
        <v>5927.07530073737</v>
      </c>
      <c r="X345" s="14" t="n">
        <f aca="false">$B$4-90*($B$5+$B$6)/30-IF($B$11&lt;=90,$B$12,0)+L345+M345+N345+O345+P345+Q345</f>
        <v>9033.71859408088</v>
      </c>
      <c r="AA345" s="14" t="n">
        <f aca="false">MIN(R345:X345)</f>
        <v>1154.15060152948</v>
      </c>
    </row>
    <row r="346" customFormat="false" ht="15" hidden="false" customHeight="false" outlineLevel="0" collapsed="false">
      <c r="K346" s="2" t="n">
        <v>341</v>
      </c>
      <c r="L346" s="14" t="n">
        <f aca="true">$B$16+NORMINV(RAND(),0,SQRT($B$13*($B$7+$B$8^2))*$B$9*(1-$B$10))</f>
        <v>4428.90221491192</v>
      </c>
      <c r="M346" s="14" t="n">
        <f aca="true">$B$16+NORMINV(RAND(),0,SQRT($B$13*($B$7+$B$8^2))*$B$9*(1-$B$10))</f>
        <v>3597.19960751234</v>
      </c>
      <c r="N346" s="14" t="n">
        <f aca="true">$B$16+NORMINV(RAND(),0,SQRT($B$13*($B$7+$B$8^2))*$B$9*(1-$B$10))</f>
        <v>3806.35942566252</v>
      </c>
      <c r="O346" s="14" t="n">
        <f aca="true">$B$16+NORMINV(RAND(),0,SQRT($B$13*($B$7+$B$8^2))*$B$9*(1-$B$10))</f>
        <v>4000.3957002029</v>
      </c>
      <c r="P346" s="14" t="n">
        <f aca="true">$B$16+NORMINV(RAND(),0,SQRT($B$13*($B$7+$B$8^2))*$B$9*(1-$B$10))</f>
        <v>3761.6372812647</v>
      </c>
      <c r="Q346" s="14" t="n">
        <f aca="true">$B$16+NORMINV(RAND(),0,SQRT($B$13*($B$7+$B$8^2))*$B$9*(1-$B$10))</f>
        <v>3400.0455960784</v>
      </c>
      <c r="R346" s="14" t="n">
        <f aca="false">$B$4-13*($B$5+$B$6)/30-IF($B$11&lt;=13,$B$12,0)+0</f>
        <v>8876.66666666667</v>
      </c>
      <c r="S346" s="14" t="n">
        <f aca="false">$B$4-27*($B$5+$B$6)/30-IF($B$11&lt;=27,$B$12,0)+L346</f>
        <v>11018.9022149119</v>
      </c>
      <c r="T346" s="14" t="n">
        <f aca="false">$B$4-41*($B$5+$B$6)/30-IF($B$11&lt;=41,$B$12,0)+L346+M346</f>
        <v>1144.63515575759</v>
      </c>
      <c r="U346" s="14" t="n">
        <f aca="false">$B$4-55*($B$5+$B$6)/30-IF($B$11&lt;=55,$B$12,0)+L346+M346+N346</f>
        <v>2664.32791475344</v>
      </c>
      <c r="V346" s="14" t="n">
        <f aca="false">$B$4-69*($B$5+$B$6)/30-IF($B$11&lt;=69,$B$12,0)+L346+M346+N346+O346</f>
        <v>4378.05694828968</v>
      </c>
      <c r="W346" s="14" t="n">
        <f aca="false">$B$4-83*($B$5+$B$6)/30-IF($B$11&lt;=83,$B$12,0)+L346+M346+N346+O346+P346</f>
        <v>5853.02756288771</v>
      </c>
      <c r="X346" s="14" t="n">
        <f aca="false">$B$4-90*($B$5+$B$6)/30-IF($B$11&lt;=90,$B$12,0)+L346+M346+N346+O346+P346+Q346</f>
        <v>8109.73982563278</v>
      </c>
      <c r="AA346" s="14" t="n">
        <f aca="false">MIN(R346:X346)</f>
        <v>1144.63515575759</v>
      </c>
    </row>
    <row r="347" customFormat="false" ht="15" hidden="false" customHeight="false" outlineLevel="0" collapsed="false">
      <c r="K347" s="2" t="n">
        <v>342</v>
      </c>
      <c r="L347" s="14" t="n">
        <f aca="true">$B$16+NORMINV(RAND(),0,SQRT($B$13*($B$7+$B$8^2))*$B$9*(1-$B$10))</f>
        <v>4086.65711019278</v>
      </c>
      <c r="M347" s="14" t="n">
        <f aca="true">$B$16+NORMINV(RAND(),0,SQRT($B$13*($B$7+$B$8^2))*$B$9*(1-$B$10))</f>
        <v>3805.40319012728</v>
      </c>
      <c r="N347" s="14" t="n">
        <f aca="true">$B$16+NORMINV(RAND(),0,SQRT($B$13*($B$7+$B$8^2))*$B$9*(1-$B$10))</f>
        <v>4517.21540448402</v>
      </c>
      <c r="O347" s="14" t="n">
        <f aca="true">$B$16+NORMINV(RAND(),0,SQRT($B$13*($B$7+$B$8^2))*$B$9*(1-$B$10))</f>
        <v>4024.3553878369</v>
      </c>
      <c r="P347" s="14" t="n">
        <f aca="true">$B$16+NORMINV(RAND(),0,SQRT($B$13*($B$7+$B$8^2))*$B$9*(1-$B$10))</f>
        <v>4870.7152348468</v>
      </c>
      <c r="Q347" s="14" t="n">
        <f aca="true">$B$16+NORMINV(RAND(),0,SQRT($B$13*($B$7+$B$8^2))*$B$9*(1-$B$10))</f>
        <v>3856.59940407154</v>
      </c>
      <c r="R347" s="14" t="n">
        <f aca="false">$B$4-13*($B$5+$B$6)/30-IF($B$11&lt;=13,$B$12,0)+0</f>
        <v>8876.66666666667</v>
      </c>
      <c r="S347" s="14" t="n">
        <f aca="false">$B$4-27*($B$5+$B$6)/30-IF($B$11&lt;=27,$B$12,0)+L347</f>
        <v>10676.6571101928</v>
      </c>
      <c r="T347" s="14" t="n">
        <f aca="false">$B$4-41*($B$5+$B$6)/30-IF($B$11&lt;=41,$B$12,0)+L347+M347</f>
        <v>1010.59363365339</v>
      </c>
      <c r="U347" s="14" t="n">
        <f aca="false">$B$4-55*($B$5+$B$6)/30-IF($B$11&lt;=55,$B$12,0)+L347+M347+N347</f>
        <v>3241.14237147075</v>
      </c>
      <c r="V347" s="14" t="n">
        <f aca="false">$B$4-69*($B$5+$B$6)/30-IF($B$11&lt;=69,$B$12,0)+L347+M347+N347+O347</f>
        <v>4978.83109264099</v>
      </c>
      <c r="W347" s="14" t="n">
        <f aca="false">$B$4-83*($B$5+$B$6)/30-IF($B$11&lt;=83,$B$12,0)+L347+M347+N347+O347+P347</f>
        <v>7562.87966082113</v>
      </c>
      <c r="X347" s="14" t="n">
        <f aca="false">$B$4-90*($B$5+$B$6)/30-IF($B$11&lt;=90,$B$12,0)+L347+M347+N347+O347+P347+Q347</f>
        <v>10276.1457315593</v>
      </c>
      <c r="AA347" s="14" t="n">
        <f aca="false">MIN(R347:X347)</f>
        <v>1010.59363365339</v>
      </c>
    </row>
    <row r="348" customFormat="false" ht="15" hidden="false" customHeight="false" outlineLevel="0" collapsed="false">
      <c r="K348" s="2" t="n">
        <v>343</v>
      </c>
      <c r="L348" s="14" t="n">
        <f aca="true">$B$16+NORMINV(RAND(),0,SQRT($B$13*($B$7+$B$8^2))*$B$9*(1-$B$10))</f>
        <v>4486.64098144831</v>
      </c>
      <c r="M348" s="14" t="n">
        <f aca="true">$B$16+NORMINV(RAND(),0,SQRT($B$13*($B$7+$B$8^2))*$B$9*(1-$B$10))</f>
        <v>4020.62110930112</v>
      </c>
      <c r="N348" s="14" t="n">
        <f aca="true">$B$16+NORMINV(RAND(),0,SQRT($B$13*($B$7+$B$8^2))*$B$9*(1-$B$10))</f>
        <v>4471.24514237229</v>
      </c>
      <c r="O348" s="14" t="n">
        <f aca="true">$B$16+NORMINV(RAND(),0,SQRT($B$13*($B$7+$B$8^2))*$B$9*(1-$B$10))</f>
        <v>4329.92958687977</v>
      </c>
      <c r="P348" s="14" t="n">
        <f aca="true">$B$16+NORMINV(RAND(),0,SQRT($B$13*($B$7+$B$8^2))*$B$9*(1-$B$10))</f>
        <v>4294.87723732818</v>
      </c>
      <c r="Q348" s="14" t="n">
        <f aca="true">$B$16+NORMINV(RAND(),0,SQRT($B$13*($B$7+$B$8^2))*$B$9*(1-$B$10))</f>
        <v>3483.32275048298</v>
      </c>
      <c r="R348" s="14" t="n">
        <f aca="false">$B$4-13*($B$5+$B$6)/30-IF($B$11&lt;=13,$B$12,0)+0</f>
        <v>8876.66666666667</v>
      </c>
      <c r="S348" s="14" t="n">
        <f aca="false">$B$4-27*($B$5+$B$6)/30-IF($B$11&lt;=27,$B$12,0)+L348</f>
        <v>11076.6409814483</v>
      </c>
      <c r="T348" s="14" t="n">
        <f aca="false">$B$4-41*($B$5+$B$6)/30-IF($B$11&lt;=41,$B$12,0)+L348+M348</f>
        <v>1625.79542408276</v>
      </c>
      <c r="U348" s="14" t="n">
        <f aca="false">$B$4-55*($B$5+$B$6)/30-IF($B$11&lt;=55,$B$12,0)+L348+M348+N348</f>
        <v>3810.37389978838</v>
      </c>
      <c r="V348" s="14" t="n">
        <f aca="false">$B$4-69*($B$5+$B$6)/30-IF($B$11&lt;=69,$B$12,0)+L348+M348+N348+O348</f>
        <v>5853.63682000149</v>
      </c>
      <c r="W348" s="14" t="n">
        <f aca="false">$B$4-83*($B$5+$B$6)/30-IF($B$11&lt;=83,$B$12,0)+L348+M348+N348+O348+P348</f>
        <v>7861.847390663</v>
      </c>
      <c r="X348" s="14" t="n">
        <f aca="false">$B$4-90*($B$5+$B$6)/30-IF($B$11&lt;=90,$B$12,0)+L348+M348+N348+O348+P348+Q348</f>
        <v>10201.8368078127</v>
      </c>
      <c r="AA348" s="14" t="n">
        <f aca="false">MIN(R348:X348)</f>
        <v>1625.79542408276</v>
      </c>
    </row>
    <row r="349" customFormat="false" ht="15" hidden="false" customHeight="false" outlineLevel="0" collapsed="false">
      <c r="K349" s="2" t="n">
        <v>344</v>
      </c>
      <c r="L349" s="14" t="n">
        <f aca="true">$B$16+NORMINV(RAND(),0,SQRT($B$13*($B$7+$B$8^2))*$B$9*(1-$B$10))</f>
        <v>4221.39992105456</v>
      </c>
      <c r="M349" s="14" t="n">
        <f aca="true">$B$16+NORMINV(RAND(),0,SQRT($B$13*($B$7+$B$8^2))*$B$9*(1-$B$10))</f>
        <v>4366.92413743769</v>
      </c>
      <c r="N349" s="14" t="n">
        <f aca="true">$B$16+NORMINV(RAND(),0,SQRT($B$13*($B$7+$B$8^2))*$B$9*(1-$B$10))</f>
        <v>4534.13352105143</v>
      </c>
      <c r="O349" s="14" t="n">
        <f aca="true">$B$16+NORMINV(RAND(),0,SQRT($B$13*($B$7+$B$8^2))*$B$9*(1-$B$10))</f>
        <v>4499.4486169679</v>
      </c>
      <c r="P349" s="14" t="n">
        <f aca="true">$B$16+NORMINV(RAND(),0,SQRT($B$13*($B$7+$B$8^2))*$B$9*(1-$B$10))</f>
        <v>4269.16961723329</v>
      </c>
      <c r="Q349" s="14" t="n">
        <f aca="true">$B$16+NORMINV(RAND(),0,SQRT($B$13*($B$7+$B$8^2))*$B$9*(1-$B$10))</f>
        <v>4257.28108733979</v>
      </c>
      <c r="R349" s="14" t="n">
        <f aca="false">$B$4-13*($B$5+$B$6)/30-IF($B$11&lt;=13,$B$12,0)+0</f>
        <v>8876.66666666667</v>
      </c>
      <c r="S349" s="14" t="n">
        <f aca="false">$B$4-27*($B$5+$B$6)/30-IF($B$11&lt;=27,$B$12,0)+L349</f>
        <v>10811.3999210546</v>
      </c>
      <c r="T349" s="14" t="n">
        <f aca="false">$B$4-41*($B$5+$B$6)/30-IF($B$11&lt;=41,$B$12,0)+L349+M349</f>
        <v>1706.85739182558</v>
      </c>
      <c r="U349" s="14" t="n">
        <f aca="false">$B$4-55*($B$5+$B$6)/30-IF($B$11&lt;=55,$B$12,0)+L349+M349+N349</f>
        <v>3954.32424621035</v>
      </c>
      <c r="V349" s="14" t="n">
        <f aca="false">$B$4-69*($B$5+$B$6)/30-IF($B$11&lt;=69,$B$12,0)+L349+M349+N349+O349</f>
        <v>6167.10619651159</v>
      </c>
      <c r="W349" s="14" t="n">
        <f aca="false">$B$4-83*($B$5+$B$6)/30-IF($B$11&lt;=83,$B$12,0)+L349+M349+N349+O349+P349</f>
        <v>8149.60914707822</v>
      </c>
      <c r="X349" s="14" t="n">
        <f aca="false">$B$4-90*($B$5+$B$6)/30-IF($B$11&lt;=90,$B$12,0)+L349+M349+N349+O349+P349+Q349</f>
        <v>11263.5569010847</v>
      </c>
      <c r="AA349" s="14" t="n">
        <f aca="false">MIN(R349:X349)</f>
        <v>1706.85739182558</v>
      </c>
    </row>
    <row r="350" customFormat="false" ht="15" hidden="false" customHeight="false" outlineLevel="0" collapsed="false">
      <c r="K350" s="2" t="n">
        <v>345</v>
      </c>
      <c r="L350" s="14" t="n">
        <f aca="true">$B$16+NORMINV(RAND(),0,SQRT($B$13*($B$7+$B$8^2))*$B$9*(1-$B$10))</f>
        <v>3630.85455353838</v>
      </c>
      <c r="M350" s="14" t="n">
        <f aca="true">$B$16+NORMINV(RAND(),0,SQRT($B$13*($B$7+$B$8^2))*$B$9*(1-$B$10))</f>
        <v>4467.38486890942</v>
      </c>
      <c r="N350" s="14" t="n">
        <f aca="true">$B$16+NORMINV(RAND(),0,SQRT($B$13*($B$7+$B$8^2))*$B$9*(1-$B$10))</f>
        <v>4375.6327207651</v>
      </c>
      <c r="O350" s="14" t="n">
        <f aca="true">$B$16+NORMINV(RAND(),0,SQRT($B$13*($B$7+$B$8^2))*$B$9*(1-$B$10))</f>
        <v>3759.29650673564</v>
      </c>
      <c r="P350" s="14" t="n">
        <f aca="true">$B$16+NORMINV(RAND(),0,SQRT($B$13*($B$7+$B$8^2))*$B$9*(1-$B$10))</f>
        <v>4089.31393399699</v>
      </c>
      <c r="Q350" s="14" t="n">
        <f aca="true">$B$16+NORMINV(RAND(),0,SQRT($B$13*($B$7+$B$8^2))*$B$9*(1-$B$10))</f>
        <v>3847.60581540934</v>
      </c>
      <c r="R350" s="14" t="n">
        <f aca="false">$B$4-13*($B$5+$B$6)/30-IF($B$11&lt;=13,$B$12,0)+0</f>
        <v>8876.66666666667</v>
      </c>
      <c r="S350" s="14" t="n">
        <f aca="false">$B$4-27*($B$5+$B$6)/30-IF($B$11&lt;=27,$B$12,0)+L350</f>
        <v>10220.8545535384</v>
      </c>
      <c r="T350" s="14" t="n">
        <f aca="false">$B$4-41*($B$5+$B$6)/30-IF($B$11&lt;=41,$B$12,0)+L350+M350</f>
        <v>1216.77275578113</v>
      </c>
      <c r="U350" s="14" t="n">
        <f aca="false">$B$4-55*($B$5+$B$6)/30-IF($B$11&lt;=55,$B$12,0)+L350+M350+N350</f>
        <v>3305.73880987956</v>
      </c>
      <c r="V350" s="14" t="n">
        <f aca="false">$B$4-69*($B$5+$B$6)/30-IF($B$11&lt;=69,$B$12,0)+L350+M350+N350+O350</f>
        <v>4778.36864994853</v>
      </c>
      <c r="W350" s="14" t="n">
        <f aca="false">$B$4-83*($B$5+$B$6)/30-IF($B$11&lt;=83,$B$12,0)+L350+M350+N350+O350+P350</f>
        <v>6581.01591727885</v>
      </c>
      <c r="X350" s="14" t="n">
        <f aca="false">$B$4-90*($B$5+$B$6)/30-IF($B$11&lt;=90,$B$12,0)+L350+M350+N350+O350+P350+Q350</f>
        <v>9285.28839935485</v>
      </c>
      <c r="AA350" s="14" t="n">
        <f aca="false">MIN(R350:X350)</f>
        <v>1216.77275578113</v>
      </c>
    </row>
    <row r="351" customFormat="false" ht="15" hidden="false" customHeight="false" outlineLevel="0" collapsed="false">
      <c r="K351" s="2" t="n">
        <v>346</v>
      </c>
      <c r="L351" s="14" t="n">
        <f aca="true">$B$16+NORMINV(RAND(),0,SQRT($B$13*($B$7+$B$8^2))*$B$9*(1-$B$10))</f>
        <v>4189.26159629452</v>
      </c>
      <c r="M351" s="14" t="n">
        <f aca="true">$B$16+NORMINV(RAND(),0,SQRT($B$13*($B$7+$B$8^2))*$B$9*(1-$B$10))</f>
        <v>4181.21624684876</v>
      </c>
      <c r="N351" s="14" t="n">
        <f aca="true">$B$16+NORMINV(RAND(),0,SQRT($B$13*($B$7+$B$8^2))*$B$9*(1-$B$10))</f>
        <v>4208.19445656611</v>
      </c>
      <c r="O351" s="14" t="n">
        <f aca="true">$B$16+NORMINV(RAND(),0,SQRT($B$13*($B$7+$B$8^2))*$B$9*(1-$B$10))</f>
        <v>4440.423579179</v>
      </c>
      <c r="P351" s="14" t="n">
        <f aca="true">$B$16+NORMINV(RAND(),0,SQRT($B$13*($B$7+$B$8^2))*$B$9*(1-$B$10))</f>
        <v>4245.17900997994</v>
      </c>
      <c r="Q351" s="14" t="n">
        <f aca="true">$B$16+NORMINV(RAND(),0,SQRT($B$13*($B$7+$B$8^2))*$B$9*(1-$B$10))</f>
        <v>4048.19825324466</v>
      </c>
      <c r="R351" s="14" t="n">
        <f aca="false">$B$4-13*($B$5+$B$6)/30-IF($B$11&lt;=13,$B$12,0)+0</f>
        <v>8876.66666666667</v>
      </c>
      <c r="S351" s="14" t="n">
        <f aca="false">$B$4-27*($B$5+$B$6)/30-IF($B$11&lt;=27,$B$12,0)+L351</f>
        <v>10779.2615962945</v>
      </c>
      <c r="T351" s="14" t="n">
        <f aca="false">$B$4-41*($B$5+$B$6)/30-IF($B$11&lt;=41,$B$12,0)+L351+M351</f>
        <v>1489.01117647661</v>
      </c>
      <c r="U351" s="14" t="n">
        <f aca="false">$B$4-55*($B$5+$B$6)/30-IF($B$11&lt;=55,$B$12,0)+L351+M351+N351</f>
        <v>3410.53896637605</v>
      </c>
      <c r="V351" s="14" t="n">
        <f aca="false">$B$4-69*($B$5+$B$6)/30-IF($B$11&lt;=69,$B$12,0)+L351+M351+N351+O351</f>
        <v>5564.29587888838</v>
      </c>
      <c r="W351" s="14" t="n">
        <f aca="false">$B$4-83*($B$5+$B$6)/30-IF($B$11&lt;=83,$B$12,0)+L351+M351+N351+O351+P351</f>
        <v>7522.80822220166</v>
      </c>
      <c r="X351" s="14" t="n">
        <f aca="false">$B$4-90*($B$5+$B$6)/30-IF($B$11&lt;=90,$B$12,0)+L351+M351+N351+O351+P351+Q351</f>
        <v>10427.673142113</v>
      </c>
      <c r="AA351" s="14" t="n">
        <f aca="false">MIN(R351:X351)</f>
        <v>1489.01117647661</v>
      </c>
    </row>
    <row r="352" customFormat="false" ht="15" hidden="false" customHeight="false" outlineLevel="0" collapsed="false">
      <c r="K352" s="2" t="n">
        <v>347</v>
      </c>
      <c r="L352" s="14" t="n">
        <f aca="true">$B$16+NORMINV(RAND(),0,SQRT($B$13*($B$7+$B$8^2))*$B$9*(1-$B$10))</f>
        <v>3874.76100358835</v>
      </c>
      <c r="M352" s="14" t="n">
        <f aca="true">$B$16+NORMINV(RAND(),0,SQRT($B$13*($B$7+$B$8^2))*$B$9*(1-$B$10))</f>
        <v>4706.89657381569</v>
      </c>
      <c r="N352" s="14" t="n">
        <f aca="true">$B$16+NORMINV(RAND(),0,SQRT($B$13*($B$7+$B$8^2))*$B$9*(1-$B$10))</f>
        <v>3832.32626096765</v>
      </c>
      <c r="O352" s="14" t="n">
        <f aca="true">$B$16+NORMINV(RAND(),0,SQRT($B$13*($B$7+$B$8^2))*$B$9*(1-$B$10))</f>
        <v>4165.09062549709</v>
      </c>
      <c r="P352" s="14" t="n">
        <f aca="true">$B$16+NORMINV(RAND(),0,SQRT($B$13*($B$7+$B$8^2))*$B$9*(1-$B$10))</f>
        <v>4289.14313525011</v>
      </c>
      <c r="Q352" s="14" t="n">
        <f aca="true">$B$16+NORMINV(RAND(),0,SQRT($B$13*($B$7+$B$8^2))*$B$9*(1-$B$10))</f>
        <v>3782.30936452164</v>
      </c>
      <c r="R352" s="14" t="n">
        <f aca="false">$B$4-13*($B$5+$B$6)/30-IF($B$11&lt;=13,$B$12,0)+0</f>
        <v>8876.66666666667</v>
      </c>
      <c r="S352" s="14" t="n">
        <f aca="false">$B$4-27*($B$5+$B$6)/30-IF($B$11&lt;=27,$B$12,0)+L352</f>
        <v>10464.7610035883</v>
      </c>
      <c r="T352" s="14" t="n">
        <f aca="false">$B$4-41*($B$5+$B$6)/30-IF($B$11&lt;=41,$B$12,0)+L352+M352</f>
        <v>1700.19091073737</v>
      </c>
      <c r="U352" s="14" t="n">
        <f aca="false">$B$4-55*($B$5+$B$6)/30-IF($B$11&lt;=55,$B$12,0)+L352+M352+N352</f>
        <v>3245.85050503835</v>
      </c>
      <c r="V352" s="14" t="n">
        <f aca="false">$B$4-69*($B$5+$B$6)/30-IF($B$11&lt;=69,$B$12,0)+L352+M352+N352+O352</f>
        <v>5124.27446386877</v>
      </c>
      <c r="W352" s="14" t="n">
        <f aca="false">$B$4-83*($B$5+$B$6)/30-IF($B$11&lt;=83,$B$12,0)+L352+M352+N352+O352+P352</f>
        <v>7126.75093245221</v>
      </c>
      <c r="X352" s="14" t="n">
        <f aca="false">$B$4-90*($B$5+$B$6)/30-IF($B$11&lt;=90,$B$12,0)+L352+M352+N352+O352+P352+Q352</f>
        <v>9765.72696364051</v>
      </c>
      <c r="AA352" s="14" t="n">
        <f aca="false">MIN(R352:X352)</f>
        <v>1700.19091073737</v>
      </c>
    </row>
    <row r="353" customFormat="false" ht="15" hidden="false" customHeight="false" outlineLevel="0" collapsed="false">
      <c r="K353" s="2" t="n">
        <v>348</v>
      </c>
      <c r="L353" s="14" t="n">
        <f aca="true">$B$16+NORMINV(RAND(),0,SQRT($B$13*($B$7+$B$8^2))*$B$9*(1-$B$10))</f>
        <v>4091.51150418321</v>
      </c>
      <c r="M353" s="14" t="n">
        <f aca="true">$B$16+NORMINV(RAND(),0,SQRT($B$13*($B$7+$B$8^2))*$B$9*(1-$B$10))</f>
        <v>3380.04048859344</v>
      </c>
      <c r="N353" s="14" t="n">
        <f aca="true">$B$16+NORMINV(RAND(),0,SQRT($B$13*($B$7+$B$8^2))*$B$9*(1-$B$10))</f>
        <v>4324.31986859737</v>
      </c>
      <c r="O353" s="14" t="n">
        <f aca="true">$B$16+NORMINV(RAND(),0,SQRT($B$13*($B$7+$B$8^2))*$B$9*(1-$B$10))</f>
        <v>3956.66772363994</v>
      </c>
      <c r="P353" s="14" t="n">
        <f aca="true">$B$16+NORMINV(RAND(),0,SQRT($B$13*($B$7+$B$8^2))*$B$9*(1-$B$10))</f>
        <v>3975.4137483313</v>
      </c>
      <c r="Q353" s="14" t="n">
        <f aca="true">$B$16+NORMINV(RAND(),0,SQRT($B$13*($B$7+$B$8^2))*$B$9*(1-$B$10))</f>
        <v>4147.83728594189</v>
      </c>
      <c r="R353" s="14" t="n">
        <f aca="false">$B$4-13*($B$5+$B$6)/30-IF($B$11&lt;=13,$B$12,0)+0</f>
        <v>8876.66666666667</v>
      </c>
      <c r="S353" s="14" t="n">
        <f aca="false">$B$4-27*($B$5+$B$6)/30-IF($B$11&lt;=27,$B$12,0)+L353</f>
        <v>10681.5115041832</v>
      </c>
      <c r="T353" s="14" t="n">
        <f aca="false">$B$4-41*($B$5+$B$6)/30-IF($B$11&lt;=41,$B$12,0)+L353+M353</f>
        <v>590.085326109976</v>
      </c>
      <c r="U353" s="14" t="n">
        <f aca="false">$B$4-55*($B$5+$B$6)/30-IF($B$11&lt;=55,$B$12,0)+L353+M353+N353</f>
        <v>2627.73852804068</v>
      </c>
      <c r="V353" s="14" t="n">
        <f aca="false">$B$4-69*($B$5+$B$6)/30-IF($B$11&lt;=69,$B$12,0)+L353+M353+N353+O353</f>
        <v>4297.73958501395</v>
      </c>
      <c r="W353" s="14" t="n">
        <f aca="false">$B$4-83*($B$5+$B$6)/30-IF($B$11&lt;=83,$B$12,0)+L353+M353+N353+O353+P353</f>
        <v>5986.48666667858</v>
      </c>
      <c r="X353" s="14" t="n">
        <f aca="false">$B$4-90*($B$5+$B$6)/30-IF($B$11&lt;=90,$B$12,0)+L353+M353+N353+O353+P353+Q353</f>
        <v>8990.99061928714</v>
      </c>
      <c r="AA353" s="14" t="n">
        <f aca="false">MIN(R353:X353)</f>
        <v>590.085326109976</v>
      </c>
    </row>
    <row r="354" customFormat="false" ht="15" hidden="false" customHeight="false" outlineLevel="0" collapsed="false">
      <c r="K354" s="2" t="n">
        <v>349</v>
      </c>
      <c r="L354" s="14" t="n">
        <f aca="true">$B$16+NORMINV(RAND(),0,SQRT($B$13*($B$7+$B$8^2))*$B$9*(1-$B$10))</f>
        <v>4157.7035064053</v>
      </c>
      <c r="M354" s="14" t="n">
        <f aca="true">$B$16+NORMINV(RAND(),0,SQRT($B$13*($B$7+$B$8^2))*$B$9*(1-$B$10))</f>
        <v>3708.20765510816</v>
      </c>
      <c r="N354" s="14" t="n">
        <f aca="true">$B$16+NORMINV(RAND(),0,SQRT($B$13*($B$7+$B$8^2))*$B$9*(1-$B$10))</f>
        <v>4344.91788318219</v>
      </c>
      <c r="O354" s="14" t="n">
        <f aca="true">$B$16+NORMINV(RAND(),0,SQRT($B$13*($B$7+$B$8^2))*$B$9*(1-$B$10))</f>
        <v>4681.37518133591</v>
      </c>
      <c r="P354" s="14" t="n">
        <f aca="true">$B$16+NORMINV(RAND(),0,SQRT($B$13*($B$7+$B$8^2))*$B$9*(1-$B$10))</f>
        <v>3641.99294233975</v>
      </c>
      <c r="Q354" s="14" t="n">
        <f aca="true">$B$16+NORMINV(RAND(),0,SQRT($B$13*($B$7+$B$8^2))*$B$9*(1-$B$10))</f>
        <v>4041.64143808828</v>
      </c>
      <c r="R354" s="14" t="n">
        <f aca="false">$B$4-13*($B$5+$B$6)/30-IF($B$11&lt;=13,$B$12,0)+0</f>
        <v>8876.66666666667</v>
      </c>
      <c r="S354" s="14" t="n">
        <f aca="false">$B$4-27*($B$5+$B$6)/30-IF($B$11&lt;=27,$B$12,0)+L354</f>
        <v>10747.7035064053</v>
      </c>
      <c r="T354" s="14" t="n">
        <f aca="false">$B$4-41*($B$5+$B$6)/30-IF($B$11&lt;=41,$B$12,0)+L354+M354</f>
        <v>984.444494846792</v>
      </c>
      <c r="U354" s="14" t="n">
        <f aca="false">$B$4-55*($B$5+$B$6)/30-IF($B$11&lt;=55,$B$12,0)+L354+M354+N354</f>
        <v>3042.69571136231</v>
      </c>
      <c r="V354" s="14" t="n">
        <f aca="false">$B$4-69*($B$5+$B$6)/30-IF($B$11&lt;=69,$B$12,0)+L354+M354+N354+O354</f>
        <v>5437.40422603156</v>
      </c>
      <c r="W354" s="14" t="n">
        <f aca="false">$B$4-83*($B$5+$B$6)/30-IF($B$11&lt;=83,$B$12,0)+L354+M354+N354+O354+P354</f>
        <v>6792.73050170464</v>
      </c>
      <c r="X354" s="14" t="n">
        <f aca="false">$B$4-90*($B$5+$B$6)/30-IF($B$11&lt;=90,$B$12,0)+L354+M354+N354+O354+P354+Q354</f>
        <v>9691.03860645959</v>
      </c>
      <c r="AA354" s="14" t="n">
        <f aca="false">MIN(R354:X354)</f>
        <v>984.444494846792</v>
      </c>
    </row>
    <row r="355" customFormat="false" ht="15" hidden="false" customHeight="false" outlineLevel="0" collapsed="false">
      <c r="K355" s="2" t="n">
        <v>350</v>
      </c>
      <c r="L355" s="14" t="n">
        <f aca="true">$B$16+NORMINV(RAND(),0,SQRT($B$13*($B$7+$B$8^2))*$B$9*(1-$B$10))</f>
        <v>4266.44607571535</v>
      </c>
      <c r="M355" s="14" t="n">
        <f aca="true">$B$16+NORMINV(RAND(),0,SQRT($B$13*($B$7+$B$8^2))*$B$9*(1-$B$10))</f>
        <v>4406.784191639</v>
      </c>
      <c r="N355" s="14" t="n">
        <f aca="true">$B$16+NORMINV(RAND(),0,SQRT($B$13*($B$7+$B$8^2))*$B$9*(1-$B$10))</f>
        <v>3884.80702291358</v>
      </c>
      <c r="O355" s="14" t="n">
        <f aca="true">$B$16+NORMINV(RAND(),0,SQRT($B$13*($B$7+$B$8^2))*$B$9*(1-$B$10))</f>
        <v>3260.37181573889</v>
      </c>
      <c r="P355" s="14" t="n">
        <f aca="true">$B$16+NORMINV(RAND(),0,SQRT($B$13*($B$7+$B$8^2))*$B$9*(1-$B$10))</f>
        <v>3852.98766028882</v>
      </c>
      <c r="Q355" s="14" t="n">
        <f aca="true">$B$16+NORMINV(RAND(),0,SQRT($B$13*($B$7+$B$8^2))*$B$9*(1-$B$10))</f>
        <v>4636.79350110677</v>
      </c>
      <c r="R355" s="14" t="n">
        <f aca="false">$B$4-13*($B$5+$B$6)/30-IF($B$11&lt;=13,$B$12,0)+0</f>
        <v>8876.66666666667</v>
      </c>
      <c r="S355" s="14" t="n">
        <f aca="false">$B$4-27*($B$5+$B$6)/30-IF($B$11&lt;=27,$B$12,0)+L355</f>
        <v>10856.4460757153</v>
      </c>
      <c r="T355" s="14" t="n">
        <f aca="false">$B$4-41*($B$5+$B$6)/30-IF($B$11&lt;=41,$B$12,0)+L355+M355</f>
        <v>1791.76360068767</v>
      </c>
      <c r="U355" s="14" t="n">
        <f aca="false">$B$4-55*($B$5+$B$6)/30-IF($B$11&lt;=55,$B$12,0)+L355+M355+N355</f>
        <v>3389.90395693459</v>
      </c>
      <c r="V355" s="14" t="n">
        <f aca="false">$B$4-69*($B$5+$B$6)/30-IF($B$11&lt;=69,$B$12,0)+L355+M355+N355+O355</f>
        <v>4363.60910600681</v>
      </c>
      <c r="W355" s="14" t="n">
        <f aca="false">$B$4-83*($B$5+$B$6)/30-IF($B$11&lt;=83,$B$12,0)+L355+M355+N355+O355+P355</f>
        <v>5929.93009962897</v>
      </c>
      <c r="X355" s="14" t="n">
        <f aca="false">$B$4-90*($B$5+$B$6)/30-IF($B$11&lt;=90,$B$12,0)+L355+M355+N355+O355+P355+Q355</f>
        <v>9423.3902674024</v>
      </c>
      <c r="AA355" s="14" t="n">
        <f aca="false">MIN(R355:X355)</f>
        <v>1791.76360068767</v>
      </c>
    </row>
    <row r="356" customFormat="false" ht="15" hidden="false" customHeight="false" outlineLevel="0" collapsed="false">
      <c r="K356" s="2" t="n">
        <v>351</v>
      </c>
      <c r="L356" s="14" t="n">
        <f aca="true">$B$16+NORMINV(RAND(),0,SQRT($B$13*($B$7+$B$8^2))*$B$9*(1-$B$10))</f>
        <v>3497.18841031589</v>
      </c>
      <c r="M356" s="14" t="n">
        <f aca="true">$B$16+NORMINV(RAND(),0,SQRT($B$13*($B$7+$B$8^2))*$B$9*(1-$B$10))</f>
        <v>4518.13753971824</v>
      </c>
      <c r="N356" s="14" t="n">
        <f aca="true">$B$16+NORMINV(RAND(),0,SQRT($B$13*($B$7+$B$8^2))*$B$9*(1-$B$10))</f>
        <v>3379.65949565461</v>
      </c>
      <c r="O356" s="14" t="n">
        <f aca="true">$B$16+NORMINV(RAND(),0,SQRT($B$13*($B$7+$B$8^2))*$B$9*(1-$B$10))</f>
        <v>3832.39870968284</v>
      </c>
      <c r="P356" s="14" t="n">
        <f aca="true">$B$16+NORMINV(RAND(),0,SQRT($B$13*($B$7+$B$8^2))*$B$9*(1-$B$10))</f>
        <v>4887.44158398857</v>
      </c>
      <c r="Q356" s="14" t="n">
        <f aca="true">$B$16+NORMINV(RAND(),0,SQRT($B$13*($B$7+$B$8^2))*$B$9*(1-$B$10))</f>
        <v>3948.09894043726</v>
      </c>
      <c r="R356" s="14" t="n">
        <f aca="false">$B$4-13*($B$5+$B$6)/30-IF($B$11&lt;=13,$B$12,0)+0</f>
        <v>8876.66666666667</v>
      </c>
      <c r="S356" s="14" t="n">
        <f aca="false">$B$4-27*($B$5+$B$6)/30-IF($B$11&lt;=27,$B$12,0)+L356</f>
        <v>10087.1884103159</v>
      </c>
      <c r="T356" s="14" t="n">
        <f aca="false">$B$4-41*($B$5+$B$6)/30-IF($B$11&lt;=41,$B$12,0)+L356+M356</f>
        <v>1133.85928336746</v>
      </c>
      <c r="U356" s="14" t="n">
        <f aca="false">$B$4-55*($B$5+$B$6)/30-IF($B$11&lt;=55,$B$12,0)+L356+M356+N356</f>
        <v>2226.8521123554</v>
      </c>
      <c r="V356" s="14" t="n">
        <f aca="false">$B$4-69*($B$5+$B$6)/30-IF($B$11&lt;=69,$B$12,0)+L356+M356+N356+O356</f>
        <v>3772.58415537158</v>
      </c>
      <c r="W356" s="14" t="n">
        <f aca="false">$B$4-83*($B$5+$B$6)/30-IF($B$11&lt;=83,$B$12,0)+L356+M356+N356+O356+P356</f>
        <v>6373.35907269348</v>
      </c>
      <c r="X356" s="14" t="n">
        <f aca="false">$B$4-90*($B$5+$B$6)/30-IF($B$11&lt;=90,$B$12,0)+L356+M356+N356+O356+P356+Q356</f>
        <v>9178.1246797974</v>
      </c>
      <c r="AA356" s="14" t="n">
        <f aca="false">MIN(R356:X356)</f>
        <v>1133.85928336746</v>
      </c>
    </row>
    <row r="357" customFormat="false" ht="15" hidden="false" customHeight="false" outlineLevel="0" collapsed="false">
      <c r="K357" s="2" t="n">
        <v>352</v>
      </c>
      <c r="L357" s="14" t="n">
        <f aca="true">$B$16+NORMINV(RAND(),0,SQRT($B$13*($B$7+$B$8^2))*$B$9*(1-$B$10))</f>
        <v>3266.78796220744</v>
      </c>
      <c r="M357" s="14" t="n">
        <f aca="true">$B$16+NORMINV(RAND(),0,SQRT($B$13*($B$7+$B$8^2))*$B$9*(1-$B$10))</f>
        <v>3718.10078319386</v>
      </c>
      <c r="N357" s="14" t="n">
        <f aca="true">$B$16+NORMINV(RAND(),0,SQRT($B$13*($B$7+$B$8^2))*$B$9*(1-$B$10))</f>
        <v>4557.58219418651</v>
      </c>
      <c r="O357" s="14" t="n">
        <f aca="true">$B$16+NORMINV(RAND(),0,SQRT($B$13*($B$7+$B$8^2))*$B$9*(1-$B$10))</f>
        <v>4161.16120449795</v>
      </c>
      <c r="P357" s="14" t="n">
        <f aca="true">$B$16+NORMINV(RAND(),0,SQRT($B$13*($B$7+$B$8^2))*$B$9*(1-$B$10))</f>
        <v>4046.56928572666</v>
      </c>
      <c r="Q357" s="14" t="n">
        <f aca="true">$B$16+NORMINV(RAND(),0,SQRT($B$13*($B$7+$B$8^2))*$B$9*(1-$B$10))</f>
        <v>4685.58962572267</v>
      </c>
      <c r="R357" s="14" t="n">
        <f aca="false">$B$4-13*($B$5+$B$6)/30-IF($B$11&lt;=13,$B$12,0)+0</f>
        <v>8876.66666666667</v>
      </c>
      <c r="S357" s="14" t="n">
        <f aca="false">$B$4-27*($B$5+$B$6)/30-IF($B$11&lt;=27,$B$12,0)+L357</f>
        <v>9856.78796220744</v>
      </c>
      <c r="T357" s="14" t="n">
        <f aca="false">$B$4-41*($B$5+$B$6)/30-IF($B$11&lt;=41,$B$12,0)+L357+M357</f>
        <v>103.422078734632</v>
      </c>
      <c r="U357" s="14" t="n">
        <f aca="false">$B$4-55*($B$5+$B$6)/30-IF($B$11&lt;=55,$B$12,0)+L357+M357+N357</f>
        <v>2374.33760625447</v>
      </c>
      <c r="V357" s="14" t="n">
        <f aca="false">$B$4-69*($B$5+$B$6)/30-IF($B$11&lt;=69,$B$12,0)+L357+M357+N357+O357</f>
        <v>4248.83214408575</v>
      </c>
      <c r="W357" s="14" t="n">
        <f aca="false">$B$4-83*($B$5+$B$6)/30-IF($B$11&lt;=83,$B$12,0)+L357+M357+N357+O357+P357</f>
        <v>6008.73476314575</v>
      </c>
      <c r="X357" s="14" t="n">
        <f aca="false">$B$4-90*($B$5+$B$6)/30-IF($B$11&lt;=90,$B$12,0)+L357+M357+N357+O357+P357+Q357</f>
        <v>9550.99105553508</v>
      </c>
      <c r="AA357" s="14" t="n">
        <f aca="false">MIN(R357:X357)</f>
        <v>103.422078734632</v>
      </c>
    </row>
    <row r="358" customFormat="false" ht="15" hidden="false" customHeight="false" outlineLevel="0" collapsed="false">
      <c r="K358" s="2" t="n">
        <v>353</v>
      </c>
      <c r="L358" s="14" t="n">
        <f aca="true">$B$16+NORMINV(RAND(),0,SQRT($B$13*($B$7+$B$8^2))*$B$9*(1-$B$10))</f>
        <v>3649.48375434701</v>
      </c>
      <c r="M358" s="14" t="n">
        <f aca="true">$B$16+NORMINV(RAND(),0,SQRT($B$13*($B$7+$B$8^2))*$B$9*(1-$B$10))</f>
        <v>3604.16730181839</v>
      </c>
      <c r="N358" s="14" t="n">
        <f aca="true">$B$16+NORMINV(RAND(),0,SQRT($B$13*($B$7+$B$8^2))*$B$9*(1-$B$10))</f>
        <v>3828.2937430946</v>
      </c>
      <c r="O358" s="14" t="n">
        <f aca="true">$B$16+NORMINV(RAND(),0,SQRT($B$13*($B$7+$B$8^2))*$B$9*(1-$B$10))</f>
        <v>3763.05078584734</v>
      </c>
      <c r="P358" s="14" t="n">
        <f aca="true">$B$16+NORMINV(RAND(),0,SQRT($B$13*($B$7+$B$8^2))*$B$9*(1-$B$10))</f>
        <v>4084.03520409318</v>
      </c>
      <c r="Q358" s="14" t="n">
        <f aca="true">$B$16+NORMINV(RAND(),0,SQRT($B$13*($B$7+$B$8^2))*$B$9*(1-$B$10))</f>
        <v>3822.99834526131</v>
      </c>
      <c r="R358" s="14" t="n">
        <f aca="false">$B$4-13*($B$5+$B$6)/30-IF($B$11&lt;=13,$B$12,0)+0</f>
        <v>8876.66666666667</v>
      </c>
      <c r="S358" s="14" t="n">
        <f aca="false">$B$4-27*($B$5+$B$6)/30-IF($B$11&lt;=27,$B$12,0)+L358</f>
        <v>10239.483754347</v>
      </c>
      <c r="T358" s="14" t="n">
        <f aca="false">$B$4-41*($B$5+$B$6)/30-IF($B$11&lt;=41,$B$12,0)+L358+M358</f>
        <v>372.18438949873</v>
      </c>
      <c r="U358" s="14" t="n">
        <f aca="false">$B$4-55*($B$5+$B$6)/30-IF($B$11&lt;=55,$B$12,0)+L358+M358+N358</f>
        <v>1913.81146592666</v>
      </c>
      <c r="V358" s="14" t="n">
        <f aca="false">$B$4-69*($B$5+$B$6)/30-IF($B$11&lt;=69,$B$12,0)+L358+M358+N358+O358</f>
        <v>3390.19558510733</v>
      </c>
      <c r="W358" s="14" t="n">
        <f aca="false">$B$4-83*($B$5+$B$6)/30-IF($B$11&lt;=83,$B$12,0)+L358+M358+N358+O358+P358</f>
        <v>5187.56412253384</v>
      </c>
      <c r="X358" s="14" t="n">
        <f aca="false">$B$4-90*($B$5+$B$6)/30-IF($B$11&lt;=90,$B$12,0)+L358+M358+N358+O358+P358+Q358</f>
        <v>7867.22913446182</v>
      </c>
      <c r="AA358" s="14" t="n">
        <f aca="false">MIN(R358:X358)</f>
        <v>372.18438949873</v>
      </c>
    </row>
    <row r="359" customFormat="false" ht="15" hidden="false" customHeight="false" outlineLevel="0" collapsed="false">
      <c r="K359" s="2" t="n">
        <v>354</v>
      </c>
      <c r="L359" s="14" t="n">
        <f aca="true">$B$16+NORMINV(RAND(),0,SQRT($B$13*($B$7+$B$8^2))*$B$9*(1-$B$10))</f>
        <v>4146.11763652131</v>
      </c>
      <c r="M359" s="14" t="n">
        <f aca="true">$B$16+NORMINV(RAND(),0,SQRT($B$13*($B$7+$B$8^2))*$B$9*(1-$B$10))</f>
        <v>4778.64175372705</v>
      </c>
      <c r="N359" s="14" t="n">
        <f aca="true">$B$16+NORMINV(RAND(),0,SQRT($B$13*($B$7+$B$8^2))*$B$9*(1-$B$10))</f>
        <v>3645.0003964331</v>
      </c>
      <c r="O359" s="14" t="n">
        <f aca="true">$B$16+NORMINV(RAND(),0,SQRT($B$13*($B$7+$B$8^2))*$B$9*(1-$B$10))</f>
        <v>4368.41796195412</v>
      </c>
      <c r="P359" s="14" t="n">
        <f aca="true">$B$16+NORMINV(RAND(),0,SQRT($B$13*($B$7+$B$8^2))*$B$9*(1-$B$10))</f>
        <v>3571.60244250459</v>
      </c>
      <c r="Q359" s="14" t="n">
        <f aca="true">$B$16+NORMINV(RAND(),0,SQRT($B$13*($B$7+$B$8^2))*$B$9*(1-$B$10))</f>
        <v>3631.36400927999</v>
      </c>
      <c r="R359" s="14" t="n">
        <f aca="false">$B$4-13*($B$5+$B$6)/30-IF($B$11&lt;=13,$B$12,0)+0</f>
        <v>8876.66666666667</v>
      </c>
      <c r="S359" s="14" t="n">
        <f aca="false">$B$4-27*($B$5+$B$6)/30-IF($B$11&lt;=27,$B$12,0)+L359</f>
        <v>10736.1176365213</v>
      </c>
      <c r="T359" s="14" t="n">
        <f aca="false">$B$4-41*($B$5+$B$6)/30-IF($B$11&lt;=41,$B$12,0)+L359+M359</f>
        <v>2043.29272358169</v>
      </c>
      <c r="U359" s="14" t="n">
        <f aca="false">$B$4-55*($B$5+$B$6)/30-IF($B$11&lt;=55,$B$12,0)+L359+M359+N359</f>
        <v>3401.62645334813</v>
      </c>
      <c r="V359" s="14" t="n">
        <f aca="false">$B$4-69*($B$5+$B$6)/30-IF($B$11&lt;=69,$B$12,0)+L359+M359+N359+O359</f>
        <v>5483.37774863558</v>
      </c>
      <c r="W359" s="14" t="n">
        <f aca="false">$B$4-83*($B$5+$B$6)/30-IF($B$11&lt;=83,$B$12,0)+L359+M359+N359+O359+P359</f>
        <v>6768.3135244735</v>
      </c>
      <c r="X359" s="14" t="n">
        <f aca="false">$B$4-90*($B$5+$B$6)/30-IF($B$11&lt;=90,$B$12,0)+L359+M359+N359+O359+P359+Q359</f>
        <v>9256.34420042016</v>
      </c>
      <c r="AA359" s="14" t="n">
        <f aca="false">MIN(R359:X359)</f>
        <v>2043.29272358169</v>
      </c>
    </row>
    <row r="360" customFormat="false" ht="15" hidden="false" customHeight="false" outlineLevel="0" collapsed="false">
      <c r="K360" s="2" t="n">
        <v>355</v>
      </c>
      <c r="L360" s="14" t="n">
        <f aca="true">$B$16+NORMINV(RAND(),0,SQRT($B$13*($B$7+$B$8^2))*$B$9*(1-$B$10))</f>
        <v>4038.59479994554</v>
      </c>
      <c r="M360" s="14" t="n">
        <f aca="true">$B$16+NORMINV(RAND(),0,SQRT($B$13*($B$7+$B$8^2))*$B$9*(1-$B$10))</f>
        <v>3556.26827144576</v>
      </c>
      <c r="N360" s="14" t="n">
        <f aca="true">$B$16+NORMINV(RAND(),0,SQRT($B$13*($B$7+$B$8^2))*$B$9*(1-$B$10))</f>
        <v>4261.68436982738</v>
      </c>
      <c r="O360" s="14" t="n">
        <f aca="true">$B$16+NORMINV(RAND(),0,SQRT($B$13*($B$7+$B$8^2))*$B$9*(1-$B$10))</f>
        <v>4124.65395942388</v>
      </c>
      <c r="P360" s="14" t="n">
        <f aca="true">$B$16+NORMINV(RAND(),0,SQRT($B$13*($B$7+$B$8^2))*$B$9*(1-$B$10))</f>
        <v>3756.93129799443</v>
      </c>
      <c r="Q360" s="14" t="n">
        <f aca="true">$B$16+NORMINV(RAND(),0,SQRT($B$13*($B$7+$B$8^2))*$B$9*(1-$B$10))</f>
        <v>4355.09667192752</v>
      </c>
      <c r="R360" s="14" t="n">
        <f aca="false">$B$4-13*($B$5+$B$6)/30-IF($B$11&lt;=13,$B$12,0)+0</f>
        <v>8876.66666666667</v>
      </c>
      <c r="S360" s="14" t="n">
        <f aca="false">$B$4-27*($B$5+$B$6)/30-IF($B$11&lt;=27,$B$12,0)+L360</f>
        <v>10628.5947999455</v>
      </c>
      <c r="T360" s="14" t="n">
        <f aca="false">$B$4-41*($B$5+$B$6)/30-IF($B$11&lt;=41,$B$12,0)+L360+M360</f>
        <v>713.396404724623</v>
      </c>
      <c r="U360" s="14" t="n">
        <f aca="false">$B$4-55*($B$5+$B$6)/30-IF($B$11&lt;=55,$B$12,0)+L360+M360+N360</f>
        <v>2688.41410788534</v>
      </c>
      <c r="V360" s="14" t="n">
        <f aca="false">$B$4-69*($B$5+$B$6)/30-IF($B$11&lt;=69,$B$12,0)+L360+M360+N360+O360</f>
        <v>4526.40140064255</v>
      </c>
      <c r="W360" s="14" t="n">
        <f aca="false">$B$4-83*($B$5+$B$6)/30-IF($B$11&lt;=83,$B$12,0)+L360+M360+N360+O360+P360</f>
        <v>5996.66603197031</v>
      </c>
      <c r="X360" s="14" t="n">
        <f aca="false">$B$4-90*($B$5+$B$6)/30-IF($B$11&lt;=90,$B$12,0)+L360+M360+N360+O360+P360+Q360</f>
        <v>9208.42937056449</v>
      </c>
      <c r="AA360" s="14" t="n">
        <f aca="false">MIN(R360:X360)</f>
        <v>713.396404724623</v>
      </c>
    </row>
    <row r="361" customFormat="false" ht="15" hidden="false" customHeight="false" outlineLevel="0" collapsed="false">
      <c r="K361" s="2" t="n">
        <v>356</v>
      </c>
      <c r="L361" s="14" t="n">
        <f aca="true">$B$16+NORMINV(RAND(),0,SQRT($B$13*($B$7+$B$8^2))*$B$9*(1-$B$10))</f>
        <v>3839.37642326912</v>
      </c>
      <c r="M361" s="14" t="n">
        <f aca="true">$B$16+NORMINV(RAND(),0,SQRT($B$13*($B$7+$B$8^2))*$B$9*(1-$B$10))</f>
        <v>4218.04223850605</v>
      </c>
      <c r="N361" s="14" t="n">
        <f aca="true">$B$16+NORMINV(RAND(),0,SQRT($B$13*($B$7+$B$8^2))*$B$9*(1-$B$10))</f>
        <v>3520.09500930569</v>
      </c>
      <c r="O361" s="14" t="n">
        <f aca="true">$B$16+NORMINV(RAND(),0,SQRT($B$13*($B$7+$B$8^2))*$B$9*(1-$B$10))</f>
        <v>4153.5244295228</v>
      </c>
      <c r="P361" s="14" t="n">
        <f aca="true">$B$16+NORMINV(RAND(),0,SQRT($B$13*($B$7+$B$8^2))*$B$9*(1-$B$10))</f>
        <v>3243.85128720395</v>
      </c>
      <c r="Q361" s="14" t="n">
        <f aca="true">$B$16+NORMINV(RAND(),0,SQRT($B$13*($B$7+$B$8^2))*$B$9*(1-$B$10))</f>
        <v>3932.04466531729</v>
      </c>
      <c r="R361" s="14" t="n">
        <f aca="false">$B$4-13*($B$5+$B$6)/30-IF($B$11&lt;=13,$B$12,0)+0</f>
        <v>8876.66666666667</v>
      </c>
      <c r="S361" s="14" t="n">
        <f aca="false">$B$4-27*($B$5+$B$6)/30-IF($B$11&lt;=27,$B$12,0)+L361</f>
        <v>10429.3764232691</v>
      </c>
      <c r="T361" s="14" t="n">
        <f aca="false">$B$4-41*($B$5+$B$6)/30-IF($B$11&lt;=41,$B$12,0)+L361+M361</f>
        <v>1175.95199510851</v>
      </c>
      <c r="U361" s="14" t="n">
        <f aca="false">$B$4-55*($B$5+$B$6)/30-IF($B$11&lt;=55,$B$12,0)+L361+M361+N361</f>
        <v>2409.38033774753</v>
      </c>
      <c r="V361" s="14" t="n">
        <f aca="false">$B$4-69*($B$5+$B$6)/30-IF($B$11&lt;=69,$B$12,0)+L361+M361+N361+O361</f>
        <v>4276.23810060367</v>
      </c>
      <c r="W361" s="14" t="n">
        <f aca="false">$B$4-83*($B$5+$B$6)/30-IF($B$11&lt;=83,$B$12,0)+L361+M361+N361+O361+P361</f>
        <v>5233.42272114095</v>
      </c>
      <c r="X361" s="14" t="n">
        <f aca="false">$B$4-90*($B$5+$B$6)/30-IF($B$11&lt;=90,$B$12,0)+L361+M361+N361+O361+P361+Q361</f>
        <v>8022.13405312491</v>
      </c>
      <c r="AA361" s="14" t="n">
        <f aca="false">MIN(R361:X361)</f>
        <v>1175.95199510851</v>
      </c>
    </row>
    <row r="362" customFormat="false" ht="15" hidden="false" customHeight="false" outlineLevel="0" collapsed="false">
      <c r="K362" s="2" t="n">
        <v>357</v>
      </c>
      <c r="L362" s="14" t="n">
        <f aca="true">$B$16+NORMINV(RAND(),0,SQRT($B$13*($B$7+$B$8^2))*$B$9*(1-$B$10))</f>
        <v>3691.13586598413</v>
      </c>
      <c r="M362" s="14" t="n">
        <f aca="true">$B$16+NORMINV(RAND(),0,SQRT($B$13*($B$7+$B$8^2))*$B$9*(1-$B$10))</f>
        <v>3606.3436114107</v>
      </c>
      <c r="N362" s="14" t="n">
        <f aca="true">$B$16+NORMINV(RAND(),0,SQRT($B$13*($B$7+$B$8^2))*$B$9*(1-$B$10))</f>
        <v>3713.51635849261</v>
      </c>
      <c r="O362" s="14" t="n">
        <f aca="true">$B$16+NORMINV(RAND(),0,SQRT($B$13*($B$7+$B$8^2))*$B$9*(1-$B$10))</f>
        <v>3961.05240234783</v>
      </c>
      <c r="P362" s="14" t="n">
        <f aca="true">$B$16+NORMINV(RAND(),0,SQRT($B$13*($B$7+$B$8^2))*$B$9*(1-$B$10))</f>
        <v>4350.1391345343</v>
      </c>
      <c r="Q362" s="14" t="n">
        <f aca="true">$B$16+NORMINV(RAND(),0,SQRT($B$13*($B$7+$B$8^2))*$B$9*(1-$B$10))</f>
        <v>3511.45161975605</v>
      </c>
      <c r="R362" s="14" t="n">
        <f aca="false">$B$4-13*($B$5+$B$6)/30-IF($B$11&lt;=13,$B$12,0)+0</f>
        <v>8876.66666666667</v>
      </c>
      <c r="S362" s="14" t="n">
        <f aca="false">$B$4-27*($B$5+$B$6)/30-IF($B$11&lt;=27,$B$12,0)+L362</f>
        <v>10281.1358659841</v>
      </c>
      <c r="T362" s="14" t="n">
        <f aca="false">$B$4-41*($B$5+$B$6)/30-IF($B$11&lt;=41,$B$12,0)+L362+M362</f>
        <v>416.012810728163</v>
      </c>
      <c r="U362" s="14" t="n">
        <f aca="false">$B$4-55*($B$5+$B$6)/30-IF($B$11&lt;=55,$B$12,0)+L362+M362+N362</f>
        <v>1842.86250255411</v>
      </c>
      <c r="V362" s="14" t="n">
        <f aca="false">$B$4-69*($B$5+$B$6)/30-IF($B$11&lt;=69,$B$12,0)+L362+M362+N362+O362</f>
        <v>3517.24823823528</v>
      </c>
      <c r="W362" s="14" t="n">
        <f aca="false">$B$4-83*($B$5+$B$6)/30-IF($B$11&lt;=83,$B$12,0)+L362+M362+N362+O362+P362</f>
        <v>5580.72070610292</v>
      </c>
      <c r="X362" s="14" t="n">
        <f aca="false">$B$4-90*($B$5+$B$6)/30-IF($B$11&lt;=90,$B$12,0)+L362+M362+N362+O362+P362+Q362</f>
        <v>7948.83899252563</v>
      </c>
      <c r="AA362" s="14" t="n">
        <f aca="false">MIN(R362:X362)</f>
        <v>416.012810728163</v>
      </c>
    </row>
    <row r="363" customFormat="false" ht="15" hidden="false" customHeight="false" outlineLevel="0" collapsed="false">
      <c r="K363" s="2" t="n">
        <v>358</v>
      </c>
      <c r="L363" s="14" t="n">
        <f aca="true">$B$16+NORMINV(RAND(),0,SQRT($B$13*($B$7+$B$8^2))*$B$9*(1-$B$10))</f>
        <v>3893.74118797311</v>
      </c>
      <c r="M363" s="14" t="n">
        <f aca="true">$B$16+NORMINV(RAND(),0,SQRT($B$13*($B$7+$B$8^2))*$B$9*(1-$B$10))</f>
        <v>3900.41463657887</v>
      </c>
      <c r="N363" s="14" t="n">
        <f aca="true">$B$16+NORMINV(RAND(),0,SQRT($B$13*($B$7+$B$8^2))*$B$9*(1-$B$10))</f>
        <v>3776.21069236611</v>
      </c>
      <c r="O363" s="14" t="n">
        <f aca="true">$B$16+NORMINV(RAND(),0,SQRT($B$13*($B$7+$B$8^2))*$B$9*(1-$B$10))</f>
        <v>3431.35363778761</v>
      </c>
      <c r="P363" s="14" t="n">
        <f aca="true">$B$16+NORMINV(RAND(),0,SQRT($B$13*($B$7+$B$8^2))*$B$9*(1-$B$10))</f>
        <v>4312.25560201628</v>
      </c>
      <c r="Q363" s="14" t="n">
        <f aca="true">$B$16+NORMINV(RAND(),0,SQRT($B$13*($B$7+$B$8^2))*$B$9*(1-$B$10))</f>
        <v>3716.29238326911</v>
      </c>
      <c r="R363" s="14" t="n">
        <f aca="false">$B$4-13*($B$5+$B$6)/30-IF($B$11&lt;=13,$B$12,0)+0</f>
        <v>8876.66666666667</v>
      </c>
      <c r="S363" s="14" t="n">
        <f aca="false">$B$4-27*($B$5+$B$6)/30-IF($B$11&lt;=27,$B$12,0)+L363</f>
        <v>10483.7411879731</v>
      </c>
      <c r="T363" s="14" t="n">
        <f aca="false">$B$4-41*($B$5+$B$6)/30-IF($B$11&lt;=41,$B$12,0)+L363+M363</f>
        <v>912.689157885315</v>
      </c>
      <c r="U363" s="14" t="n">
        <f aca="false">$B$4-55*($B$5+$B$6)/30-IF($B$11&lt;=55,$B$12,0)+L363+M363+N363</f>
        <v>2402.23318358476</v>
      </c>
      <c r="V363" s="14" t="n">
        <f aca="false">$B$4-69*($B$5+$B$6)/30-IF($B$11&lt;=69,$B$12,0)+L363+M363+N363+O363</f>
        <v>3546.9201547057</v>
      </c>
      <c r="W363" s="14" t="n">
        <f aca="false">$B$4-83*($B$5+$B$6)/30-IF($B$11&lt;=83,$B$12,0)+L363+M363+N363+O363+P363</f>
        <v>5572.50909005531</v>
      </c>
      <c r="X363" s="14" t="n">
        <f aca="false">$B$4-90*($B$5+$B$6)/30-IF($B$11&lt;=90,$B$12,0)+L363+M363+N363+O363+P363+Q363</f>
        <v>8145.46813999109</v>
      </c>
      <c r="AA363" s="14" t="n">
        <f aca="false">MIN(R363:X363)</f>
        <v>912.689157885315</v>
      </c>
    </row>
    <row r="364" customFormat="false" ht="15" hidden="false" customHeight="false" outlineLevel="0" collapsed="false">
      <c r="K364" s="2" t="n">
        <v>359</v>
      </c>
      <c r="L364" s="14" t="n">
        <f aca="true">$B$16+NORMINV(RAND(),0,SQRT($B$13*($B$7+$B$8^2))*$B$9*(1-$B$10))</f>
        <v>3893.43960803392</v>
      </c>
      <c r="M364" s="14" t="n">
        <f aca="true">$B$16+NORMINV(RAND(),0,SQRT($B$13*($B$7+$B$8^2))*$B$9*(1-$B$10))</f>
        <v>4142.36495788564</v>
      </c>
      <c r="N364" s="14" t="n">
        <f aca="true">$B$16+NORMINV(RAND(),0,SQRT($B$13*($B$7+$B$8^2))*$B$9*(1-$B$10))</f>
        <v>4479.85784113379</v>
      </c>
      <c r="O364" s="14" t="n">
        <f aca="true">$B$16+NORMINV(RAND(),0,SQRT($B$13*($B$7+$B$8^2))*$B$9*(1-$B$10))</f>
        <v>3659.18824075355</v>
      </c>
      <c r="P364" s="14" t="n">
        <f aca="true">$B$16+NORMINV(RAND(),0,SQRT($B$13*($B$7+$B$8^2))*$B$9*(1-$B$10))</f>
        <v>4229.3117646316</v>
      </c>
      <c r="Q364" s="14" t="n">
        <f aca="true">$B$16+NORMINV(RAND(),0,SQRT($B$13*($B$7+$B$8^2))*$B$9*(1-$B$10))</f>
        <v>4118.33699104036</v>
      </c>
      <c r="R364" s="14" t="n">
        <f aca="false">$B$4-13*($B$5+$B$6)/30-IF($B$11&lt;=13,$B$12,0)+0</f>
        <v>8876.66666666667</v>
      </c>
      <c r="S364" s="14" t="n">
        <f aca="false">$B$4-27*($B$5+$B$6)/30-IF($B$11&lt;=27,$B$12,0)+L364</f>
        <v>10483.4396080339</v>
      </c>
      <c r="T364" s="14" t="n">
        <f aca="false">$B$4-41*($B$5+$B$6)/30-IF($B$11&lt;=41,$B$12,0)+L364+M364</f>
        <v>1154.33789925289</v>
      </c>
      <c r="U364" s="14" t="n">
        <f aca="false">$B$4-55*($B$5+$B$6)/30-IF($B$11&lt;=55,$B$12,0)+L364+M364+N364</f>
        <v>3347.52907372002</v>
      </c>
      <c r="V364" s="14" t="n">
        <f aca="false">$B$4-69*($B$5+$B$6)/30-IF($B$11&lt;=69,$B$12,0)+L364+M364+N364+O364</f>
        <v>4720.0506478069</v>
      </c>
      <c r="W364" s="14" t="n">
        <f aca="false">$B$4-83*($B$5+$B$6)/30-IF($B$11&lt;=83,$B$12,0)+L364+M364+N364+O364+P364</f>
        <v>6662.69574577184</v>
      </c>
      <c r="X364" s="14" t="n">
        <f aca="false">$B$4-90*($B$5+$B$6)/30-IF($B$11&lt;=90,$B$12,0)+L364+M364+N364+O364+P364+Q364</f>
        <v>9637.69940347886</v>
      </c>
      <c r="AA364" s="14" t="n">
        <f aca="false">MIN(R364:X364)</f>
        <v>1154.33789925289</v>
      </c>
    </row>
    <row r="365" customFormat="false" ht="15" hidden="false" customHeight="false" outlineLevel="0" collapsed="false">
      <c r="K365" s="2" t="n">
        <v>360</v>
      </c>
      <c r="L365" s="14" t="n">
        <f aca="true">$B$16+NORMINV(RAND(),0,SQRT($B$13*($B$7+$B$8^2))*$B$9*(1-$B$10))</f>
        <v>3379.19394609453</v>
      </c>
      <c r="M365" s="14" t="n">
        <f aca="true">$B$16+NORMINV(RAND(),0,SQRT($B$13*($B$7+$B$8^2))*$B$9*(1-$B$10))</f>
        <v>3990.62347440081</v>
      </c>
      <c r="N365" s="14" t="n">
        <f aca="true">$B$16+NORMINV(RAND(),0,SQRT($B$13*($B$7+$B$8^2))*$B$9*(1-$B$10))</f>
        <v>3566.50705405832</v>
      </c>
      <c r="O365" s="14" t="n">
        <f aca="true">$B$16+NORMINV(RAND(),0,SQRT($B$13*($B$7+$B$8^2))*$B$9*(1-$B$10))</f>
        <v>4024.93811922831</v>
      </c>
      <c r="P365" s="14" t="n">
        <f aca="true">$B$16+NORMINV(RAND(),0,SQRT($B$13*($B$7+$B$8^2))*$B$9*(1-$B$10))</f>
        <v>4375.1131463996</v>
      </c>
      <c r="Q365" s="14" t="n">
        <f aca="true">$B$16+NORMINV(RAND(),0,SQRT($B$13*($B$7+$B$8^2))*$B$9*(1-$B$10))</f>
        <v>4201.0315452555</v>
      </c>
      <c r="R365" s="14" t="n">
        <f aca="false">$B$4-13*($B$5+$B$6)/30-IF($B$11&lt;=13,$B$12,0)+0</f>
        <v>8876.66666666667</v>
      </c>
      <c r="S365" s="14" t="n">
        <f aca="false">$B$4-27*($B$5+$B$6)/30-IF($B$11&lt;=27,$B$12,0)+L365</f>
        <v>9969.19394609453</v>
      </c>
      <c r="T365" s="14" t="n">
        <f aca="false">$B$4-41*($B$5+$B$6)/30-IF($B$11&lt;=41,$B$12,0)+L365+M365</f>
        <v>488.350753828675</v>
      </c>
      <c r="U365" s="14" t="n">
        <f aca="false">$B$4-55*($B$5+$B$6)/30-IF($B$11&lt;=55,$B$12,0)+L365+M365+N365</f>
        <v>1768.19114122033</v>
      </c>
      <c r="V365" s="14" t="n">
        <f aca="false">$B$4-69*($B$5+$B$6)/30-IF($B$11&lt;=69,$B$12,0)+L365+M365+N365+O365</f>
        <v>3506.46259378197</v>
      </c>
      <c r="W365" s="14" t="n">
        <f aca="false">$B$4-83*($B$5+$B$6)/30-IF($B$11&lt;=83,$B$12,0)+L365+M365+N365+O365+P365</f>
        <v>5594.90907351491</v>
      </c>
      <c r="X365" s="14" t="n">
        <f aca="false">$B$4-90*($B$5+$B$6)/30-IF($B$11&lt;=90,$B$12,0)+L365+M365+N365+O365+P365+Q365</f>
        <v>8652.60728543708</v>
      </c>
      <c r="AA365" s="14" t="n">
        <f aca="false">MIN(R365:X365)</f>
        <v>488.350753828675</v>
      </c>
    </row>
    <row r="366" customFormat="false" ht="15" hidden="false" customHeight="false" outlineLevel="0" collapsed="false">
      <c r="K366" s="2" t="n">
        <v>361</v>
      </c>
      <c r="L366" s="14" t="n">
        <f aca="true">$B$16+NORMINV(RAND(),0,SQRT($B$13*($B$7+$B$8^2))*$B$9*(1-$B$10))</f>
        <v>3813.81091531655</v>
      </c>
      <c r="M366" s="14" t="n">
        <f aca="true">$B$16+NORMINV(RAND(),0,SQRT($B$13*($B$7+$B$8^2))*$B$9*(1-$B$10))</f>
        <v>4011.59879096804</v>
      </c>
      <c r="N366" s="14" t="n">
        <f aca="true">$B$16+NORMINV(RAND(),0,SQRT($B$13*($B$7+$B$8^2))*$B$9*(1-$B$10))</f>
        <v>3651.76550206049</v>
      </c>
      <c r="O366" s="14" t="n">
        <f aca="true">$B$16+NORMINV(RAND(),0,SQRT($B$13*($B$7+$B$8^2))*$B$9*(1-$B$10))</f>
        <v>4259.30703561803</v>
      </c>
      <c r="P366" s="14" t="n">
        <f aca="true">$B$16+NORMINV(RAND(),0,SQRT($B$13*($B$7+$B$8^2))*$B$9*(1-$B$10))</f>
        <v>3728.51588404628</v>
      </c>
      <c r="Q366" s="14" t="n">
        <f aca="true">$B$16+NORMINV(RAND(),0,SQRT($B$13*($B$7+$B$8^2))*$B$9*(1-$B$10))</f>
        <v>4006.89783775799</v>
      </c>
      <c r="R366" s="14" t="n">
        <f aca="false">$B$4-13*($B$5+$B$6)/30-IF($B$11&lt;=13,$B$12,0)+0</f>
        <v>8876.66666666667</v>
      </c>
      <c r="S366" s="14" t="n">
        <f aca="false">$B$4-27*($B$5+$B$6)/30-IF($B$11&lt;=27,$B$12,0)+L366</f>
        <v>10403.8109153166</v>
      </c>
      <c r="T366" s="14" t="n">
        <f aca="false">$B$4-41*($B$5+$B$6)/30-IF($B$11&lt;=41,$B$12,0)+L366+M366</f>
        <v>943.943039617924</v>
      </c>
      <c r="U366" s="14" t="n">
        <f aca="false">$B$4-55*($B$5+$B$6)/30-IF($B$11&lt;=55,$B$12,0)+L366+M366+N366</f>
        <v>2309.04187501175</v>
      </c>
      <c r="V366" s="14" t="n">
        <f aca="false">$B$4-69*($B$5+$B$6)/30-IF($B$11&lt;=69,$B$12,0)+L366+M366+N366+O366</f>
        <v>4281.68224396311</v>
      </c>
      <c r="W366" s="14" t="n">
        <f aca="false">$B$4-83*($B$5+$B$6)/30-IF($B$11&lt;=83,$B$12,0)+L366+M366+N366+O366+P366</f>
        <v>5723.53146134272</v>
      </c>
      <c r="X366" s="14" t="n">
        <f aca="false">$B$4-90*($B$5+$B$6)/30-IF($B$11&lt;=90,$B$12,0)+L366+M366+N366+O366+P366+Q366</f>
        <v>8587.09596576738</v>
      </c>
      <c r="AA366" s="14" t="n">
        <f aca="false">MIN(R366:X366)</f>
        <v>943.943039617924</v>
      </c>
    </row>
    <row r="367" customFormat="false" ht="15" hidden="false" customHeight="false" outlineLevel="0" collapsed="false">
      <c r="K367" s="2" t="n">
        <v>362</v>
      </c>
      <c r="L367" s="14" t="n">
        <f aca="true">$B$16+NORMINV(RAND(),0,SQRT($B$13*($B$7+$B$8^2))*$B$9*(1-$B$10))</f>
        <v>3716.00119015812</v>
      </c>
      <c r="M367" s="14" t="n">
        <f aca="true">$B$16+NORMINV(RAND(),0,SQRT($B$13*($B$7+$B$8^2))*$B$9*(1-$B$10))</f>
        <v>4011.85263142532</v>
      </c>
      <c r="N367" s="14" t="n">
        <f aca="true">$B$16+NORMINV(RAND(),0,SQRT($B$13*($B$7+$B$8^2))*$B$9*(1-$B$10))</f>
        <v>4636.70170872561</v>
      </c>
      <c r="O367" s="14" t="n">
        <f aca="true">$B$16+NORMINV(RAND(),0,SQRT($B$13*($B$7+$B$8^2))*$B$9*(1-$B$10))</f>
        <v>3850.49693073992</v>
      </c>
      <c r="P367" s="14" t="n">
        <f aca="true">$B$16+NORMINV(RAND(),0,SQRT($B$13*($B$7+$B$8^2))*$B$9*(1-$B$10))</f>
        <v>3590.87447447618</v>
      </c>
      <c r="Q367" s="14" t="n">
        <f aca="true">$B$16+NORMINV(RAND(),0,SQRT($B$13*($B$7+$B$8^2))*$B$9*(1-$B$10))</f>
        <v>4415.88182608929</v>
      </c>
      <c r="R367" s="14" t="n">
        <f aca="false">$B$4-13*($B$5+$B$6)/30-IF($B$11&lt;=13,$B$12,0)+0</f>
        <v>8876.66666666667</v>
      </c>
      <c r="S367" s="14" t="n">
        <f aca="false">$B$4-27*($B$5+$B$6)/30-IF($B$11&lt;=27,$B$12,0)+L367</f>
        <v>10306.0011901581</v>
      </c>
      <c r="T367" s="14" t="n">
        <f aca="false">$B$4-41*($B$5+$B$6)/30-IF($B$11&lt;=41,$B$12,0)+L367+M367</f>
        <v>846.387154916767</v>
      </c>
      <c r="U367" s="14" t="n">
        <f aca="false">$B$4-55*($B$5+$B$6)/30-IF($B$11&lt;=55,$B$12,0)+L367+M367+N367</f>
        <v>3196.42219697571</v>
      </c>
      <c r="V367" s="14" t="n">
        <f aca="false">$B$4-69*($B$5+$B$6)/30-IF($B$11&lt;=69,$B$12,0)+L367+M367+N367+O367</f>
        <v>4760.25246104896</v>
      </c>
      <c r="W367" s="14" t="n">
        <f aca="false">$B$4-83*($B$5+$B$6)/30-IF($B$11&lt;=83,$B$12,0)+L367+M367+N367+O367+P367</f>
        <v>6064.46026885848</v>
      </c>
      <c r="X367" s="14" t="n">
        <f aca="false">$B$4-90*($B$5+$B$6)/30-IF($B$11&lt;=90,$B$12,0)+L367+M367+N367+O367+P367+Q367</f>
        <v>9337.00876161444</v>
      </c>
      <c r="AA367" s="14" t="n">
        <f aca="false">MIN(R367:X367)</f>
        <v>846.387154916767</v>
      </c>
    </row>
    <row r="368" customFormat="false" ht="15" hidden="false" customHeight="false" outlineLevel="0" collapsed="false">
      <c r="K368" s="2" t="n">
        <v>363</v>
      </c>
      <c r="L368" s="14" t="n">
        <f aca="true">$B$16+NORMINV(RAND(),0,SQRT($B$13*($B$7+$B$8^2))*$B$9*(1-$B$10))</f>
        <v>4672.3673076081</v>
      </c>
      <c r="M368" s="14" t="n">
        <f aca="true">$B$16+NORMINV(RAND(),0,SQRT($B$13*($B$7+$B$8^2))*$B$9*(1-$B$10))</f>
        <v>3731.83691418707</v>
      </c>
      <c r="N368" s="14" t="n">
        <f aca="true">$B$16+NORMINV(RAND(),0,SQRT($B$13*($B$7+$B$8^2))*$B$9*(1-$B$10))</f>
        <v>3849.58904902041</v>
      </c>
      <c r="O368" s="14" t="n">
        <f aca="true">$B$16+NORMINV(RAND(),0,SQRT($B$13*($B$7+$B$8^2))*$B$9*(1-$B$10))</f>
        <v>4705.22172368534</v>
      </c>
      <c r="P368" s="14" t="n">
        <f aca="true">$B$16+NORMINV(RAND(),0,SQRT($B$13*($B$7+$B$8^2))*$B$9*(1-$B$10))</f>
        <v>3753.79418400612</v>
      </c>
      <c r="Q368" s="14" t="n">
        <f aca="true">$B$16+NORMINV(RAND(),0,SQRT($B$13*($B$7+$B$8^2))*$B$9*(1-$B$10))</f>
        <v>4094.79453106149</v>
      </c>
      <c r="R368" s="14" t="n">
        <f aca="false">$B$4-13*($B$5+$B$6)/30-IF($B$11&lt;=13,$B$12,0)+0</f>
        <v>8876.66666666667</v>
      </c>
      <c r="S368" s="14" t="n">
        <f aca="false">$B$4-27*($B$5+$B$6)/30-IF($B$11&lt;=27,$B$12,0)+L368</f>
        <v>11262.3673076081</v>
      </c>
      <c r="T368" s="14" t="n">
        <f aca="false">$B$4-41*($B$5+$B$6)/30-IF($B$11&lt;=41,$B$12,0)+L368+M368</f>
        <v>1522.7375551285</v>
      </c>
      <c r="U368" s="14" t="n">
        <f aca="false">$B$4-55*($B$5+$B$6)/30-IF($B$11&lt;=55,$B$12,0)+L368+M368+N368</f>
        <v>3085.65993748224</v>
      </c>
      <c r="V368" s="14" t="n">
        <f aca="false">$B$4-69*($B$5+$B$6)/30-IF($B$11&lt;=69,$B$12,0)+L368+M368+N368+O368</f>
        <v>5504.21499450091</v>
      </c>
      <c r="W368" s="14" t="n">
        <f aca="false">$B$4-83*($B$5+$B$6)/30-IF($B$11&lt;=83,$B$12,0)+L368+M368+N368+O368+P368</f>
        <v>6971.34251184037</v>
      </c>
      <c r="X368" s="14" t="n">
        <f aca="false">$B$4-90*($B$5+$B$6)/30-IF($B$11&lt;=90,$B$12,0)+L368+M368+N368+O368+P368+Q368</f>
        <v>9922.80370956852</v>
      </c>
      <c r="AA368" s="14" t="n">
        <f aca="false">MIN(R368:X368)</f>
        <v>1522.7375551285</v>
      </c>
    </row>
    <row r="369" customFormat="false" ht="15" hidden="false" customHeight="false" outlineLevel="0" collapsed="false">
      <c r="K369" s="2" t="n">
        <v>364</v>
      </c>
      <c r="L369" s="14" t="n">
        <f aca="true">$B$16+NORMINV(RAND(),0,SQRT($B$13*($B$7+$B$8^2))*$B$9*(1-$B$10))</f>
        <v>4740.90915355964</v>
      </c>
      <c r="M369" s="14" t="n">
        <f aca="true">$B$16+NORMINV(RAND(),0,SQRT($B$13*($B$7+$B$8^2))*$B$9*(1-$B$10))</f>
        <v>4286.12030405766</v>
      </c>
      <c r="N369" s="14" t="n">
        <f aca="true">$B$16+NORMINV(RAND(),0,SQRT($B$13*($B$7+$B$8^2))*$B$9*(1-$B$10))</f>
        <v>4118.79110402144</v>
      </c>
      <c r="O369" s="14" t="n">
        <f aca="true">$B$16+NORMINV(RAND(),0,SQRT($B$13*($B$7+$B$8^2))*$B$9*(1-$B$10))</f>
        <v>4656.88498452317</v>
      </c>
      <c r="P369" s="14" t="n">
        <f aca="true">$B$16+NORMINV(RAND(),0,SQRT($B$13*($B$7+$B$8^2))*$B$9*(1-$B$10))</f>
        <v>4334.75136712945</v>
      </c>
      <c r="Q369" s="14" t="n">
        <f aca="true">$B$16+NORMINV(RAND(),0,SQRT($B$13*($B$7+$B$8^2))*$B$9*(1-$B$10))</f>
        <v>3951.10348884729</v>
      </c>
      <c r="R369" s="14" t="n">
        <f aca="false">$B$4-13*($B$5+$B$6)/30-IF($B$11&lt;=13,$B$12,0)+0</f>
        <v>8876.66666666667</v>
      </c>
      <c r="S369" s="14" t="n">
        <f aca="false">$B$4-27*($B$5+$B$6)/30-IF($B$11&lt;=27,$B$12,0)+L369</f>
        <v>11330.9091535596</v>
      </c>
      <c r="T369" s="14" t="n">
        <f aca="false">$B$4-41*($B$5+$B$6)/30-IF($B$11&lt;=41,$B$12,0)+L369+M369</f>
        <v>2145.56279095063</v>
      </c>
      <c r="U369" s="14" t="n">
        <f aca="false">$B$4-55*($B$5+$B$6)/30-IF($B$11&lt;=55,$B$12,0)+L369+M369+N369</f>
        <v>3977.6872283054</v>
      </c>
      <c r="V369" s="14" t="n">
        <f aca="false">$B$4-69*($B$5+$B$6)/30-IF($B$11&lt;=69,$B$12,0)+L369+M369+N369+O369</f>
        <v>6347.90554616191</v>
      </c>
      <c r="W369" s="14" t="n">
        <f aca="false">$B$4-83*($B$5+$B$6)/30-IF($B$11&lt;=83,$B$12,0)+L369+M369+N369+O369+P369</f>
        <v>8395.99024662469</v>
      </c>
      <c r="X369" s="14" t="n">
        <f aca="false">$B$4-90*($B$5+$B$6)/30-IF($B$11&lt;=90,$B$12,0)+L369+M369+N369+O369+P369+Q369</f>
        <v>11203.7604021387</v>
      </c>
      <c r="AA369" s="14" t="n">
        <f aca="false">MIN(R369:X369)</f>
        <v>2145.56279095063</v>
      </c>
    </row>
    <row r="370" customFormat="false" ht="15" hidden="false" customHeight="false" outlineLevel="0" collapsed="false">
      <c r="K370" s="2" t="n">
        <v>365</v>
      </c>
      <c r="L370" s="14" t="n">
        <f aca="true">$B$16+NORMINV(RAND(),0,SQRT($B$13*($B$7+$B$8^2))*$B$9*(1-$B$10))</f>
        <v>4129.12473375838</v>
      </c>
      <c r="M370" s="14" t="n">
        <f aca="true">$B$16+NORMINV(RAND(),0,SQRT($B$13*($B$7+$B$8^2))*$B$9*(1-$B$10))</f>
        <v>3795.42437195146</v>
      </c>
      <c r="N370" s="14" t="n">
        <f aca="true">$B$16+NORMINV(RAND(),0,SQRT($B$13*($B$7+$B$8^2))*$B$9*(1-$B$10))</f>
        <v>4116.26457872123</v>
      </c>
      <c r="O370" s="14" t="n">
        <f aca="true">$B$16+NORMINV(RAND(),0,SQRT($B$13*($B$7+$B$8^2))*$B$9*(1-$B$10))</f>
        <v>3910.21727351201</v>
      </c>
      <c r="P370" s="14" t="n">
        <f aca="true">$B$16+NORMINV(RAND(),0,SQRT($B$13*($B$7+$B$8^2))*$B$9*(1-$B$10))</f>
        <v>3544.87187990111</v>
      </c>
      <c r="Q370" s="14" t="n">
        <f aca="true">$B$16+NORMINV(RAND(),0,SQRT($B$13*($B$7+$B$8^2))*$B$9*(1-$B$10))</f>
        <v>4108.18748713002</v>
      </c>
      <c r="R370" s="14" t="n">
        <f aca="false">$B$4-13*($B$5+$B$6)/30-IF($B$11&lt;=13,$B$12,0)+0</f>
        <v>8876.66666666667</v>
      </c>
      <c r="S370" s="14" t="n">
        <f aca="false">$B$4-27*($B$5+$B$6)/30-IF($B$11&lt;=27,$B$12,0)+L370</f>
        <v>10719.1247337584</v>
      </c>
      <c r="T370" s="14" t="n">
        <f aca="false">$B$4-41*($B$5+$B$6)/30-IF($B$11&lt;=41,$B$12,0)+L370+M370</f>
        <v>1043.08243904318</v>
      </c>
      <c r="U370" s="14" t="n">
        <f aca="false">$B$4-55*($B$5+$B$6)/30-IF($B$11&lt;=55,$B$12,0)+L370+M370+N370</f>
        <v>2872.68035109774</v>
      </c>
      <c r="V370" s="14" t="n">
        <f aca="false">$B$4-69*($B$5+$B$6)/30-IF($B$11&lt;=69,$B$12,0)+L370+M370+N370+O370</f>
        <v>4496.23095794309</v>
      </c>
      <c r="W370" s="14" t="n">
        <f aca="false">$B$4-83*($B$5+$B$6)/30-IF($B$11&lt;=83,$B$12,0)+L370+M370+N370+O370+P370</f>
        <v>5754.43617117753</v>
      </c>
      <c r="X370" s="14" t="n">
        <f aca="false">$B$4-90*($B$5+$B$6)/30-IF($B$11&lt;=90,$B$12,0)+L370+M370+N370+O370+P370+Q370</f>
        <v>8719.29032497421</v>
      </c>
      <c r="AA370" s="14" t="n">
        <f aca="false">MIN(R370:X370)</f>
        <v>1043.08243904318</v>
      </c>
    </row>
    <row r="371" customFormat="false" ht="15" hidden="false" customHeight="false" outlineLevel="0" collapsed="false">
      <c r="K371" s="2" t="n">
        <v>366</v>
      </c>
      <c r="L371" s="14" t="n">
        <f aca="true">$B$16+NORMINV(RAND(),0,SQRT($B$13*($B$7+$B$8^2))*$B$9*(1-$B$10))</f>
        <v>4239.19484901154</v>
      </c>
      <c r="M371" s="14" t="n">
        <f aca="true">$B$16+NORMINV(RAND(),0,SQRT($B$13*($B$7+$B$8^2))*$B$9*(1-$B$10))</f>
        <v>4414.30534506378</v>
      </c>
      <c r="N371" s="14" t="n">
        <f aca="true">$B$16+NORMINV(RAND(),0,SQRT($B$13*($B$7+$B$8^2))*$B$9*(1-$B$10))</f>
        <v>4331.80157450927</v>
      </c>
      <c r="O371" s="14" t="n">
        <f aca="true">$B$16+NORMINV(RAND(),0,SQRT($B$13*($B$7+$B$8^2))*$B$9*(1-$B$10))</f>
        <v>3841.82312678933</v>
      </c>
      <c r="P371" s="14" t="n">
        <f aca="true">$B$16+NORMINV(RAND(),0,SQRT($B$13*($B$7+$B$8^2))*$B$9*(1-$B$10))</f>
        <v>4306.33410048496</v>
      </c>
      <c r="Q371" s="14" t="n">
        <f aca="true">$B$16+NORMINV(RAND(),0,SQRT($B$13*($B$7+$B$8^2))*$B$9*(1-$B$10))</f>
        <v>3919.27485046495</v>
      </c>
      <c r="R371" s="14" t="n">
        <f aca="false">$B$4-13*($B$5+$B$6)/30-IF($B$11&lt;=13,$B$12,0)+0</f>
        <v>8876.66666666667</v>
      </c>
      <c r="S371" s="14" t="n">
        <f aca="false">$B$4-27*($B$5+$B$6)/30-IF($B$11&lt;=27,$B$12,0)+L371</f>
        <v>10829.1948490115</v>
      </c>
      <c r="T371" s="14" t="n">
        <f aca="false">$B$4-41*($B$5+$B$6)/30-IF($B$11&lt;=41,$B$12,0)+L371+M371</f>
        <v>1772.03352740865</v>
      </c>
      <c r="U371" s="14" t="n">
        <f aca="false">$B$4-55*($B$5+$B$6)/30-IF($B$11&lt;=55,$B$12,0)+L371+M371+N371</f>
        <v>3817.16843525125</v>
      </c>
      <c r="V371" s="14" t="n">
        <f aca="false">$B$4-69*($B$5+$B$6)/30-IF($B$11&lt;=69,$B$12,0)+L371+M371+N371+O371</f>
        <v>5372.32489537391</v>
      </c>
      <c r="W371" s="14" t="n">
        <f aca="false">$B$4-83*($B$5+$B$6)/30-IF($B$11&lt;=83,$B$12,0)+L371+M371+N371+O371+P371</f>
        <v>7391.99232919221</v>
      </c>
      <c r="X371" s="14" t="n">
        <f aca="false">$B$4-90*($B$5+$B$6)/30-IF($B$11&lt;=90,$B$12,0)+L371+M371+N371+O371+P371+Q371</f>
        <v>10167.9338463238</v>
      </c>
      <c r="AA371" s="14" t="n">
        <f aca="false">MIN(R371:X371)</f>
        <v>1772.03352740865</v>
      </c>
    </row>
    <row r="372" customFormat="false" ht="15" hidden="false" customHeight="false" outlineLevel="0" collapsed="false">
      <c r="K372" s="2" t="n">
        <v>367</v>
      </c>
      <c r="L372" s="14" t="n">
        <f aca="true">$B$16+NORMINV(RAND(),0,SQRT($B$13*($B$7+$B$8^2))*$B$9*(1-$B$10))</f>
        <v>3617.60599935999</v>
      </c>
      <c r="M372" s="14" t="n">
        <f aca="true">$B$16+NORMINV(RAND(),0,SQRT($B$13*($B$7+$B$8^2))*$B$9*(1-$B$10))</f>
        <v>4485.15586271511</v>
      </c>
      <c r="N372" s="14" t="n">
        <f aca="true">$B$16+NORMINV(RAND(),0,SQRT($B$13*($B$7+$B$8^2))*$B$9*(1-$B$10))</f>
        <v>4009.32469565679</v>
      </c>
      <c r="O372" s="14" t="n">
        <f aca="true">$B$16+NORMINV(RAND(),0,SQRT($B$13*($B$7+$B$8^2))*$B$9*(1-$B$10))</f>
        <v>4408.5930169656</v>
      </c>
      <c r="P372" s="14" t="n">
        <f aca="true">$B$16+NORMINV(RAND(),0,SQRT($B$13*($B$7+$B$8^2))*$B$9*(1-$B$10))</f>
        <v>3857.24831419563</v>
      </c>
      <c r="Q372" s="14" t="n">
        <f aca="true">$B$16+NORMINV(RAND(),0,SQRT($B$13*($B$7+$B$8^2))*$B$9*(1-$B$10))</f>
        <v>3951.96938165134</v>
      </c>
      <c r="R372" s="14" t="n">
        <f aca="false">$B$4-13*($B$5+$B$6)/30-IF($B$11&lt;=13,$B$12,0)+0</f>
        <v>8876.66666666667</v>
      </c>
      <c r="S372" s="14" t="n">
        <f aca="false">$B$4-27*($B$5+$B$6)/30-IF($B$11&lt;=27,$B$12,0)+L372</f>
        <v>10207.60599936</v>
      </c>
      <c r="T372" s="14" t="n">
        <f aca="false">$B$4-41*($B$5+$B$6)/30-IF($B$11&lt;=41,$B$12,0)+L372+M372</f>
        <v>1221.29519540843</v>
      </c>
      <c r="U372" s="14" t="n">
        <f aca="false">$B$4-55*($B$5+$B$6)/30-IF($B$11&lt;=55,$B$12,0)+L372+M372+N372</f>
        <v>2943.95322439855</v>
      </c>
      <c r="V372" s="14" t="n">
        <f aca="false">$B$4-69*($B$5+$B$6)/30-IF($B$11&lt;=69,$B$12,0)+L372+M372+N372+O372</f>
        <v>5065.87957469748</v>
      </c>
      <c r="W372" s="14" t="n">
        <f aca="false">$B$4-83*($B$5+$B$6)/30-IF($B$11&lt;=83,$B$12,0)+L372+M372+N372+O372+P372</f>
        <v>6636.46122222645</v>
      </c>
      <c r="X372" s="14" t="n">
        <f aca="false">$B$4-90*($B$5+$B$6)/30-IF($B$11&lt;=90,$B$12,0)+L372+M372+N372+O372+P372+Q372</f>
        <v>9445.09727054446</v>
      </c>
      <c r="AA372" s="14" t="n">
        <f aca="false">MIN(R372:X372)</f>
        <v>1221.29519540843</v>
      </c>
    </row>
    <row r="373" customFormat="false" ht="15" hidden="false" customHeight="false" outlineLevel="0" collapsed="false">
      <c r="K373" s="2" t="n">
        <v>368</v>
      </c>
      <c r="L373" s="14" t="n">
        <f aca="true">$B$16+NORMINV(RAND(),0,SQRT($B$13*($B$7+$B$8^2))*$B$9*(1-$B$10))</f>
        <v>4190.40402784073</v>
      </c>
      <c r="M373" s="14" t="n">
        <f aca="true">$B$16+NORMINV(RAND(),0,SQRT($B$13*($B$7+$B$8^2))*$B$9*(1-$B$10))</f>
        <v>4387.34646123341</v>
      </c>
      <c r="N373" s="14" t="n">
        <f aca="true">$B$16+NORMINV(RAND(),0,SQRT($B$13*($B$7+$B$8^2))*$B$9*(1-$B$10))</f>
        <v>3943.53760987691</v>
      </c>
      <c r="O373" s="14" t="n">
        <f aca="true">$B$16+NORMINV(RAND(),0,SQRT($B$13*($B$7+$B$8^2))*$B$9*(1-$B$10))</f>
        <v>4031.91883677079</v>
      </c>
      <c r="P373" s="14" t="n">
        <f aca="true">$B$16+NORMINV(RAND(),0,SQRT($B$13*($B$7+$B$8^2))*$B$9*(1-$B$10))</f>
        <v>4235.09561365905</v>
      </c>
      <c r="Q373" s="14" t="n">
        <f aca="true">$B$16+NORMINV(RAND(),0,SQRT($B$13*($B$7+$B$8^2))*$B$9*(1-$B$10))</f>
        <v>4358.46960321654</v>
      </c>
      <c r="R373" s="14" t="n">
        <f aca="false">$B$4-13*($B$5+$B$6)/30-IF($B$11&lt;=13,$B$12,0)+0</f>
        <v>8876.66666666667</v>
      </c>
      <c r="S373" s="14" t="n">
        <f aca="false">$B$4-27*($B$5+$B$6)/30-IF($B$11&lt;=27,$B$12,0)+L373</f>
        <v>10780.4040278407</v>
      </c>
      <c r="T373" s="14" t="n">
        <f aca="false">$B$4-41*($B$5+$B$6)/30-IF($B$11&lt;=41,$B$12,0)+L373+M373</f>
        <v>1696.28382240747</v>
      </c>
      <c r="U373" s="14" t="n">
        <f aca="false">$B$4-55*($B$5+$B$6)/30-IF($B$11&lt;=55,$B$12,0)+L373+M373+N373</f>
        <v>3353.15476561771</v>
      </c>
      <c r="V373" s="14" t="n">
        <f aca="false">$B$4-69*($B$5+$B$6)/30-IF($B$11&lt;=69,$B$12,0)+L373+M373+N373+O373</f>
        <v>5098.40693572183</v>
      </c>
      <c r="W373" s="14" t="n">
        <f aca="false">$B$4-83*($B$5+$B$6)/30-IF($B$11&lt;=83,$B$12,0)+L373+M373+N373+O373+P373</f>
        <v>7046.83588271422</v>
      </c>
      <c r="X373" s="14" t="n">
        <f aca="false">$B$4-90*($B$5+$B$6)/30-IF($B$11&lt;=90,$B$12,0)+L373+M373+N373+O373+P373+Q373</f>
        <v>10261.9721525974</v>
      </c>
      <c r="AA373" s="14" t="n">
        <f aca="false">MIN(R373:X373)</f>
        <v>1696.28382240747</v>
      </c>
    </row>
    <row r="374" customFormat="false" ht="15" hidden="false" customHeight="false" outlineLevel="0" collapsed="false">
      <c r="K374" s="2" t="n">
        <v>369</v>
      </c>
      <c r="L374" s="14" t="n">
        <f aca="true">$B$16+NORMINV(RAND(),0,SQRT($B$13*($B$7+$B$8^2))*$B$9*(1-$B$10))</f>
        <v>3751.36683295839</v>
      </c>
      <c r="M374" s="14" t="n">
        <f aca="true">$B$16+NORMINV(RAND(),0,SQRT($B$13*($B$7+$B$8^2))*$B$9*(1-$B$10))</f>
        <v>4200.72508691852</v>
      </c>
      <c r="N374" s="14" t="n">
        <f aca="true">$B$16+NORMINV(RAND(),0,SQRT($B$13*($B$7+$B$8^2))*$B$9*(1-$B$10))</f>
        <v>3661.3014872551</v>
      </c>
      <c r="O374" s="14" t="n">
        <f aca="true">$B$16+NORMINV(RAND(),0,SQRT($B$13*($B$7+$B$8^2))*$B$9*(1-$B$10))</f>
        <v>4335.19261418617</v>
      </c>
      <c r="P374" s="14" t="n">
        <f aca="true">$B$16+NORMINV(RAND(),0,SQRT($B$13*($B$7+$B$8^2))*$B$9*(1-$B$10))</f>
        <v>3938.83124014855</v>
      </c>
      <c r="Q374" s="14" t="n">
        <f aca="true">$B$16+NORMINV(RAND(),0,SQRT($B$13*($B$7+$B$8^2))*$B$9*(1-$B$10))</f>
        <v>4089.45823918204</v>
      </c>
      <c r="R374" s="14" t="n">
        <f aca="false">$B$4-13*($B$5+$B$6)/30-IF($B$11&lt;=13,$B$12,0)+0</f>
        <v>8876.66666666667</v>
      </c>
      <c r="S374" s="14" t="n">
        <f aca="false">$B$4-27*($B$5+$B$6)/30-IF($B$11&lt;=27,$B$12,0)+L374</f>
        <v>10341.3668329584</v>
      </c>
      <c r="T374" s="14" t="n">
        <f aca="false">$B$4-41*($B$5+$B$6)/30-IF($B$11&lt;=41,$B$12,0)+L374+M374</f>
        <v>1070.62525321024</v>
      </c>
      <c r="U374" s="14" t="n">
        <f aca="false">$B$4-55*($B$5+$B$6)/30-IF($B$11&lt;=55,$B$12,0)+L374+M374+N374</f>
        <v>2445.26007379867</v>
      </c>
      <c r="V374" s="14" t="n">
        <f aca="false">$B$4-69*($B$5+$B$6)/30-IF($B$11&lt;=69,$B$12,0)+L374+M374+N374+O374</f>
        <v>4493.78602131818</v>
      </c>
      <c r="W374" s="14" t="n">
        <f aca="false">$B$4-83*($B$5+$B$6)/30-IF($B$11&lt;=83,$B$12,0)+L374+M374+N374+O374+P374</f>
        <v>6145.95059480006</v>
      </c>
      <c r="X374" s="14" t="n">
        <f aca="false">$B$4-90*($B$5+$B$6)/30-IF($B$11&lt;=90,$B$12,0)+L374+M374+N374+O374+P374+Q374</f>
        <v>9092.07550064877</v>
      </c>
      <c r="AA374" s="14" t="n">
        <f aca="false">MIN(R374:X374)</f>
        <v>1070.62525321024</v>
      </c>
    </row>
    <row r="375" customFormat="false" ht="15" hidden="false" customHeight="false" outlineLevel="0" collapsed="false">
      <c r="K375" s="2" t="n">
        <v>370</v>
      </c>
      <c r="L375" s="14" t="n">
        <f aca="true">$B$16+NORMINV(RAND(),0,SQRT($B$13*($B$7+$B$8^2))*$B$9*(1-$B$10))</f>
        <v>4262.75667834378</v>
      </c>
      <c r="M375" s="14" t="n">
        <f aca="true">$B$16+NORMINV(RAND(),0,SQRT($B$13*($B$7+$B$8^2))*$B$9*(1-$B$10))</f>
        <v>4035.62717621222</v>
      </c>
      <c r="N375" s="14" t="n">
        <f aca="true">$B$16+NORMINV(RAND(),0,SQRT($B$13*($B$7+$B$8^2))*$B$9*(1-$B$10))</f>
        <v>4256.33470935504</v>
      </c>
      <c r="O375" s="14" t="n">
        <f aca="true">$B$16+NORMINV(RAND(),0,SQRT($B$13*($B$7+$B$8^2))*$B$9*(1-$B$10))</f>
        <v>4168.60981185639</v>
      </c>
      <c r="P375" s="14" t="n">
        <f aca="true">$B$16+NORMINV(RAND(),0,SQRT($B$13*($B$7+$B$8^2))*$B$9*(1-$B$10))</f>
        <v>3904.26090070354</v>
      </c>
      <c r="Q375" s="14" t="n">
        <f aca="true">$B$16+NORMINV(RAND(),0,SQRT($B$13*($B$7+$B$8^2))*$B$9*(1-$B$10))</f>
        <v>4171.28343205649</v>
      </c>
      <c r="R375" s="14" t="n">
        <f aca="false">$B$4-13*($B$5+$B$6)/30-IF($B$11&lt;=13,$B$12,0)+0</f>
        <v>8876.66666666667</v>
      </c>
      <c r="S375" s="14" t="n">
        <f aca="false">$B$4-27*($B$5+$B$6)/30-IF($B$11&lt;=27,$B$12,0)+L375</f>
        <v>10852.7566783438</v>
      </c>
      <c r="T375" s="14" t="n">
        <f aca="false">$B$4-41*($B$5+$B$6)/30-IF($B$11&lt;=41,$B$12,0)+L375+M375</f>
        <v>1416.91718788933</v>
      </c>
      <c r="U375" s="14" t="n">
        <f aca="false">$B$4-55*($B$5+$B$6)/30-IF($B$11&lt;=55,$B$12,0)+L375+M375+N375</f>
        <v>3386.5852305777</v>
      </c>
      <c r="V375" s="14" t="n">
        <f aca="false">$B$4-69*($B$5+$B$6)/30-IF($B$11&lt;=69,$B$12,0)+L375+M375+N375+O375</f>
        <v>5268.52837576742</v>
      </c>
      <c r="W375" s="14" t="n">
        <f aca="false">$B$4-83*($B$5+$B$6)/30-IF($B$11&lt;=83,$B$12,0)+L375+M375+N375+O375+P375</f>
        <v>6886.12260980429</v>
      </c>
      <c r="X375" s="14" t="n">
        <f aca="false">$B$4-90*($B$5+$B$6)/30-IF($B$11&lt;=90,$B$12,0)+L375+M375+N375+O375+P375+Q375</f>
        <v>9914.07270852745</v>
      </c>
      <c r="AA375" s="14" t="n">
        <f aca="false">MIN(R375:X375)</f>
        <v>1416.91718788933</v>
      </c>
    </row>
    <row r="376" customFormat="false" ht="15" hidden="false" customHeight="false" outlineLevel="0" collapsed="false">
      <c r="K376" s="2" t="n">
        <v>371</v>
      </c>
      <c r="L376" s="14" t="n">
        <f aca="true">$B$16+NORMINV(RAND(),0,SQRT($B$13*($B$7+$B$8^2))*$B$9*(1-$B$10))</f>
        <v>4079.33966875629</v>
      </c>
      <c r="M376" s="14" t="n">
        <f aca="true">$B$16+NORMINV(RAND(),0,SQRT($B$13*($B$7+$B$8^2))*$B$9*(1-$B$10))</f>
        <v>3893.0339202143</v>
      </c>
      <c r="N376" s="14" t="n">
        <f aca="true">$B$16+NORMINV(RAND(),0,SQRT($B$13*($B$7+$B$8^2))*$B$9*(1-$B$10))</f>
        <v>4162.39674058482</v>
      </c>
      <c r="O376" s="14" t="n">
        <f aca="true">$B$16+NORMINV(RAND(),0,SQRT($B$13*($B$7+$B$8^2))*$B$9*(1-$B$10))</f>
        <v>4183.64726055661</v>
      </c>
      <c r="P376" s="14" t="n">
        <f aca="true">$B$16+NORMINV(RAND(),0,SQRT($B$13*($B$7+$B$8^2))*$B$9*(1-$B$10))</f>
        <v>3923.85904355424</v>
      </c>
      <c r="Q376" s="14" t="n">
        <f aca="true">$B$16+NORMINV(RAND(),0,SQRT($B$13*($B$7+$B$8^2))*$B$9*(1-$B$10))</f>
        <v>3912.08298759756</v>
      </c>
      <c r="R376" s="14" t="n">
        <f aca="false">$B$4-13*($B$5+$B$6)/30-IF($B$11&lt;=13,$B$12,0)+0</f>
        <v>8876.66666666667</v>
      </c>
      <c r="S376" s="14" t="n">
        <f aca="false">$B$4-27*($B$5+$B$6)/30-IF($B$11&lt;=27,$B$12,0)+L376</f>
        <v>10669.3396687563</v>
      </c>
      <c r="T376" s="14" t="n">
        <f aca="false">$B$4-41*($B$5+$B$6)/30-IF($B$11&lt;=41,$B$12,0)+L376+M376</f>
        <v>1090.90692230393</v>
      </c>
      <c r="U376" s="14" t="n">
        <f aca="false">$B$4-55*($B$5+$B$6)/30-IF($B$11&lt;=55,$B$12,0)+L376+M376+N376</f>
        <v>2966.63699622208</v>
      </c>
      <c r="V376" s="14" t="n">
        <f aca="false">$B$4-69*($B$5+$B$6)/30-IF($B$11&lt;=69,$B$12,0)+L376+M376+N376+O376</f>
        <v>4863.61759011202</v>
      </c>
      <c r="W376" s="14" t="n">
        <f aca="false">$B$4-83*($B$5+$B$6)/30-IF($B$11&lt;=83,$B$12,0)+L376+M376+N376+O376+P376</f>
        <v>6500.8099669996</v>
      </c>
      <c r="X376" s="14" t="n">
        <f aca="false">$B$4-90*($B$5+$B$6)/30-IF($B$11&lt;=90,$B$12,0)+L376+M376+N376+O376+P376+Q376</f>
        <v>9269.55962126382</v>
      </c>
      <c r="AA376" s="14" t="n">
        <f aca="false">MIN(R376:X376)</f>
        <v>1090.90692230393</v>
      </c>
    </row>
    <row r="377" customFormat="false" ht="15" hidden="false" customHeight="false" outlineLevel="0" collapsed="false">
      <c r="K377" s="2" t="n">
        <v>372</v>
      </c>
      <c r="L377" s="14" t="n">
        <f aca="true">$B$16+NORMINV(RAND(),0,SQRT($B$13*($B$7+$B$8^2))*$B$9*(1-$B$10))</f>
        <v>4641.61973113297</v>
      </c>
      <c r="M377" s="14" t="n">
        <f aca="true">$B$16+NORMINV(RAND(),0,SQRT($B$13*($B$7+$B$8^2))*$B$9*(1-$B$10))</f>
        <v>4546.16048089451</v>
      </c>
      <c r="N377" s="14" t="n">
        <f aca="true">$B$16+NORMINV(RAND(),0,SQRT($B$13*($B$7+$B$8^2))*$B$9*(1-$B$10))</f>
        <v>4904.47658846138</v>
      </c>
      <c r="O377" s="14" t="n">
        <f aca="true">$B$16+NORMINV(RAND(),0,SQRT($B$13*($B$7+$B$8^2))*$B$9*(1-$B$10))</f>
        <v>3772.23366580157</v>
      </c>
      <c r="P377" s="14" t="n">
        <f aca="true">$B$16+NORMINV(RAND(),0,SQRT($B$13*($B$7+$B$8^2))*$B$9*(1-$B$10))</f>
        <v>3927.40867587057</v>
      </c>
      <c r="Q377" s="14" t="n">
        <f aca="true">$B$16+NORMINV(RAND(),0,SQRT($B$13*($B$7+$B$8^2))*$B$9*(1-$B$10))</f>
        <v>3707.47213861087</v>
      </c>
      <c r="R377" s="14" t="n">
        <f aca="false">$B$4-13*($B$5+$B$6)/30-IF($B$11&lt;=13,$B$12,0)+0</f>
        <v>8876.66666666667</v>
      </c>
      <c r="S377" s="14" t="n">
        <f aca="false">$B$4-27*($B$5+$B$6)/30-IF($B$11&lt;=27,$B$12,0)+L377</f>
        <v>11231.619731133</v>
      </c>
      <c r="T377" s="14" t="n">
        <f aca="false">$B$4-41*($B$5+$B$6)/30-IF($B$11&lt;=41,$B$12,0)+L377+M377</f>
        <v>2306.31354536081</v>
      </c>
      <c r="U377" s="14" t="n">
        <f aca="false">$B$4-55*($B$5+$B$6)/30-IF($B$11&lt;=55,$B$12,0)+L377+M377+N377</f>
        <v>4924.12346715553</v>
      </c>
      <c r="V377" s="14" t="n">
        <f aca="false">$B$4-69*($B$5+$B$6)/30-IF($B$11&lt;=69,$B$12,0)+L377+M377+N377+O377</f>
        <v>6409.69046629043</v>
      </c>
      <c r="W377" s="14" t="n">
        <f aca="false">$B$4-83*($B$5+$B$6)/30-IF($B$11&lt;=83,$B$12,0)+L377+M377+N377+O377+P377</f>
        <v>8050.43247549434</v>
      </c>
      <c r="X377" s="14" t="n">
        <f aca="false">$B$4-90*($B$5+$B$6)/30-IF($B$11&lt;=90,$B$12,0)+L377+M377+N377+O377+P377+Q377</f>
        <v>10614.5712807719</v>
      </c>
      <c r="AA377" s="14" t="n">
        <f aca="false">MIN(R377:X377)</f>
        <v>2306.31354536081</v>
      </c>
    </row>
    <row r="378" customFormat="false" ht="15" hidden="false" customHeight="false" outlineLevel="0" collapsed="false">
      <c r="K378" s="2" t="n">
        <v>373</v>
      </c>
      <c r="L378" s="14" t="n">
        <f aca="true">$B$16+NORMINV(RAND(),0,SQRT($B$13*($B$7+$B$8^2))*$B$9*(1-$B$10))</f>
        <v>3788.96682698235</v>
      </c>
      <c r="M378" s="14" t="n">
        <f aca="true">$B$16+NORMINV(RAND(),0,SQRT($B$13*($B$7+$B$8^2))*$B$9*(1-$B$10))</f>
        <v>4411.68290363739</v>
      </c>
      <c r="N378" s="14" t="n">
        <f aca="true">$B$16+NORMINV(RAND(),0,SQRT($B$13*($B$7+$B$8^2))*$B$9*(1-$B$10))</f>
        <v>3705.98030438257</v>
      </c>
      <c r="O378" s="14" t="n">
        <f aca="true">$B$16+NORMINV(RAND(),0,SQRT($B$13*($B$7+$B$8^2))*$B$9*(1-$B$10))</f>
        <v>4021.02727206723</v>
      </c>
      <c r="P378" s="14" t="n">
        <f aca="true">$B$16+NORMINV(RAND(),0,SQRT($B$13*($B$7+$B$8^2))*$B$9*(1-$B$10))</f>
        <v>3383.13351193356</v>
      </c>
      <c r="Q378" s="14" t="n">
        <f aca="true">$B$16+NORMINV(RAND(),0,SQRT($B$13*($B$7+$B$8^2))*$B$9*(1-$B$10))</f>
        <v>3623.71970854483</v>
      </c>
      <c r="R378" s="14" t="n">
        <f aca="false">$B$4-13*($B$5+$B$6)/30-IF($B$11&lt;=13,$B$12,0)+0</f>
        <v>8876.66666666667</v>
      </c>
      <c r="S378" s="14" t="n">
        <f aca="false">$B$4-27*($B$5+$B$6)/30-IF($B$11&lt;=27,$B$12,0)+L378</f>
        <v>10378.9668269824</v>
      </c>
      <c r="T378" s="14" t="n">
        <f aca="false">$B$4-41*($B$5+$B$6)/30-IF($B$11&lt;=41,$B$12,0)+L378+M378</f>
        <v>1319.18306395308</v>
      </c>
      <c r="U378" s="14" t="n">
        <f aca="false">$B$4-55*($B$5+$B$6)/30-IF($B$11&lt;=55,$B$12,0)+L378+M378+N378</f>
        <v>2738.49670166898</v>
      </c>
      <c r="V378" s="14" t="n">
        <f aca="false">$B$4-69*($B$5+$B$6)/30-IF($B$11&lt;=69,$B$12,0)+L378+M378+N378+O378</f>
        <v>4472.85730706954</v>
      </c>
      <c r="W378" s="14" t="n">
        <f aca="false">$B$4-83*($B$5+$B$6)/30-IF($B$11&lt;=83,$B$12,0)+L378+M378+N378+O378+P378</f>
        <v>5569.32415233644</v>
      </c>
      <c r="X378" s="14" t="n">
        <f aca="false">$B$4-90*($B$5+$B$6)/30-IF($B$11&lt;=90,$B$12,0)+L378+M378+N378+O378+P378+Q378</f>
        <v>8049.71052754794</v>
      </c>
      <c r="AA378" s="14" t="n">
        <f aca="false">MIN(R378:X378)</f>
        <v>1319.18306395308</v>
      </c>
    </row>
    <row r="379" customFormat="false" ht="15" hidden="false" customHeight="false" outlineLevel="0" collapsed="false">
      <c r="K379" s="2" t="n">
        <v>374</v>
      </c>
      <c r="L379" s="14" t="n">
        <f aca="true">$B$16+NORMINV(RAND(),0,SQRT($B$13*($B$7+$B$8^2))*$B$9*(1-$B$10))</f>
        <v>4243.70377025198</v>
      </c>
      <c r="M379" s="14" t="n">
        <f aca="true">$B$16+NORMINV(RAND(),0,SQRT($B$13*($B$7+$B$8^2))*$B$9*(1-$B$10))</f>
        <v>4343.45144326551</v>
      </c>
      <c r="N379" s="14" t="n">
        <f aca="true">$B$16+NORMINV(RAND(),0,SQRT($B$13*($B$7+$B$8^2))*$B$9*(1-$B$10))</f>
        <v>3491.03960932766</v>
      </c>
      <c r="O379" s="14" t="n">
        <f aca="true">$B$16+NORMINV(RAND(),0,SQRT($B$13*($B$7+$B$8^2))*$B$9*(1-$B$10))</f>
        <v>3981.48510864331</v>
      </c>
      <c r="P379" s="14" t="n">
        <f aca="true">$B$16+NORMINV(RAND(),0,SQRT($B$13*($B$7+$B$8^2))*$B$9*(1-$B$10))</f>
        <v>3768.555783803</v>
      </c>
      <c r="Q379" s="14" t="n">
        <f aca="true">$B$16+NORMINV(RAND(),0,SQRT($B$13*($B$7+$B$8^2))*$B$9*(1-$B$10))</f>
        <v>3910.89926141102</v>
      </c>
      <c r="R379" s="14" t="n">
        <f aca="false">$B$4-13*($B$5+$B$6)/30-IF($B$11&lt;=13,$B$12,0)+0</f>
        <v>8876.66666666667</v>
      </c>
      <c r="S379" s="14" t="n">
        <f aca="false">$B$4-27*($B$5+$B$6)/30-IF($B$11&lt;=27,$B$12,0)+L379</f>
        <v>10833.703770252</v>
      </c>
      <c r="T379" s="14" t="n">
        <f aca="false">$B$4-41*($B$5+$B$6)/30-IF($B$11&lt;=41,$B$12,0)+L379+M379</f>
        <v>1705.68854685083</v>
      </c>
      <c r="U379" s="14" t="n">
        <f aca="false">$B$4-55*($B$5+$B$6)/30-IF($B$11&lt;=55,$B$12,0)+L379+M379+N379</f>
        <v>2910.06148951182</v>
      </c>
      <c r="V379" s="14" t="n">
        <f aca="false">$B$4-69*($B$5+$B$6)/30-IF($B$11&lt;=69,$B$12,0)+L379+M379+N379+O379</f>
        <v>4604.87993148846</v>
      </c>
      <c r="W379" s="14" t="n">
        <f aca="false">$B$4-83*($B$5+$B$6)/30-IF($B$11&lt;=83,$B$12,0)+L379+M379+N379+O379+P379</f>
        <v>6086.7690486248</v>
      </c>
      <c r="X379" s="14" t="n">
        <f aca="false">$B$4-90*($B$5+$B$6)/30-IF($B$11&lt;=90,$B$12,0)+L379+M379+N379+O379+P379+Q379</f>
        <v>8854.33497670248</v>
      </c>
      <c r="AA379" s="14" t="n">
        <f aca="false">MIN(R379:X379)</f>
        <v>1705.68854685083</v>
      </c>
    </row>
    <row r="380" customFormat="false" ht="15" hidden="false" customHeight="false" outlineLevel="0" collapsed="false">
      <c r="K380" s="2" t="n">
        <v>375</v>
      </c>
      <c r="L380" s="14" t="n">
        <f aca="true">$B$16+NORMINV(RAND(),0,SQRT($B$13*($B$7+$B$8^2))*$B$9*(1-$B$10))</f>
        <v>4083.62885695494</v>
      </c>
      <c r="M380" s="14" t="n">
        <f aca="true">$B$16+NORMINV(RAND(),0,SQRT($B$13*($B$7+$B$8^2))*$B$9*(1-$B$10))</f>
        <v>4091.20717254207</v>
      </c>
      <c r="N380" s="14" t="n">
        <f aca="true">$B$16+NORMINV(RAND(),0,SQRT($B$13*($B$7+$B$8^2))*$B$9*(1-$B$10))</f>
        <v>3991.5471553461</v>
      </c>
      <c r="O380" s="14" t="n">
        <f aca="true">$B$16+NORMINV(RAND(),0,SQRT($B$13*($B$7+$B$8^2))*$B$9*(1-$B$10))</f>
        <v>4214.38155780378</v>
      </c>
      <c r="P380" s="14" t="n">
        <f aca="true">$B$16+NORMINV(RAND(),0,SQRT($B$13*($B$7+$B$8^2))*$B$9*(1-$B$10))</f>
        <v>4238.35349134413</v>
      </c>
      <c r="Q380" s="14" t="n">
        <f aca="true">$B$16+NORMINV(RAND(),0,SQRT($B$13*($B$7+$B$8^2))*$B$9*(1-$B$10))</f>
        <v>4528.98069685769</v>
      </c>
      <c r="R380" s="14" t="n">
        <f aca="false">$B$4-13*($B$5+$B$6)/30-IF($B$11&lt;=13,$B$12,0)+0</f>
        <v>8876.66666666667</v>
      </c>
      <c r="S380" s="14" t="n">
        <f aca="false">$B$4-27*($B$5+$B$6)/30-IF($B$11&lt;=27,$B$12,0)+L380</f>
        <v>10673.6288569549</v>
      </c>
      <c r="T380" s="14" t="n">
        <f aca="false">$B$4-41*($B$5+$B$6)/30-IF($B$11&lt;=41,$B$12,0)+L380+M380</f>
        <v>1293.36936283035</v>
      </c>
      <c r="U380" s="14" t="n">
        <f aca="false">$B$4-55*($B$5+$B$6)/30-IF($B$11&lt;=55,$B$12,0)+L380+M380+N380</f>
        <v>2998.24985150978</v>
      </c>
      <c r="V380" s="14" t="n">
        <f aca="false">$B$4-69*($B$5+$B$6)/30-IF($B$11&lt;=69,$B$12,0)+L380+M380+N380+O380</f>
        <v>4925.9647426469</v>
      </c>
      <c r="W380" s="14" t="n">
        <f aca="false">$B$4-83*($B$5+$B$6)/30-IF($B$11&lt;=83,$B$12,0)+L380+M380+N380+O380+P380</f>
        <v>6877.65156732436</v>
      </c>
      <c r="X380" s="14" t="n">
        <f aca="false">$B$4-90*($B$5+$B$6)/30-IF($B$11&lt;=90,$B$12,0)+L380+M380+N380+O380+P380+Q380</f>
        <v>10263.2989308487</v>
      </c>
      <c r="AA380" s="14" t="n">
        <f aca="false">MIN(R380:X380)</f>
        <v>1293.36936283035</v>
      </c>
    </row>
    <row r="381" customFormat="false" ht="15" hidden="false" customHeight="false" outlineLevel="0" collapsed="false">
      <c r="K381" s="2" t="n">
        <v>376</v>
      </c>
      <c r="L381" s="14" t="n">
        <f aca="true">$B$16+NORMINV(RAND(),0,SQRT($B$13*($B$7+$B$8^2))*$B$9*(1-$B$10))</f>
        <v>4000.50441716496</v>
      </c>
      <c r="M381" s="14" t="n">
        <f aca="true">$B$16+NORMINV(RAND(),0,SQRT($B$13*($B$7+$B$8^2))*$B$9*(1-$B$10))</f>
        <v>4008.50265617899</v>
      </c>
      <c r="N381" s="14" t="n">
        <f aca="true">$B$16+NORMINV(RAND(),0,SQRT($B$13*($B$7+$B$8^2))*$B$9*(1-$B$10))</f>
        <v>3956.9674337361</v>
      </c>
      <c r="O381" s="14" t="n">
        <f aca="true">$B$16+NORMINV(RAND(),0,SQRT($B$13*($B$7+$B$8^2))*$B$9*(1-$B$10))</f>
        <v>3310.09196192057</v>
      </c>
      <c r="P381" s="14" t="n">
        <f aca="true">$B$16+NORMINV(RAND(),0,SQRT($B$13*($B$7+$B$8^2))*$B$9*(1-$B$10))</f>
        <v>4328.61293071377</v>
      </c>
      <c r="Q381" s="14" t="n">
        <f aca="true">$B$16+NORMINV(RAND(),0,SQRT($B$13*($B$7+$B$8^2))*$B$9*(1-$B$10))</f>
        <v>3943.47756290634</v>
      </c>
      <c r="R381" s="14" t="n">
        <f aca="false">$B$4-13*($B$5+$B$6)/30-IF($B$11&lt;=13,$B$12,0)+0</f>
        <v>8876.66666666667</v>
      </c>
      <c r="S381" s="14" t="n">
        <f aca="false">$B$4-27*($B$5+$B$6)/30-IF($B$11&lt;=27,$B$12,0)+L381</f>
        <v>10590.504417165</v>
      </c>
      <c r="T381" s="14" t="n">
        <f aca="false">$B$4-41*($B$5+$B$6)/30-IF($B$11&lt;=41,$B$12,0)+L381+M381</f>
        <v>1127.54040667728</v>
      </c>
      <c r="U381" s="14" t="n">
        <f aca="false">$B$4-55*($B$5+$B$6)/30-IF($B$11&lt;=55,$B$12,0)+L381+M381+N381</f>
        <v>2797.84117374671</v>
      </c>
      <c r="V381" s="14" t="n">
        <f aca="false">$B$4-69*($B$5+$B$6)/30-IF($B$11&lt;=69,$B$12,0)+L381+M381+N381+O381</f>
        <v>3821.26646900062</v>
      </c>
      <c r="W381" s="14" t="n">
        <f aca="false">$B$4-83*($B$5+$B$6)/30-IF($B$11&lt;=83,$B$12,0)+L381+M381+N381+O381+P381</f>
        <v>5863.21273304773</v>
      </c>
      <c r="X381" s="14" t="n">
        <f aca="false">$B$4-90*($B$5+$B$6)/30-IF($B$11&lt;=90,$B$12,0)+L381+M381+N381+O381+P381+Q381</f>
        <v>8663.35696262073</v>
      </c>
      <c r="AA381" s="14" t="n">
        <f aca="false">MIN(R381:X381)</f>
        <v>1127.54040667728</v>
      </c>
    </row>
    <row r="382" customFormat="false" ht="15" hidden="false" customHeight="false" outlineLevel="0" collapsed="false">
      <c r="K382" s="2" t="n">
        <v>377</v>
      </c>
      <c r="L382" s="14" t="n">
        <f aca="true">$B$16+NORMINV(RAND(),0,SQRT($B$13*($B$7+$B$8^2))*$B$9*(1-$B$10))</f>
        <v>4217.11968256307</v>
      </c>
      <c r="M382" s="14" t="n">
        <f aca="true">$B$16+NORMINV(RAND(),0,SQRT($B$13*($B$7+$B$8^2))*$B$9*(1-$B$10))</f>
        <v>3860.49644686937</v>
      </c>
      <c r="N382" s="14" t="n">
        <f aca="true">$B$16+NORMINV(RAND(),0,SQRT($B$13*($B$7+$B$8^2))*$B$9*(1-$B$10))</f>
        <v>4517.99042948994</v>
      </c>
      <c r="O382" s="14" t="n">
        <f aca="true">$B$16+NORMINV(RAND(),0,SQRT($B$13*($B$7+$B$8^2))*$B$9*(1-$B$10))</f>
        <v>4249.97990639713</v>
      </c>
      <c r="P382" s="14" t="n">
        <f aca="true">$B$16+NORMINV(RAND(),0,SQRT($B$13*($B$7+$B$8^2))*$B$9*(1-$B$10))</f>
        <v>4107.3852275924</v>
      </c>
      <c r="Q382" s="14" t="n">
        <f aca="true">$B$16+NORMINV(RAND(),0,SQRT($B$13*($B$7+$B$8^2))*$B$9*(1-$B$10))</f>
        <v>4123.5117368794</v>
      </c>
      <c r="R382" s="14" t="n">
        <f aca="false">$B$4-13*($B$5+$B$6)/30-IF($B$11&lt;=13,$B$12,0)+0</f>
        <v>8876.66666666667</v>
      </c>
      <c r="S382" s="14" t="n">
        <f aca="false">$B$4-27*($B$5+$B$6)/30-IF($B$11&lt;=27,$B$12,0)+L382</f>
        <v>10807.1196825631</v>
      </c>
      <c r="T382" s="14" t="n">
        <f aca="false">$B$4-41*($B$5+$B$6)/30-IF($B$11&lt;=41,$B$12,0)+L382+M382</f>
        <v>1196.14946276577</v>
      </c>
      <c r="U382" s="14" t="n">
        <f aca="false">$B$4-55*($B$5+$B$6)/30-IF($B$11&lt;=55,$B$12,0)+L382+M382+N382</f>
        <v>3427.47322558904</v>
      </c>
      <c r="V382" s="14" t="n">
        <f aca="false">$B$4-69*($B$5+$B$6)/30-IF($B$11&lt;=69,$B$12,0)+L382+M382+N382+O382</f>
        <v>5390.78646531951</v>
      </c>
      <c r="W382" s="14" t="n">
        <f aca="false">$B$4-83*($B$5+$B$6)/30-IF($B$11&lt;=83,$B$12,0)+L382+M382+N382+O382+P382</f>
        <v>7211.50502624524</v>
      </c>
      <c r="X382" s="14" t="n">
        <f aca="false">$B$4-90*($B$5+$B$6)/30-IF($B$11&lt;=90,$B$12,0)+L382+M382+N382+O382+P382+Q382</f>
        <v>10191.6834297913</v>
      </c>
      <c r="AA382" s="14" t="n">
        <f aca="false">MIN(R382:X382)</f>
        <v>1196.14946276577</v>
      </c>
    </row>
    <row r="383" customFormat="false" ht="15" hidden="false" customHeight="false" outlineLevel="0" collapsed="false">
      <c r="K383" s="2" t="n">
        <v>378</v>
      </c>
      <c r="L383" s="14" t="n">
        <f aca="true">$B$16+NORMINV(RAND(),0,SQRT($B$13*($B$7+$B$8^2))*$B$9*(1-$B$10))</f>
        <v>4441.99767566381</v>
      </c>
      <c r="M383" s="14" t="n">
        <f aca="true">$B$16+NORMINV(RAND(),0,SQRT($B$13*($B$7+$B$8^2))*$B$9*(1-$B$10))</f>
        <v>3891.64510838375</v>
      </c>
      <c r="N383" s="14" t="n">
        <f aca="true">$B$16+NORMINV(RAND(),0,SQRT($B$13*($B$7+$B$8^2))*$B$9*(1-$B$10))</f>
        <v>4673.76297609602</v>
      </c>
      <c r="O383" s="14" t="n">
        <f aca="true">$B$16+NORMINV(RAND(),0,SQRT($B$13*($B$7+$B$8^2))*$B$9*(1-$B$10))</f>
        <v>4114.901699721</v>
      </c>
      <c r="P383" s="14" t="n">
        <f aca="true">$B$16+NORMINV(RAND(),0,SQRT($B$13*($B$7+$B$8^2))*$B$9*(1-$B$10))</f>
        <v>3980.89940944713</v>
      </c>
      <c r="Q383" s="14" t="n">
        <f aca="true">$B$16+NORMINV(RAND(),0,SQRT($B$13*($B$7+$B$8^2))*$B$9*(1-$B$10))</f>
        <v>3375.33748969727</v>
      </c>
      <c r="R383" s="14" t="n">
        <f aca="false">$B$4-13*($B$5+$B$6)/30-IF($B$11&lt;=13,$B$12,0)+0</f>
        <v>8876.66666666667</v>
      </c>
      <c r="S383" s="14" t="n">
        <f aca="false">$B$4-27*($B$5+$B$6)/30-IF($B$11&lt;=27,$B$12,0)+L383</f>
        <v>11031.9976756638</v>
      </c>
      <c r="T383" s="14" t="n">
        <f aca="false">$B$4-41*($B$5+$B$6)/30-IF($B$11&lt;=41,$B$12,0)+L383+M383</f>
        <v>1452.17611738088</v>
      </c>
      <c r="U383" s="14" t="n">
        <f aca="false">$B$4-55*($B$5+$B$6)/30-IF($B$11&lt;=55,$B$12,0)+L383+M383+N383</f>
        <v>3839.27242681023</v>
      </c>
      <c r="V383" s="14" t="n">
        <f aca="false">$B$4-69*($B$5+$B$6)/30-IF($B$11&lt;=69,$B$12,0)+L383+M383+N383+O383</f>
        <v>5667.50745986456</v>
      </c>
      <c r="W383" s="14" t="n">
        <f aca="false">$B$4-83*($B$5+$B$6)/30-IF($B$11&lt;=83,$B$12,0)+L383+M383+N383+O383+P383</f>
        <v>7361.74020264503</v>
      </c>
      <c r="X383" s="14" t="n">
        <f aca="false">$B$4-90*($B$5+$B$6)/30-IF($B$11&lt;=90,$B$12,0)+L383+M383+N383+O383+P383+Q383</f>
        <v>9593.74435900896</v>
      </c>
      <c r="AA383" s="14" t="n">
        <f aca="false">MIN(R383:X383)</f>
        <v>1452.17611738088</v>
      </c>
    </row>
    <row r="384" customFormat="false" ht="15" hidden="false" customHeight="false" outlineLevel="0" collapsed="false">
      <c r="K384" s="2" t="n">
        <v>379</v>
      </c>
      <c r="L384" s="14" t="n">
        <f aca="true">$B$16+NORMINV(RAND(),0,SQRT($B$13*($B$7+$B$8^2))*$B$9*(1-$B$10))</f>
        <v>3974.85609151939</v>
      </c>
      <c r="M384" s="14" t="n">
        <f aca="true">$B$16+NORMINV(RAND(),0,SQRT($B$13*($B$7+$B$8^2))*$B$9*(1-$B$10))</f>
        <v>3770.83507765986</v>
      </c>
      <c r="N384" s="14" t="n">
        <f aca="true">$B$16+NORMINV(RAND(),0,SQRT($B$13*($B$7+$B$8^2))*$B$9*(1-$B$10))</f>
        <v>4009.99631211305</v>
      </c>
      <c r="O384" s="14" t="n">
        <f aca="true">$B$16+NORMINV(RAND(),0,SQRT($B$13*($B$7+$B$8^2))*$B$9*(1-$B$10))</f>
        <v>4093.7779071178</v>
      </c>
      <c r="P384" s="14" t="n">
        <f aca="true">$B$16+NORMINV(RAND(),0,SQRT($B$13*($B$7+$B$8^2))*$B$9*(1-$B$10))</f>
        <v>4316.81239094286</v>
      </c>
      <c r="Q384" s="14" t="n">
        <f aca="true">$B$16+NORMINV(RAND(),0,SQRT($B$13*($B$7+$B$8^2))*$B$9*(1-$B$10))</f>
        <v>4135.71529112311</v>
      </c>
      <c r="R384" s="14" t="n">
        <f aca="false">$B$4-13*($B$5+$B$6)/30-IF($B$11&lt;=13,$B$12,0)+0</f>
        <v>8876.66666666667</v>
      </c>
      <c r="S384" s="14" t="n">
        <f aca="false">$B$4-27*($B$5+$B$6)/30-IF($B$11&lt;=27,$B$12,0)+L384</f>
        <v>10564.8560915194</v>
      </c>
      <c r="T384" s="14" t="n">
        <f aca="false">$B$4-41*($B$5+$B$6)/30-IF($B$11&lt;=41,$B$12,0)+L384+M384</f>
        <v>864.224502512576</v>
      </c>
      <c r="U384" s="14" t="n">
        <f aca="false">$B$4-55*($B$5+$B$6)/30-IF($B$11&lt;=55,$B$12,0)+L384+M384+N384</f>
        <v>2587.55414795896</v>
      </c>
      <c r="V384" s="14" t="n">
        <f aca="false">$B$4-69*($B$5+$B$6)/30-IF($B$11&lt;=69,$B$12,0)+L384+M384+N384+O384</f>
        <v>4394.6653884101</v>
      </c>
      <c r="W384" s="14" t="n">
        <f aca="false">$B$4-83*($B$5+$B$6)/30-IF($B$11&lt;=83,$B$12,0)+L384+M384+N384+O384+P384</f>
        <v>6424.81111268629</v>
      </c>
      <c r="X384" s="14" t="n">
        <f aca="false">$B$4-90*($B$5+$B$6)/30-IF($B$11&lt;=90,$B$12,0)+L384+M384+N384+O384+P384+Q384</f>
        <v>9417.19307047607</v>
      </c>
      <c r="AA384" s="14" t="n">
        <f aca="false">MIN(R384:X384)</f>
        <v>864.224502512576</v>
      </c>
    </row>
    <row r="385" customFormat="false" ht="15" hidden="false" customHeight="false" outlineLevel="0" collapsed="false">
      <c r="K385" s="2" t="n">
        <v>380</v>
      </c>
      <c r="L385" s="14" t="n">
        <f aca="true">$B$16+NORMINV(RAND(),0,SQRT($B$13*($B$7+$B$8^2))*$B$9*(1-$B$10))</f>
        <v>3736.41827584455</v>
      </c>
      <c r="M385" s="14" t="n">
        <f aca="true">$B$16+NORMINV(RAND(),0,SQRT($B$13*($B$7+$B$8^2))*$B$9*(1-$B$10))</f>
        <v>3968.1696268211</v>
      </c>
      <c r="N385" s="14" t="n">
        <f aca="true">$B$16+NORMINV(RAND(),0,SQRT($B$13*($B$7+$B$8^2))*$B$9*(1-$B$10))</f>
        <v>4539.6600283827</v>
      </c>
      <c r="O385" s="14" t="n">
        <f aca="true">$B$16+NORMINV(RAND(),0,SQRT($B$13*($B$7+$B$8^2))*$B$9*(1-$B$10))</f>
        <v>3878.68889102164</v>
      </c>
      <c r="P385" s="14" t="n">
        <f aca="true">$B$16+NORMINV(RAND(),0,SQRT($B$13*($B$7+$B$8^2))*$B$9*(1-$B$10))</f>
        <v>4601.57840504712</v>
      </c>
      <c r="Q385" s="14" t="n">
        <f aca="true">$B$16+NORMINV(RAND(),0,SQRT($B$13*($B$7+$B$8^2))*$B$9*(1-$B$10))</f>
        <v>4288.56665028468</v>
      </c>
      <c r="R385" s="14" t="n">
        <f aca="false">$B$4-13*($B$5+$B$6)/30-IF($B$11&lt;=13,$B$12,0)+0</f>
        <v>8876.66666666667</v>
      </c>
      <c r="S385" s="14" t="n">
        <f aca="false">$B$4-27*($B$5+$B$6)/30-IF($B$11&lt;=27,$B$12,0)+L385</f>
        <v>10326.4182758446</v>
      </c>
      <c r="T385" s="14" t="n">
        <f aca="false">$B$4-41*($B$5+$B$6)/30-IF($B$11&lt;=41,$B$12,0)+L385+M385</f>
        <v>823.121235998984</v>
      </c>
      <c r="U385" s="14" t="n">
        <f aca="false">$B$4-55*($B$5+$B$6)/30-IF($B$11&lt;=55,$B$12,0)+L385+M385+N385</f>
        <v>3076.11459771502</v>
      </c>
      <c r="V385" s="14" t="n">
        <f aca="false">$B$4-69*($B$5+$B$6)/30-IF($B$11&lt;=69,$B$12,0)+L385+M385+N385+O385</f>
        <v>4668.13682206999</v>
      </c>
      <c r="W385" s="14" t="n">
        <f aca="false">$B$4-83*($B$5+$B$6)/30-IF($B$11&lt;=83,$B$12,0)+L385+M385+N385+O385+P385</f>
        <v>6983.04856045045</v>
      </c>
      <c r="X385" s="14" t="n">
        <f aca="false">$B$4-90*($B$5+$B$6)/30-IF($B$11&lt;=90,$B$12,0)+L385+M385+N385+O385+P385+Q385</f>
        <v>10128.2818774018</v>
      </c>
      <c r="AA385" s="14" t="n">
        <f aca="false">MIN(R385:X385)</f>
        <v>823.121235998984</v>
      </c>
    </row>
    <row r="386" customFormat="false" ht="15" hidden="false" customHeight="false" outlineLevel="0" collapsed="false">
      <c r="K386" s="2" t="n">
        <v>381</v>
      </c>
      <c r="L386" s="14" t="n">
        <f aca="true">$B$16+NORMINV(RAND(),0,SQRT($B$13*($B$7+$B$8^2))*$B$9*(1-$B$10))</f>
        <v>3476.0345488875</v>
      </c>
      <c r="M386" s="14" t="n">
        <f aca="true">$B$16+NORMINV(RAND(),0,SQRT($B$13*($B$7+$B$8^2))*$B$9*(1-$B$10))</f>
        <v>4071.32783899334</v>
      </c>
      <c r="N386" s="14" t="n">
        <f aca="true">$B$16+NORMINV(RAND(),0,SQRT($B$13*($B$7+$B$8^2))*$B$9*(1-$B$10))</f>
        <v>4443.81946742026</v>
      </c>
      <c r="O386" s="14" t="n">
        <f aca="true">$B$16+NORMINV(RAND(),0,SQRT($B$13*($B$7+$B$8^2))*$B$9*(1-$B$10))</f>
        <v>3590.32148805058</v>
      </c>
      <c r="P386" s="14" t="n">
        <f aca="true">$B$16+NORMINV(RAND(),0,SQRT($B$13*($B$7+$B$8^2))*$B$9*(1-$B$10))</f>
        <v>4009.70181744172</v>
      </c>
      <c r="Q386" s="14" t="n">
        <f aca="true">$B$16+NORMINV(RAND(),0,SQRT($B$13*($B$7+$B$8^2))*$B$9*(1-$B$10))</f>
        <v>4214.00560483987</v>
      </c>
      <c r="R386" s="14" t="n">
        <f aca="false">$B$4-13*($B$5+$B$6)/30-IF($B$11&lt;=13,$B$12,0)+0</f>
        <v>8876.66666666667</v>
      </c>
      <c r="S386" s="14" t="n">
        <f aca="false">$B$4-27*($B$5+$B$6)/30-IF($B$11&lt;=27,$B$12,0)+L386</f>
        <v>10066.0345488875</v>
      </c>
      <c r="T386" s="14" t="n">
        <f aca="false">$B$4-41*($B$5+$B$6)/30-IF($B$11&lt;=41,$B$12,0)+L386+M386</f>
        <v>665.895721214175</v>
      </c>
      <c r="U386" s="14" t="n">
        <f aca="false">$B$4-55*($B$5+$B$6)/30-IF($B$11&lt;=55,$B$12,0)+L386+M386+N386</f>
        <v>2823.04852196777</v>
      </c>
      <c r="V386" s="14" t="n">
        <f aca="false">$B$4-69*($B$5+$B$6)/30-IF($B$11&lt;=69,$B$12,0)+L386+M386+N386+O386</f>
        <v>4126.70334335169</v>
      </c>
      <c r="W386" s="14" t="n">
        <f aca="false">$B$4-83*($B$5+$B$6)/30-IF($B$11&lt;=83,$B$12,0)+L386+M386+N386+O386+P386</f>
        <v>5849.73849412674</v>
      </c>
      <c r="X386" s="14" t="n">
        <f aca="false">$B$4-90*($B$5+$B$6)/30-IF($B$11&lt;=90,$B$12,0)+L386+M386+N386+O386+P386+Q386</f>
        <v>8920.41076563327</v>
      </c>
      <c r="AA386" s="14" t="n">
        <f aca="false">MIN(R386:X386)</f>
        <v>665.895721214175</v>
      </c>
    </row>
    <row r="387" customFormat="false" ht="15" hidden="false" customHeight="false" outlineLevel="0" collapsed="false">
      <c r="K387" s="2" t="n">
        <v>382</v>
      </c>
      <c r="L387" s="14" t="n">
        <f aca="true">$B$16+NORMINV(RAND(),0,SQRT($B$13*($B$7+$B$8^2))*$B$9*(1-$B$10))</f>
        <v>4004.6369058045</v>
      </c>
      <c r="M387" s="14" t="n">
        <f aca="true">$B$16+NORMINV(RAND(),0,SQRT($B$13*($B$7+$B$8^2))*$B$9*(1-$B$10))</f>
        <v>4117.85901600001</v>
      </c>
      <c r="N387" s="14" t="n">
        <f aca="true">$B$16+NORMINV(RAND(),0,SQRT($B$13*($B$7+$B$8^2))*$B$9*(1-$B$10))</f>
        <v>3582.75465257201</v>
      </c>
      <c r="O387" s="14" t="n">
        <f aca="true">$B$16+NORMINV(RAND(),0,SQRT($B$13*($B$7+$B$8^2))*$B$9*(1-$B$10))</f>
        <v>4002.70611266208</v>
      </c>
      <c r="P387" s="14" t="n">
        <f aca="true">$B$16+NORMINV(RAND(),0,SQRT($B$13*($B$7+$B$8^2))*$B$9*(1-$B$10))</f>
        <v>3785.30118581614</v>
      </c>
      <c r="Q387" s="14" t="n">
        <f aca="true">$B$16+NORMINV(RAND(),0,SQRT($B$13*($B$7+$B$8^2))*$B$9*(1-$B$10))</f>
        <v>3836.90417822943</v>
      </c>
      <c r="R387" s="14" t="n">
        <f aca="false">$B$4-13*($B$5+$B$6)/30-IF($B$11&lt;=13,$B$12,0)+0</f>
        <v>8876.66666666667</v>
      </c>
      <c r="S387" s="14" t="n">
        <f aca="false">$B$4-27*($B$5+$B$6)/30-IF($B$11&lt;=27,$B$12,0)+L387</f>
        <v>10594.6369058045</v>
      </c>
      <c r="T387" s="14" t="n">
        <f aca="false">$B$4-41*($B$5+$B$6)/30-IF($B$11&lt;=41,$B$12,0)+L387+M387</f>
        <v>1241.02925513785</v>
      </c>
      <c r="U387" s="14" t="n">
        <f aca="false">$B$4-55*($B$5+$B$6)/30-IF($B$11&lt;=55,$B$12,0)+L387+M387+N387</f>
        <v>2537.11724104319</v>
      </c>
      <c r="V387" s="14" t="n">
        <f aca="false">$B$4-69*($B$5+$B$6)/30-IF($B$11&lt;=69,$B$12,0)+L387+M387+N387+O387</f>
        <v>4253.1566870386</v>
      </c>
      <c r="W387" s="14" t="n">
        <f aca="false">$B$4-83*($B$5+$B$6)/30-IF($B$11&lt;=83,$B$12,0)+L387+M387+N387+O387+P387</f>
        <v>5751.79120618807</v>
      </c>
      <c r="X387" s="14" t="n">
        <f aca="false">$B$4-90*($B$5+$B$6)/30-IF($B$11&lt;=90,$B$12,0)+L387+M387+N387+O387+P387+Q387</f>
        <v>8445.36205108416</v>
      </c>
      <c r="AA387" s="14" t="n">
        <f aca="false">MIN(R387:X387)</f>
        <v>1241.02925513785</v>
      </c>
    </row>
    <row r="388" customFormat="false" ht="15" hidden="false" customHeight="false" outlineLevel="0" collapsed="false">
      <c r="K388" s="2" t="n">
        <v>383</v>
      </c>
      <c r="L388" s="14" t="n">
        <f aca="true">$B$16+NORMINV(RAND(),0,SQRT($B$13*($B$7+$B$8^2))*$B$9*(1-$B$10))</f>
        <v>4173.19882330279</v>
      </c>
      <c r="M388" s="14" t="n">
        <f aca="true">$B$16+NORMINV(RAND(),0,SQRT($B$13*($B$7+$B$8^2))*$B$9*(1-$B$10))</f>
        <v>3678.37527344717</v>
      </c>
      <c r="N388" s="14" t="n">
        <f aca="true">$B$16+NORMINV(RAND(),0,SQRT($B$13*($B$7+$B$8^2))*$B$9*(1-$B$10))</f>
        <v>3833.01445250126</v>
      </c>
      <c r="O388" s="14" t="n">
        <f aca="true">$B$16+NORMINV(RAND(),0,SQRT($B$13*($B$7+$B$8^2))*$B$9*(1-$B$10))</f>
        <v>4481.5346449913</v>
      </c>
      <c r="P388" s="14" t="n">
        <f aca="true">$B$16+NORMINV(RAND(),0,SQRT($B$13*($B$7+$B$8^2))*$B$9*(1-$B$10))</f>
        <v>4676.85470949165</v>
      </c>
      <c r="Q388" s="14" t="n">
        <f aca="true">$B$16+NORMINV(RAND(),0,SQRT($B$13*($B$7+$B$8^2))*$B$9*(1-$B$10))</f>
        <v>3802.66836701492</v>
      </c>
      <c r="R388" s="14" t="n">
        <f aca="false">$B$4-13*($B$5+$B$6)/30-IF($B$11&lt;=13,$B$12,0)+0</f>
        <v>8876.66666666667</v>
      </c>
      <c r="S388" s="14" t="n">
        <f aca="false">$B$4-27*($B$5+$B$6)/30-IF($B$11&lt;=27,$B$12,0)+L388</f>
        <v>10763.1988233028</v>
      </c>
      <c r="T388" s="14" t="n">
        <f aca="false">$B$4-41*($B$5+$B$6)/30-IF($B$11&lt;=41,$B$12,0)+L388+M388</f>
        <v>970.107430083292</v>
      </c>
      <c r="U388" s="14" t="n">
        <f aca="false">$B$4-55*($B$5+$B$6)/30-IF($B$11&lt;=55,$B$12,0)+L388+M388+N388</f>
        <v>2516.45521591789</v>
      </c>
      <c r="V388" s="14" t="n">
        <f aca="false">$B$4-69*($B$5+$B$6)/30-IF($B$11&lt;=69,$B$12,0)+L388+M388+N388+O388</f>
        <v>4711.32319424252</v>
      </c>
      <c r="W388" s="14" t="n">
        <f aca="false">$B$4-83*($B$5+$B$6)/30-IF($B$11&lt;=83,$B$12,0)+L388+M388+N388+O388+P388</f>
        <v>7101.51123706751</v>
      </c>
      <c r="X388" s="14" t="n">
        <f aca="false">$B$4-90*($B$5+$B$6)/30-IF($B$11&lt;=90,$B$12,0)+L388+M388+N388+O388+P388+Q388</f>
        <v>9760.84627074909</v>
      </c>
      <c r="AA388" s="14" t="n">
        <f aca="false">MIN(R388:X388)</f>
        <v>970.107430083292</v>
      </c>
    </row>
    <row r="389" customFormat="false" ht="15" hidden="false" customHeight="false" outlineLevel="0" collapsed="false">
      <c r="K389" s="2" t="n">
        <v>384</v>
      </c>
      <c r="L389" s="14" t="n">
        <f aca="true">$B$16+NORMINV(RAND(),0,SQRT($B$13*($B$7+$B$8^2))*$B$9*(1-$B$10))</f>
        <v>4073.63958294439</v>
      </c>
      <c r="M389" s="14" t="n">
        <f aca="true">$B$16+NORMINV(RAND(),0,SQRT($B$13*($B$7+$B$8^2))*$B$9*(1-$B$10))</f>
        <v>4272.78177244782</v>
      </c>
      <c r="N389" s="14" t="n">
        <f aca="true">$B$16+NORMINV(RAND(),0,SQRT($B$13*($B$7+$B$8^2))*$B$9*(1-$B$10))</f>
        <v>4137.66463081687</v>
      </c>
      <c r="O389" s="14" t="n">
        <f aca="true">$B$16+NORMINV(RAND(),0,SQRT($B$13*($B$7+$B$8^2))*$B$9*(1-$B$10))</f>
        <v>4021.70546074939</v>
      </c>
      <c r="P389" s="14" t="n">
        <f aca="true">$B$16+NORMINV(RAND(),0,SQRT($B$13*($B$7+$B$8^2))*$B$9*(1-$B$10))</f>
        <v>3916.82725617953</v>
      </c>
      <c r="Q389" s="14" t="n">
        <f aca="true">$B$16+NORMINV(RAND(),0,SQRT($B$13*($B$7+$B$8^2))*$B$9*(1-$B$10))</f>
        <v>4529.95517068493</v>
      </c>
      <c r="R389" s="14" t="n">
        <f aca="false">$B$4-13*($B$5+$B$6)/30-IF($B$11&lt;=13,$B$12,0)+0</f>
        <v>8876.66666666667</v>
      </c>
      <c r="S389" s="14" t="n">
        <f aca="false">$B$4-27*($B$5+$B$6)/30-IF($B$11&lt;=27,$B$12,0)+L389</f>
        <v>10663.6395829444</v>
      </c>
      <c r="T389" s="14" t="n">
        <f aca="false">$B$4-41*($B$5+$B$6)/30-IF($B$11&lt;=41,$B$12,0)+L389+M389</f>
        <v>1464.95468872554</v>
      </c>
      <c r="U389" s="14" t="n">
        <f aca="false">$B$4-55*($B$5+$B$6)/30-IF($B$11&lt;=55,$B$12,0)+L389+M389+N389</f>
        <v>3315.95265287574</v>
      </c>
      <c r="V389" s="14" t="n">
        <f aca="false">$B$4-69*($B$5+$B$6)/30-IF($B$11&lt;=69,$B$12,0)+L389+M389+N389+O389</f>
        <v>5050.99144695846</v>
      </c>
      <c r="W389" s="14" t="n">
        <f aca="false">$B$4-83*($B$5+$B$6)/30-IF($B$11&lt;=83,$B$12,0)+L389+M389+N389+O389+P389</f>
        <v>6681.15203647133</v>
      </c>
      <c r="X389" s="14" t="n">
        <f aca="false">$B$4-90*($B$5+$B$6)/30-IF($B$11&lt;=90,$B$12,0)+L389+M389+N389+O389+P389+Q389</f>
        <v>10067.7738738229</v>
      </c>
      <c r="AA389" s="14" t="n">
        <f aca="false">MIN(R389:X389)</f>
        <v>1464.95468872554</v>
      </c>
    </row>
    <row r="390" customFormat="false" ht="15" hidden="false" customHeight="false" outlineLevel="0" collapsed="false">
      <c r="K390" s="2" t="n">
        <v>385</v>
      </c>
      <c r="L390" s="14" t="n">
        <f aca="true">$B$16+NORMINV(RAND(),0,SQRT($B$13*($B$7+$B$8^2))*$B$9*(1-$B$10))</f>
        <v>4622.50367348451</v>
      </c>
      <c r="M390" s="14" t="n">
        <f aca="true">$B$16+NORMINV(RAND(),0,SQRT($B$13*($B$7+$B$8^2))*$B$9*(1-$B$10))</f>
        <v>4534.00228031255</v>
      </c>
      <c r="N390" s="14" t="n">
        <f aca="true">$B$16+NORMINV(RAND(),0,SQRT($B$13*($B$7+$B$8^2))*$B$9*(1-$B$10))</f>
        <v>4567.25336075249</v>
      </c>
      <c r="O390" s="14" t="n">
        <f aca="true">$B$16+NORMINV(RAND(),0,SQRT($B$13*($B$7+$B$8^2))*$B$9*(1-$B$10))</f>
        <v>4167.02438831855</v>
      </c>
      <c r="P390" s="14" t="n">
        <f aca="true">$B$16+NORMINV(RAND(),0,SQRT($B$13*($B$7+$B$8^2))*$B$9*(1-$B$10))</f>
        <v>3769.47656002151</v>
      </c>
      <c r="Q390" s="14" t="n">
        <f aca="true">$B$16+NORMINV(RAND(),0,SQRT($B$13*($B$7+$B$8^2))*$B$9*(1-$B$10))</f>
        <v>3791.62056477327</v>
      </c>
      <c r="R390" s="14" t="n">
        <f aca="false">$B$4-13*($B$5+$B$6)/30-IF($B$11&lt;=13,$B$12,0)+0</f>
        <v>8876.66666666667</v>
      </c>
      <c r="S390" s="14" t="n">
        <f aca="false">$B$4-27*($B$5+$B$6)/30-IF($B$11&lt;=27,$B$12,0)+L390</f>
        <v>11212.5036734845</v>
      </c>
      <c r="T390" s="14" t="n">
        <f aca="false">$B$4-41*($B$5+$B$6)/30-IF($B$11&lt;=41,$B$12,0)+L390+M390</f>
        <v>2275.03928713039</v>
      </c>
      <c r="U390" s="14" t="n">
        <f aca="false">$B$4-55*($B$5+$B$6)/30-IF($B$11&lt;=55,$B$12,0)+L390+M390+N390</f>
        <v>4555.62598121622</v>
      </c>
      <c r="V390" s="14" t="n">
        <f aca="false">$B$4-69*($B$5+$B$6)/30-IF($B$11&lt;=69,$B$12,0)+L390+M390+N390+O390</f>
        <v>6435.9837028681</v>
      </c>
      <c r="W390" s="14" t="n">
        <f aca="false">$B$4-83*($B$5+$B$6)/30-IF($B$11&lt;=83,$B$12,0)+L390+M390+N390+O390+P390</f>
        <v>7918.79359622295</v>
      </c>
      <c r="X390" s="14" t="n">
        <f aca="false">$B$4-90*($B$5+$B$6)/30-IF($B$11&lt;=90,$B$12,0)+L390+M390+N390+O390+P390+Q390</f>
        <v>10567.0808276629</v>
      </c>
      <c r="AA390" s="14" t="n">
        <f aca="false">MIN(R390:X390)</f>
        <v>2275.03928713039</v>
      </c>
    </row>
    <row r="391" customFormat="false" ht="15" hidden="false" customHeight="false" outlineLevel="0" collapsed="false">
      <c r="K391" s="2" t="n">
        <v>386</v>
      </c>
      <c r="L391" s="14" t="n">
        <f aca="true">$B$16+NORMINV(RAND(),0,SQRT($B$13*($B$7+$B$8^2))*$B$9*(1-$B$10))</f>
        <v>3757.42870925222</v>
      </c>
      <c r="M391" s="14" t="n">
        <f aca="true">$B$16+NORMINV(RAND(),0,SQRT($B$13*($B$7+$B$8^2))*$B$9*(1-$B$10))</f>
        <v>3621.09463834616</v>
      </c>
      <c r="N391" s="14" t="n">
        <f aca="true">$B$16+NORMINV(RAND(),0,SQRT($B$13*($B$7+$B$8^2))*$B$9*(1-$B$10))</f>
        <v>4623.73100498942</v>
      </c>
      <c r="O391" s="14" t="n">
        <f aca="true">$B$16+NORMINV(RAND(),0,SQRT($B$13*($B$7+$B$8^2))*$B$9*(1-$B$10))</f>
        <v>3877.80876997203</v>
      </c>
      <c r="P391" s="14" t="n">
        <f aca="true">$B$16+NORMINV(RAND(),0,SQRT($B$13*($B$7+$B$8^2))*$B$9*(1-$B$10))</f>
        <v>4113.82695607215</v>
      </c>
      <c r="Q391" s="14" t="n">
        <f aca="true">$B$16+NORMINV(RAND(),0,SQRT($B$13*($B$7+$B$8^2))*$B$9*(1-$B$10))</f>
        <v>4034.2959540119</v>
      </c>
      <c r="R391" s="14" t="n">
        <f aca="false">$B$4-13*($B$5+$B$6)/30-IF($B$11&lt;=13,$B$12,0)+0</f>
        <v>8876.66666666667</v>
      </c>
      <c r="S391" s="14" t="n">
        <f aca="false">$B$4-27*($B$5+$B$6)/30-IF($B$11&lt;=27,$B$12,0)+L391</f>
        <v>10347.4287092522</v>
      </c>
      <c r="T391" s="14" t="n">
        <f aca="false">$B$4-41*($B$5+$B$6)/30-IF($B$11&lt;=41,$B$12,0)+L391+M391</f>
        <v>497.056680931716</v>
      </c>
      <c r="U391" s="14" t="n">
        <f aca="false">$B$4-55*($B$5+$B$6)/30-IF($B$11&lt;=55,$B$12,0)+L391+M391+N391</f>
        <v>2834.12101925447</v>
      </c>
      <c r="V391" s="14" t="n">
        <f aca="false">$B$4-69*($B$5+$B$6)/30-IF($B$11&lt;=69,$B$12,0)+L391+M391+N391+O391</f>
        <v>4425.26312255983</v>
      </c>
      <c r="W391" s="14" t="n">
        <f aca="false">$B$4-83*($B$5+$B$6)/30-IF($B$11&lt;=83,$B$12,0)+L391+M391+N391+O391+P391</f>
        <v>6252.42341196532</v>
      </c>
      <c r="X391" s="14" t="n">
        <f aca="false">$B$4-90*($B$5+$B$6)/30-IF($B$11&lt;=90,$B$12,0)+L391+M391+N391+O391+P391+Q391</f>
        <v>9143.38603264389</v>
      </c>
      <c r="AA391" s="14" t="n">
        <f aca="false">MIN(R391:X391)</f>
        <v>497.056680931716</v>
      </c>
    </row>
    <row r="392" customFormat="false" ht="15" hidden="false" customHeight="false" outlineLevel="0" collapsed="false">
      <c r="K392" s="2" t="n">
        <v>387</v>
      </c>
      <c r="L392" s="14" t="n">
        <f aca="true">$B$16+NORMINV(RAND(),0,SQRT($B$13*($B$7+$B$8^2))*$B$9*(1-$B$10))</f>
        <v>3868.83716427415</v>
      </c>
      <c r="M392" s="14" t="n">
        <f aca="true">$B$16+NORMINV(RAND(),0,SQRT($B$13*($B$7+$B$8^2))*$B$9*(1-$B$10))</f>
        <v>4087.27336844175</v>
      </c>
      <c r="N392" s="14" t="n">
        <f aca="true">$B$16+NORMINV(RAND(),0,SQRT($B$13*($B$7+$B$8^2))*$B$9*(1-$B$10))</f>
        <v>4089.09732481684</v>
      </c>
      <c r="O392" s="14" t="n">
        <f aca="true">$B$16+NORMINV(RAND(),0,SQRT($B$13*($B$7+$B$8^2))*$B$9*(1-$B$10))</f>
        <v>3698.64296343237</v>
      </c>
      <c r="P392" s="14" t="n">
        <f aca="true">$B$16+NORMINV(RAND(),0,SQRT($B$13*($B$7+$B$8^2))*$B$9*(1-$B$10))</f>
        <v>3988.43896913482</v>
      </c>
      <c r="Q392" s="14" t="n">
        <f aca="true">$B$16+NORMINV(RAND(),0,SQRT($B$13*($B$7+$B$8^2))*$B$9*(1-$B$10))</f>
        <v>4157.01929177972</v>
      </c>
      <c r="R392" s="14" t="n">
        <f aca="false">$B$4-13*($B$5+$B$6)/30-IF($B$11&lt;=13,$B$12,0)+0</f>
        <v>8876.66666666667</v>
      </c>
      <c r="S392" s="14" t="n">
        <f aca="false">$B$4-27*($B$5+$B$6)/30-IF($B$11&lt;=27,$B$12,0)+L392</f>
        <v>10458.8371642742</v>
      </c>
      <c r="T392" s="14" t="n">
        <f aca="false">$B$4-41*($B$5+$B$6)/30-IF($B$11&lt;=41,$B$12,0)+L392+M392</f>
        <v>1074.64386604923</v>
      </c>
      <c r="U392" s="14" t="n">
        <f aca="false">$B$4-55*($B$5+$B$6)/30-IF($B$11&lt;=55,$B$12,0)+L392+M392+N392</f>
        <v>2877.0745241994</v>
      </c>
      <c r="V392" s="14" t="n">
        <f aca="false">$B$4-69*($B$5+$B$6)/30-IF($B$11&lt;=69,$B$12,0)+L392+M392+N392+O392</f>
        <v>4289.0508209651</v>
      </c>
      <c r="W392" s="14" t="n">
        <f aca="false">$B$4-83*($B$5+$B$6)/30-IF($B$11&lt;=83,$B$12,0)+L392+M392+N392+O392+P392</f>
        <v>5990.82312343325</v>
      </c>
      <c r="X392" s="14" t="n">
        <f aca="false">$B$4-90*($B$5+$B$6)/30-IF($B$11&lt;=90,$B$12,0)+L392+M392+N392+O392+P392+Q392</f>
        <v>9004.50908187964</v>
      </c>
      <c r="AA392" s="14" t="n">
        <f aca="false">MIN(R392:X392)</f>
        <v>1074.64386604923</v>
      </c>
    </row>
    <row r="393" customFormat="false" ht="15" hidden="false" customHeight="false" outlineLevel="0" collapsed="false">
      <c r="K393" s="2" t="n">
        <v>388</v>
      </c>
      <c r="L393" s="14" t="n">
        <f aca="true">$B$16+NORMINV(RAND(),0,SQRT($B$13*($B$7+$B$8^2))*$B$9*(1-$B$10))</f>
        <v>3694.01631357772</v>
      </c>
      <c r="M393" s="14" t="n">
        <f aca="true">$B$16+NORMINV(RAND(),0,SQRT($B$13*($B$7+$B$8^2))*$B$9*(1-$B$10))</f>
        <v>4029.51671146287</v>
      </c>
      <c r="N393" s="14" t="n">
        <f aca="true">$B$16+NORMINV(RAND(),0,SQRT($B$13*($B$7+$B$8^2))*$B$9*(1-$B$10))</f>
        <v>4334.24035815518</v>
      </c>
      <c r="O393" s="14" t="n">
        <f aca="true">$B$16+NORMINV(RAND(),0,SQRT($B$13*($B$7+$B$8^2))*$B$9*(1-$B$10))</f>
        <v>4067.11085749212</v>
      </c>
      <c r="P393" s="14" t="n">
        <f aca="true">$B$16+NORMINV(RAND(),0,SQRT($B$13*($B$7+$B$8^2))*$B$9*(1-$B$10))</f>
        <v>3853.88658440002</v>
      </c>
      <c r="Q393" s="14" t="n">
        <f aca="true">$B$16+NORMINV(RAND(),0,SQRT($B$13*($B$7+$B$8^2))*$B$9*(1-$B$10))</f>
        <v>4277.13658430835</v>
      </c>
      <c r="R393" s="14" t="n">
        <f aca="false">$B$4-13*($B$5+$B$6)/30-IF($B$11&lt;=13,$B$12,0)+0</f>
        <v>8876.66666666667</v>
      </c>
      <c r="S393" s="14" t="n">
        <f aca="false">$B$4-27*($B$5+$B$6)/30-IF($B$11&lt;=27,$B$12,0)+L393</f>
        <v>10284.0163135777</v>
      </c>
      <c r="T393" s="14" t="n">
        <f aca="false">$B$4-41*($B$5+$B$6)/30-IF($B$11&lt;=41,$B$12,0)+L393+M393</f>
        <v>842.066358373929</v>
      </c>
      <c r="U393" s="14" t="n">
        <f aca="false">$B$4-55*($B$5+$B$6)/30-IF($B$11&lt;=55,$B$12,0)+L393+M393+N393</f>
        <v>2889.64004986244</v>
      </c>
      <c r="V393" s="14" t="n">
        <f aca="false">$B$4-69*($B$5+$B$6)/30-IF($B$11&lt;=69,$B$12,0)+L393+M393+N393+O393</f>
        <v>4670.08424068789</v>
      </c>
      <c r="W393" s="14" t="n">
        <f aca="false">$B$4-83*($B$5+$B$6)/30-IF($B$11&lt;=83,$B$12,0)+L393+M393+N393+O393+P393</f>
        <v>6237.30415842124</v>
      </c>
      <c r="X393" s="14" t="n">
        <f aca="false">$B$4-90*($B$5+$B$6)/30-IF($B$11&lt;=90,$B$12,0)+L393+M393+N393+O393+P393+Q393</f>
        <v>9371.10740939626</v>
      </c>
      <c r="AA393" s="14" t="n">
        <f aca="false">MIN(R393:X393)</f>
        <v>842.066358373929</v>
      </c>
    </row>
    <row r="394" customFormat="false" ht="15" hidden="false" customHeight="false" outlineLevel="0" collapsed="false">
      <c r="K394" s="2" t="n">
        <v>389</v>
      </c>
      <c r="L394" s="14" t="n">
        <f aca="true">$B$16+NORMINV(RAND(),0,SQRT($B$13*($B$7+$B$8^2))*$B$9*(1-$B$10))</f>
        <v>4225.63854403078</v>
      </c>
      <c r="M394" s="14" t="n">
        <f aca="true">$B$16+NORMINV(RAND(),0,SQRT($B$13*($B$7+$B$8^2))*$B$9*(1-$B$10))</f>
        <v>3730.25496953346</v>
      </c>
      <c r="N394" s="14" t="n">
        <f aca="true">$B$16+NORMINV(RAND(),0,SQRT($B$13*($B$7+$B$8^2))*$B$9*(1-$B$10))</f>
        <v>4202.72984707862</v>
      </c>
      <c r="O394" s="14" t="n">
        <f aca="true">$B$16+NORMINV(RAND(),0,SQRT($B$13*($B$7+$B$8^2))*$B$9*(1-$B$10))</f>
        <v>4745.87076881951</v>
      </c>
      <c r="P394" s="14" t="n">
        <f aca="true">$B$16+NORMINV(RAND(),0,SQRT($B$13*($B$7+$B$8^2))*$B$9*(1-$B$10))</f>
        <v>4319.11384402767</v>
      </c>
      <c r="Q394" s="14" t="n">
        <f aca="true">$B$16+NORMINV(RAND(),0,SQRT($B$13*($B$7+$B$8^2))*$B$9*(1-$B$10))</f>
        <v>3910.4509080764</v>
      </c>
      <c r="R394" s="14" t="n">
        <f aca="false">$B$4-13*($B$5+$B$6)/30-IF($B$11&lt;=13,$B$12,0)+0</f>
        <v>8876.66666666667</v>
      </c>
      <c r="S394" s="14" t="n">
        <f aca="false">$B$4-27*($B$5+$B$6)/30-IF($B$11&lt;=27,$B$12,0)+L394</f>
        <v>10815.6385440308</v>
      </c>
      <c r="T394" s="14" t="n">
        <f aca="false">$B$4-41*($B$5+$B$6)/30-IF($B$11&lt;=41,$B$12,0)+L394+M394</f>
        <v>1074.42684689757</v>
      </c>
      <c r="U394" s="14" t="n">
        <f aca="false">$B$4-55*($B$5+$B$6)/30-IF($B$11&lt;=55,$B$12,0)+L394+M394+N394</f>
        <v>2990.49002730952</v>
      </c>
      <c r="V394" s="14" t="n">
        <f aca="false">$B$4-69*($B$5+$B$6)/30-IF($B$11&lt;=69,$B$12,0)+L394+M394+N394+O394</f>
        <v>5449.69412946236</v>
      </c>
      <c r="W394" s="14" t="n">
        <f aca="false">$B$4-83*($B$5+$B$6)/30-IF($B$11&lt;=83,$B$12,0)+L394+M394+N394+O394+P394</f>
        <v>7482.14130682336</v>
      </c>
      <c r="X394" s="14" t="n">
        <f aca="false">$B$4-90*($B$5+$B$6)/30-IF($B$11&lt;=90,$B$12,0)+L394+M394+N394+O394+P394+Q394</f>
        <v>10249.2588815664</v>
      </c>
      <c r="AA394" s="14" t="n">
        <f aca="false">MIN(R394:X394)</f>
        <v>1074.42684689757</v>
      </c>
    </row>
    <row r="395" customFormat="false" ht="15" hidden="false" customHeight="false" outlineLevel="0" collapsed="false">
      <c r="K395" s="2" t="n">
        <v>390</v>
      </c>
      <c r="L395" s="14" t="n">
        <f aca="true">$B$16+NORMINV(RAND(),0,SQRT($B$13*($B$7+$B$8^2))*$B$9*(1-$B$10))</f>
        <v>4638.11677141106</v>
      </c>
      <c r="M395" s="14" t="n">
        <f aca="true">$B$16+NORMINV(RAND(),0,SQRT($B$13*($B$7+$B$8^2))*$B$9*(1-$B$10))</f>
        <v>3835.36022444652</v>
      </c>
      <c r="N395" s="14" t="n">
        <f aca="true">$B$16+NORMINV(RAND(),0,SQRT($B$13*($B$7+$B$8^2))*$B$9*(1-$B$10))</f>
        <v>3836.43486184776</v>
      </c>
      <c r="O395" s="14" t="n">
        <f aca="true">$B$16+NORMINV(RAND(),0,SQRT($B$13*($B$7+$B$8^2))*$B$9*(1-$B$10))</f>
        <v>4474.22940559024</v>
      </c>
      <c r="P395" s="14" t="n">
        <f aca="true">$B$16+NORMINV(RAND(),0,SQRT($B$13*($B$7+$B$8^2))*$B$9*(1-$B$10))</f>
        <v>3331.60586071971</v>
      </c>
      <c r="Q395" s="14" t="n">
        <f aca="true">$B$16+NORMINV(RAND(),0,SQRT($B$13*($B$7+$B$8^2))*$B$9*(1-$B$10))</f>
        <v>4047.79751022386</v>
      </c>
      <c r="R395" s="14" t="n">
        <f aca="false">$B$4-13*($B$5+$B$6)/30-IF($B$11&lt;=13,$B$12,0)+0</f>
        <v>8876.66666666667</v>
      </c>
      <c r="S395" s="14" t="n">
        <f aca="false">$B$4-27*($B$5+$B$6)/30-IF($B$11&lt;=27,$B$12,0)+L395</f>
        <v>11228.1167714111</v>
      </c>
      <c r="T395" s="14" t="n">
        <f aca="false">$B$4-41*($B$5+$B$6)/30-IF($B$11&lt;=41,$B$12,0)+L395+M395</f>
        <v>1592.01032919091</v>
      </c>
      <c r="U395" s="14" t="n">
        <f aca="false">$B$4-55*($B$5+$B$6)/30-IF($B$11&lt;=55,$B$12,0)+L395+M395+N395</f>
        <v>3141.77852437201</v>
      </c>
      <c r="V395" s="14" t="n">
        <f aca="false">$B$4-69*($B$5+$B$6)/30-IF($B$11&lt;=69,$B$12,0)+L395+M395+N395+O395</f>
        <v>5329.34126329558</v>
      </c>
      <c r="W395" s="14" t="n">
        <f aca="false">$B$4-83*($B$5+$B$6)/30-IF($B$11&lt;=83,$B$12,0)+L395+M395+N395+O395+P395</f>
        <v>6374.28045734862</v>
      </c>
      <c r="X395" s="14" t="n">
        <f aca="false">$B$4-90*($B$5+$B$6)/30-IF($B$11&lt;=90,$B$12,0)+L395+M395+N395+O395+P395+Q395</f>
        <v>9278.74463423915</v>
      </c>
      <c r="AA395" s="14" t="n">
        <f aca="false">MIN(R395:X395)</f>
        <v>1592.01032919091</v>
      </c>
    </row>
    <row r="396" customFormat="false" ht="15" hidden="false" customHeight="false" outlineLevel="0" collapsed="false">
      <c r="K396" s="2" t="n">
        <v>391</v>
      </c>
      <c r="L396" s="14" t="n">
        <f aca="true">$B$16+NORMINV(RAND(),0,SQRT($B$13*($B$7+$B$8^2))*$B$9*(1-$B$10))</f>
        <v>4210.36162281328</v>
      </c>
      <c r="M396" s="14" t="n">
        <f aca="true">$B$16+NORMINV(RAND(),0,SQRT($B$13*($B$7+$B$8^2))*$B$9*(1-$B$10))</f>
        <v>3829.92772356428</v>
      </c>
      <c r="N396" s="14" t="n">
        <f aca="true">$B$16+NORMINV(RAND(),0,SQRT($B$13*($B$7+$B$8^2))*$B$9*(1-$B$10))</f>
        <v>4345.30705899232</v>
      </c>
      <c r="O396" s="14" t="n">
        <f aca="true">$B$16+NORMINV(RAND(),0,SQRT($B$13*($B$7+$B$8^2))*$B$9*(1-$B$10))</f>
        <v>4277.22229119312</v>
      </c>
      <c r="P396" s="14" t="n">
        <f aca="true">$B$16+NORMINV(RAND(),0,SQRT($B$13*($B$7+$B$8^2))*$B$9*(1-$B$10))</f>
        <v>3720.16629293774</v>
      </c>
      <c r="Q396" s="14" t="n">
        <f aca="true">$B$16+NORMINV(RAND(),0,SQRT($B$13*($B$7+$B$8^2))*$B$9*(1-$B$10))</f>
        <v>4044.3544551148</v>
      </c>
      <c r="R396" s="14" t="n">
        <f aca="false">$B$4-13*($B$5+$B$6)/30-IF($B$11&lt;=13,$B$12,0)+0</f>
        <v>8876.66666666667</v>
      </c>
      <c r="S396" s="14" t="n">
        <f aca="false">$B$4-27*($B$5+$B$6)/30-IF($B$11&lt;=27,$B$12,0)+L396</f>
        <v>10800.3616228133</v>
      </c>
      <c r="T396" s="14" t="n">
        <f aca="false">$B$4-41*($B$5+$B$6)/30-IF($B$11&lt;=41,$B$12,0)+L396+M396</f>
        <v>1158.82267971089</v>
      </c>
      <c r="U396" s="14" t="n">
        <f aca="false">$B$4-55*($B$5+$B$6)/30-IF($B$11&lt;=55,$B$12,0)+L396+M396+N396</f>
        <v>3217.46307203655</v>
      </c>
      <c r="V396" s="14" t="n">
        <f aca="false">$B$4-69*($B$5+$B$6)/30-IF($B$11&lt;=69,$B$12,0)+L396+M396+N396+O396</f>
        <v>5208.018696563</v>
      </c>
      <c r="W396" s="14" t="n">
        <f aca="false">$B$4-83*($B$5+$B$6)/30-IF($B$11&lt;=83,$B$12,0)+L396+M396+N396+O396+P396</f>
        <v>6641.51832283407</v>
      </c>
      <c r="X396" s="14" t="n">
        <f aca="false">$B$4-90*($B$5+$B$6)/30-IF($B$11&lt;=90,$B$12,0)+L396+M396+N396+O396+P396+Q396</f>
        <v>9542.53944461554</v>
      </c>
      <c r="AA396" s="14" t="n">
        <f aca="false">MIN(R396:X396)</f>
        <v>1158.82267971089</v>
      </c>
    </row>
    <row r="397" customFormat="false" ht="15" hidden="false" customHeight="false" outlineLevel="0" collapsed="false">
      <c r="K397" s="2" t="n">
        <v>392</v>
      </c>
      <c r="L397" s="14" t="n">
        <f aca="true">$B$16+NORMINV(RAND(),0,SQRT($B$13*($B$7+$B$8^2))*$B$9*(1-$B$10))</f>
        <v>3994.06004599717</v>
      </c>
      <c r="M397" s="14" t="n">
        <f aca="true">$B$16+NORMINV(RAND(),0,SQRT($B$13*($B$7+$B$8^2))*$B$9*(1-$B$10))</f>
        <v>4156.48731495822</v>
      </c>
      <c r="N397" s="14" t="n">
        <f aca="true">$B$16+NORMINV(RAND(),0,SQRT($B$13*($B$7+$B$8^2))*$B$9*(1-$B$10))</f>
        <v>3893.81587992182</v>
      </c>
      <c r="O397" s="14" t="n">
        <f aca="true">$B$16+NORMINV(RAND(),0,SQRT($B$13*($B$7+$B$8^2))*$B$9*(1-$B$10))</f>
        <v>4586.02282042842</v>
      </c>
      <c r="P397" s="14" t="n">
        <f aca="true">$B$16+NORMINV(RAND(),0,SQRT($B$13*($B$7+$B$8^2))*$B$9*(1-$B$10))</f>
        <v>3451.36826550292</v>
      </c>
      <c r="Q397" s="14" t="n">
        <f aca="true">$B$16+NORMINV(RAND(),0,SQRT($B$13*($B$7+$B$8^2))*$B$9*(1-$B$10))</f>
        <v>4305.62621578858</v>
      </c>
      <c r="R397" s="14" t="n">
        <f aca="false">$B$4-13*($B$5+$B$6)/30-IF($B$11&lt;=13,$B$12,0)+0</f>
        <v>8876.66666666667</v>
      </c>
      <c r="S397" s="14" t="n">
        <f aca="false">$B$4-27*($B$5+$B$6)/30-IF($B$11&lt;=27,$B$12,0)+L397</f>
        <v>10584.0600459972</v>
      </c>
      <c r="T397" s="14" t="n">
        <f aca="false">$B$4-41*($B$5+$B$6)/30-IF($B$11&lt;=41,$B$12,0)+L397+M397</f>
        <v>1269.08069428873</v>
      </c>
      <c r="U397" s="14" t="n">
        <f aca="false">$B$4-55*($B$5+$B$6)/30-IF($B$11&lt;=55,$B$12,0)+L397+M397+N397</f>
        <v>2876.22990754388</v>
      </c>
      <c r="V397" s="14" t="n">
        <f aca="false">$B$4-69*($B$5+$B$6)/30-IF($B$11&lt;=69,$B$12,0)+L397+M397+N397+O397</f>
        <v>5175.58606130563</v>
      </c>
      <c r="W397" s="14" t="n">
        <f aca="false">$B$4-83*($B$5+$B$6)/30-IF($B$11&lt;=83,$B$12,0)+L397+M397+N397+O397+P397</f>
        <v>6340.28766014188</v>
      </c>
      <c r="X397" s="14" t="n">
        <f aca="false">$B$4-90*($B$5+$B$6)/30-IF($B$11&lt;=90,$B$12,0)+L397+M397+N397+O397+P397+Q397</f>
        <v>9502.58054259712</v>
      </c>
      <c r="AA397" s="14" t="n">
        <f aca="false">MIN(R397:X397)</f>
        <v>1269.08069428873</v>
      </c>
    </row>
    <row r="398" customFormat="false" ht="15" hidden="false" customHeight="false" outlineLevel="0" collapsed="false">
      <c r="K398" s="2" t="n">
        <v>393</v>
      </c>
      <c r="L398" s="14" t="n">
        <f aca="true">$B$16+NORMINV(RAND(),0,SQRT($B$13*($B$7+$B$8^2))*$B$9*(1-$B$10))</f>
        <v>4795.54608100772</v>
      </c>
      <c r="M398" s="14" t="n">
        <f aca="true">$B$16+NORMINV(RAND(),0,SQRT($B$13*($B$7+$B$8^2))*$B$9*(1-$B$10))</f>
        <v>4044.16571820565</v>
      </c>
      <c r="N398" s="14" t="n">
        <f aca="true">$B$16+NORMINV(RAND(),0,SQRT($B$13*($B$7+$B$8^2))*$B$9*(1-$B$10))</f>
        <v>3681.49741750369</v>
      </c>
      <c r="O398" s="14" t="n">
        <f aca="true">$B$16+NORMINV(RAND(),0,SQRT($B$13*($B$7+$B$8^2))*$B$9*(1-$B$10))</f>
        <v>4018.42183667312</v>
      </c>
      <c r="P398" s="14" t="n">
        <f aca="true">$B$16+NORMINV(RAND(),0,SQRT($B$13*($B$7+$B$8^2))*$B$9*(1-$B$10))</f>
        <v>4542.34024307603</v>
      </c>
      <c r="Q398" s="14" t="n">
        <f aca="true">$B$16+NORMINV(RAND(),0,SQRT($B$13*($B$7+$B$8^2))*$B$9*(1-$B$10))</f>
        <v>3759.35077897833</v>
      </c>
      <c r="R398" s="14" t="n">
        <f aca="false">$B$4-13*($B$5+$B$6)/30-IF($B$11&lt;=13,$B$12,0)+0</f>
        <v>8876.66666666667</v>
      </c>
      <c r="S398" s="14" t="n">
        <f aca="false">$B$4-27*($B$5+$B$6)/30-IF($B$11&lt;=27,$B$12,0)+L398</f>
        <v>11385.5460810077</v>
      </c>
      <c r="T398" s="14" t="n">
        <f aca="false">$B$4-41*($B$5+$B$6)/30-IF($B$11&lt;=41,$B$12,0)+L398+M398</f>
        <v>1958.2451325467</v>
      </c>
      <c r="U398" s="14" t="n">
        <f aca="false">$B$4-55*($B$5+$B$6)/30-IF($B$11&lt;=55,$B$12,0)+L398+M398+N398</f>
        <v>3353.07588338373</v>
      </c>
      <c r="V398" s="14" t="n">
        <f aca="false">$B$4-69*($B$5+$B$6)/30-IF($B$11&lt;=69,$B$12,0)+L398+M398+N398+O398</f>
        <v>5084.83105339018</v>
      </c>
      <c r="W398" s="14" t="n">
        <f aca="false">$B$4-83*($B$5+$B$6)/30-IF($B$11&lt;=83,$B$12,0)+L398+M398+N398+O398+P398</f>
        <v>7340.50462979955</v>
      </c>
      <c r="X398" s="14" t="n">
        <f aca="false">$B$4-90*($B$5+$B$6)/30-IF($B$11&lt;=90,$B$12,0)+L398+M398+N398+O398+P398+Q398</f>
        <v>9956.52207544455</v>
      </c>
      <c r="AA398" s="14" t="n">
        <f aca="false">MIN(R398:X398)</f>
        <v>1958.2451325467</v>
      </c>
    </row>
    <row r="399" customFormat="false" ht="15" hidden="false" customHeight="false" outlineLevel="0" collapsed="false">
      <c r="K399" s="2" t="n">
        <v>394</v>
      </c>
      <c r="L399" s="14" t="n">
        <f aca="true">$B$16+NORMINV(RAND(),0,SQRT($B$13*($B$7+$B$8^2))*$B$9*(1-$B$10))</f>
        <v>4230.37801289998</v>
      </c>
      <c r="M399" s="14" t="n">
        <f aca="true">$B$16+NORMINV(RAND(),0,SQRT($B$13*($B$7+$B$8^2))*$B$9*(1-$B$10))</f>
        <v>3950.58965729487</v>
      </c>
      <c r="N399" s="14" t="n">
        <f aca="true">$B$16+NORMINV(RAND(),0,SQRT($B$13*($B$7+$B$8^2))*$B$9*(1-$B$10))</f>
        <v>3913.46225011486</v>
      </c>
      <c r="O399" s="14" t="n">
        <f aca="true">$B$16+NORMINV(RAND(),0,SQRT($B$13*($B$7+$B$8^2))*$B$9*(1-$B$10))</f>
        <v>3176.63940582725</v>
      </c>
      <c r="P399" s="14" t="n">
        <f aca="true">$B$16+NORMINV(RAND(),0,SQRT($B$13*($B$7+$B$8^2))*$B$9*(1-$B$10))</f>
        <v>4480.16646823191</v>
      </c>
      <c r="Q399" s="14" t="n">
        <f aca="true">$B$16+NORMINV(RAND(),0,SQRT($B$13*($B$7+$B$8^2))*$B$9*(1-$B$10))</f>
        <v>4154.94170505188</v>
      </c>
      <c r="R399" s="14" t="n">
        <f aca="false">$B$4-13*($B$5+$B$6)/30-IF($B$11&lt;=13,$B$12,0)+0</f>
        <v>8876.66666666667</v>
      </c>
      <c r="S399" s="14" t="n">
        <f aca="false">$B$4-27*($B$5+$B$6)/30-IF($B$11&lt;=27,$B$12,0)+L399</f>
        <v>10820.3780129</v>
      </c>
      <c r="T399" s="14" t="n">
        <f aca="false">$B$4-41*($B$5+$B$6)/30-IF($B$11&lt;=41,$B$12,0)+L399+M399</f>
        <v>1299.50100352818</v>
      </c>
      <c r="U399" s="14" t="n">
        <f aca="false">$B$4-55*($B$5+$B$6)/30-IF($B$11&lt;=55,$B$12,0)+L399+M399+N399</f>
        <v>2926.29658697637</v>
      </c>
      <c r="V399" s="14" t="n">
        <f aca="false">$B$4-69*($B$5+$B$6)/30-IF($B$11&lt;=69,$B$12,0)+L399+M399+N399+O399</f>
        <v>3816.26932613695</v>
      </c>
      <c r="W399" s="14" t="n">
        <f aca="false">$B$4-83*($B$5+$B$6)/30-IF($B$11&lt;=83,$B$12,0)+L399+M399+N399+O399+P399</f>
        <v>6009.76912770219</v>
      </c>
      <c r="X399" s="14" t="n">
        <f aca="false">$B$4-90*($B$5+$B$6)/30-IF($B$11&lt;=90,$B$12,0)+L399+M399+N399+O399+P399+Q399</f>
        <v>9021.37749942074</v>
      </c>
      <c r="AA399" s="14" t="n">
        <f aca="false">MIN(R399:X399)</f>
        <v>1299.50100352818</v>
      </c>
    </row>
    <row r="400" customFormat="false" ht="15" hidden="false" customHeight="false" outlineLevel="0" collapsed="false">
      <c r="K400" s="2" t="n">
        <v>395</v>
      </c>
      <c r="L400" s="14" t="n">
        <f aca="true">$B$16+NORMINV(RAND(),0,SQRT($B$13*($B$7+$B$8^2))*$B$9*(1-$B$10))</f>
        <v>3780.68779264157</v>
      </c>
      <c r="M400" s="14" t="n">
        <f aca="true">$B$16+NORMINV(RAND(),0,SQRT($B$13*($B$7+$B$8^2))*$B$9*(1-$B$10))</f>
        <v>3990.16938593597</v>
      </c>
      <c r="N400" s="14" t="n">
        <f aca="true">$B$16+NORMINV(RAND(),0,SQRT($B$13*($B$7+$B$8^2))*$B$9*(1-$B$10))</f>
        <v>4328.1794492539</v>
      </c>
      <c r="O400" s="14" t="n">
        <f aca="true">$B$16+NORMINV(RAND(),0,SQRT($B$13*($B$7+$B$8^2))*$B$9*(1-$B$10))</f>
        <v>4423.51439104263</v>
      </c>
      <c r="P400" s="14" t="n">
        <f aca="true">$B$16+NORMINV(RAND(),0,SQRT($B$13*($B$7+$B$8^2))*$B$9*(1-$B$10))</f>
        <v>3304.29411140539</v>
      </c>
      <c r="Q400" s="14" t="n">
        <f aca="true">$B$16+NORMINV(RAND(),0,SQRT($B$13*($B$7+$B$8^2))*$B$9*(1-$B$10))</f>
        <v>4345.30640769091</v>
      </c>
      <c r="R400" s="14" t="n">
        <f aca="false">$B$4-13*($B$5+$B$6)/30-IF($B$11&lt;=13,$B$12,0)+0</f>
        <v>8876.66666666667</v>
      </c>
      <c r="S400" s="14" t="n">
        <f aca="false">$B$4-27*($B$5+$B$6)/30-IF($B$11&lt;=27,$B$12,0)+L400</f>
        <v>10370.6877926416</v>
      </c>
      <c r="T400" s="14" t="n">
        <f aca="false">$B$4-41*($B$5+$B$6)/30-IF($B$11&lt;=41,$B$12,0)+L400+M400</f>
        <v>889.390511910866</v>
      </c>
      <c r="U400" s="14" t="n">
        <f aca="false">$B$4-55*($B$5+$B$6)/30-IF($B$11&lt;=55,$B$12,0)+L400+M400+N400</f>
        <v>2930.9032944981</v>
      </c>
      <c r="V400" s="14" t="n">
        <f aca="false">$B$4-69*($B$5+$B$6)/30-IF($B$11&lt;=69,$B$12,0)+L400+M400+N400+O400</f>
        <v>5067.75101887406</v>
      </c>
      <c r="W400" s="14" t="n">
        <f aca="false">$B$4-83*($B$5+$B$6)/30-IF($B$11&lt;=83,$B$12,0)+L400+M400+N400+O400+P400</f>
        <v>6085.37846361279</v>
      </c>
      <c r="X400" s="14" t="n">
        <f aca="false">$B$4-90*($B$5+$B$6)/30-IF($B$11&lt;=90,$B$12,0)+L400+M400+N400+O400+P400+Q400</f>
        <v>9287.35153797036</v>
      </c>
      <c r="AA400" s="14" t="n">
        <f aca="false">MIN(R400:X400)</f>
        <v>889.390511910866</v>
      </c>
    </row>
    <row r="401" customFormat="false" ht="15" hidden="false" customHeight="false" outlineLevel="0" collapsed="false">
      <c r="K401" s="2" t="n">
        <v>396</v>
      </c>
      <c r="L401" s="14" t="n">
        <f aca="true">$B$16+NORMINV(RAND(),0,SQRT($B$13*($B$7+$B$8^2))*$B$9*(1-$B$10))</f>
        <v>4188.86078250275</v>
      </c>
      <c r="M401" s="14" t="n">
        <f aca="true">$B$16+NORMINV(RAND(),0,SQRT($B$13*($B$7+$B$8^2))*$B$9*(1-$B$10))</f>
        <v>3865.49139200425</v>
      </c>
      <c r="N401" s="14" t="n">
        <f aca="true">$B$16+NORMINV(RAND(),0,SQRT($B$13*($B$7+$B$8^2))*$B$9*(1-$B$10))</f>
        <v>4276.48895971085</v>
      </c>
      <c r="O401" s="14" t="n">
        <f aca="true">$B$16+NORMINV(RAND(),0,SQRT($B$13*($B$7+$B$8^2))*$B$9*(1-$B$10))</f>
        <v>3749.04976129096</v>
      </c>
      <c r="P401" s="14" t="n">
        <f aca="true">$B$16+NORMINV(RAND(),0,SQRT($B$13*($B$7+$B$8^2))*$B$9*(1-$B$10))</f>
        <v>3855.45585174877</v>
      </c>
      <c r="Q401" s="14" t="n">
        <f aca="true">$B$16+NORMINV(RAND(),0,SQRT($B$13*($B$7+$B$8^2))*$B$9*(1-$B$10))</f>
        <v>4341.93460219323</v>
      </c>
      <c r="R401" s="14" t="n">
        <f aca="false">$B$4-13*($B$5+$B$6)/30-IF($B$11&lt;=13,$B$12,0)+0</f>
        <v>8876.66666666667</v>
      </c>
      <c r="S401" s="14" t="n">
        <f aca="false">$B$4-27*($B$5+$B$6)/30-IF($B$11&lt;=27,$B$12,0)+L401</f>
        <v>10778.8607825028</v>
      </c>
      <c r="T401" s="14" t="n">
        <f aca="false">$B$4-41*($B$5+$B$6)/30-IF($B$11&lt;=41,$B$12,0)+L401+M401</f>
        <v>1172.88550784033</v>
      </c>
      <c r="U401" s="14" t="n">
        <f aca="false">$B$4-55*($B$5+$B$6)/30-IF($B$11&lt;=55,$B$12,0)+L401+M401+N401</f>
        <v>3162.70780088452</v>
      </c>
      <c r="V401" s="14" t="n">
        <f aca="false">$B$4-69*($B$5+$B$6)/30-IF($B$11&lt;=69,$B$12,0)+L401+M401+N401+O401</f>
        <v>4625.09089550881</v>
      </c>
      <c r="W401" s="14" t="n">
        <f aca="false">$B$4-83*($B$5+$B$6)/30-IF($B$11&lt;=83,$B$12,0)+L401+M401+N401+O401+P401</f>
        <v>6193.88008059092</v>
      </c>
      <c r="X401" s="14" t="n">
        <f aca="false">$B$4-90*($B$5+$B$6)/30-IF($B$11&lt;=90,$B$12,0)+L401+M401+N401+O401+P401+Q401</f>
        <v>9392.48134945081</v>
      </c>
      <c r="AA401" s="14" t="n">
        <f aca="false">MIN(R401:X401)</f>
        <v>1172.88550784033</v>
      </c>
    </row>
    <row r="402" customFormat="false" ht="15" hidden="false" customHeight="false" outlineLevel="0" collapsed="false">
      <c r="K402" s="2" t="n">
        <v>397</v>
      </c>
      <c r="L402" s="14" t="n">
        <f aca="true">$B$16+NORMINV(RAND(),0,SQRT($B$13*($B$7+$B$8^2))*$B$9*(1-$B$10))</f>
        <v>3701.6882386596</v>
      </c>
      <c r="M402" s="14" t="n">
        <f aca="true">$B$16+NORMINV(RAND(),0,SQRT($B$13*($B$7+$B$8^2))*$B$9*(1-$B$10))</f>
        <v>4685.31848131895</v>
      </c>
      <c r="N402" s="14" t="n">
        <f aca="true">$B$16+NORMINV(RAND(),0,SQRT($B$13*($B$7+$B$8^2))*$B$9*(1-$B$10))</f>
        <v>3793.54173583467</v>
      </c>
      <c r="O402" s="14" t="n">
        <f aca="true">$B$16+NORMINV(RAND(),0,SQRT($B$13*($B$7+$B$8^2))*$B$9*(1-$B$10))</f>
        <v>4537.97330726538</v>
      </c>
      <c r="P402" s="14" t="n">
        <f aca="true">$B$16+NORMINV(RAND(),0,SQRT($B$13*($B$7+$B$8^2))*$B$9*(1-$B$10))</f>
        <v>3976.61454786367</v>
      </c>
      <c r="Q402" s="14" t="n">
        <f aca="true">$B$16+NORMINV(RAND(),0,SQRT($B$13*($B$7+$B$8^2))*$B$9*(1-$B$10))</f>
        <v>3964.62587193526</v>
      </c>
      <c r="R402" s="14" t="n">
        <f aca="false">$B$4-13*($B$5+$B$6)/30-IF($B$11&lt;=13,$B$12,0)+0</f>
        <v>8876.66666666667</v>
      </c>
      <c r="S402" s="14" t="n">
        <f aca="false">$B$4-27*($B$5+$B$6)/30-IF($B$11&lt;=27,$B$12,0)+L402</f>
        <v>10291.6882386596</v>
      </c>
      <c r="T402" s="14" t="n">
        <f aca="false">$B$4-41*($B$5+$B$6)/30-IF($B$11&lt;=41,$B$12,0)+L402+M402</f>
        <v>1505.54005331188</v>
      </c>
      <c r="U402" s="14" t="n">
        <f aca="false">$B$4-55*($B$5+$B$6)/30-IF($B$11&lt;=55,$B$12,0)+L402+M402+N402</f>
        <v>3012.41512247988</v>
      </c>
      <c r="V402" s="14" t="n">
        <f aca="false">$B$4-69*($B$5+$B$6)/30-IF($B$11&lt;=69,$B$12,0)+L402+M402+N402+O402</f>
        <v>5263.7217630786</v>
      </c>
      <c r="W402" s="14" t="n">
        <f aca="false">$B$4-83*($B$5+$B$6)/30-IF($B$11&lt;=83,$B$12,0)+L402+M402+N402+O402+P402</f>
        <v>6953.6696442756</v>
      </c>
      <c r="X402" s="14" t="n">
        <f aca="false">$B$4-90*($B$5+$B$6)/30-IF($B$11&lt;=90,$B$12,0)+L402+M402+N402+O402+P402+Q402</f>
        <v>9774.96218287752</v>
      </c>
      <c r="AA402" s="14" t="n">
        <f aca="false">MIN(R402:X402)</f>
        <v>1505.54005331188</v>
      </c>
    </row>
    <row r="403" customFormat="false" ht="15" hidden="false" customHeight="false" outlineLevel="0" collapsed="false">
      <c r="K403" s="2" t="n">
        <v>398</v>
      </c>
      <c r="L403" s="14" t="n">
        <f aca="true">$B$16+NORMINV(RAND(),0,SQRT($B$13*($B$7+$B$8^2))*$B$9*(1-$B$10))</f>
        <v>4239.55545058474</v>
      </c>
      <c r="M403" s="14" t="n">
        <f aca="true">$B$16+NORMINV(RAND(),0,SQRT($B$13*($B$7+$B$8^2))*$B$9*(1-$B$10))</f>
        <v>4106.96315426779</v>
      </c>
      <c r="N403" s="14" t="n">
        <f aca="true">$B$16+NORMINV(RAND(),0,SQRT($B$13*($B$7+$B$8^2))*$B$9*(1-$B$10))</f>
        <v>3909.13619999617</v>
      </c>
      <c r="O403" s="14" t="n">
        <f aca="true">$B$16+NORMINV(RAND(),0,SQRT($B$13*($B$7+$B$8^2))*$B$9*(1-$B$10))</f>
        <v>4086.08772210393</v>
      </c>
      <c r="P403" s="14" t="n">
        <f aca="true">$B$16+NORMINV(RAND(),0,SQRT($B$13*($B$7+$B$8^2))*$B$9*(1-$B$10))</f>
        <v>4270.59519958005</v>
      </c>
      <c r="Q403" s="14" t="n">
        <f aca="true">$B$16+NORMINV(RAND(),0,SQRT($B$13*($B$7+$B$8^2))*$B$9*(1-$B$10))</f>
        <v>3797.52468954125</v>
      </c>
      <c r="R403" s="14" t="n">
        <f aca="false">$B$4-13*($B$5+$B$6)/30-IF($B$11&lt;=13,$B$12,0)+0</f>
        <v>8876.66666666667</v>
      </c>
      <c r="S403" s="14" t="n">
        <f aca="false">$B$4-27*($B$5+$B$6)/30-IF($B$11&lt;=27,$B$12,0)+L403</f>
        <v>10829.5554505847</v>
      </c>
      <c r="T403" s="14" t="n">
        <f aca="false">$B$4-41*($B$5+$B$6)/30-IF($B$11&lt;=41,$B$12,0)+L403+M403</f>
        <v>1465.05193818586</v>
      </c>
      <c r="U403" s="14" t="n">
        <f aca="false">$B$4-55*($B$5+$B$6)/30-IF($B$11&lt;=55,$B$12,0)+L403+M403+N403</f>
        <v>3087.52147151537</v>
      </c>
      <c r="V403" s="14" t="n">
        <f aca="false">$B$4-69*($B$5+$B$6)/30-IF($B$11&lt;=69,$B$12,0)+L403+M403+N403+O403</f>
        <v>4886.94252695264</v>
      </c>
      <c r="W403" s="14" t="n">
        <f aca="false">$B$4-83*($B$5+$B$6)/30-IF($B$11&lt;=83,$B$12,0)+L403+M403+N403+O403+P403</f>
        <v>6870.87105986602</v>
      </c>
      <c r="X403" s="14" t="n">
        <f aca="false">$B$4-90*($B$5+$B$6)/30-IF($B$11&lt;=90,$B$12,0)+L403+M403+N403+O403+P403+Q403</f>
        <v>9525.06241607394</v>
      </c>
      <c r="AA403" s="14" t="n">
        <f aca="false">MIN(R403:X403)</f>
        <v>1465.05193818586</v>
      </c>
    </row>
    <row r="404" customFormat="false" ht="15" hidden="false" customHeight="false" outlineLevel="0" collapsed="false">
      <c r="K404" s="2" t="n">
        <v>399</v>
      </c>
      <c r="L404" s="14" t="n">
        <f aca="true">$B$16+NORMINV(RAND(),0,SQRT($B$13*($B$7+$B$8^2))*$B$9*(1-$B$10))</f>
        <v>4233.12614298021</v>
      </c>
      <c r="M404" s="14" t="n">
        <f aca="true">$B$16+NORMINV(RAND(),0,SQRT($B$13*($B$7+$B$8^2))*$B$9*(1-$B$10))</f>
        <v>3579.66176388335</v>
      </c>
      <c r="N404" s="14" t="n">
        <f aca="true">$B$16+NORMINV(RAND(),0,SQRT($B$13*($B$7+$B$8^2))*$B$9*(1-$B$10))</f>
        <v>4781.61364036335</v>
      </c>
      <c r="O404" s="14" t="n">
        <f aca="true">$B$16+NORMINV(RAND(),0,SQRT($B$13*($B$7+$B$8^2))*$B$9*(1-$B$10))</f>
        <v>3306.7438180941</v>
      </c>
      <c r="P404" s="14" t="n">
        <f aca="true">$B$16+NORMINV(RAND(),0,SQRT($B$13*($B$7+$B$8^2))*$B$9*(1-$B$10))</f>
        <v>4135.54508939982</v>
      </c>
      <c r="Q404" s="14" t="n">
        <f aca="true">$B$16+NORMINV(RAND(),0,SQRT($B$13*($B$7+$B$8^2))*$B$9*(1-$B$10))</f>
        <v>4513.15595211422</v>
      </c>
      <c r="R404" s="14" t="n">
        <f aca="false">$B$4-13*($B$5+$B$6)/30-IF($B$11&lt;=13,$B$12,0)+0</f>
        <v>8876.66666666667</v>
      </c>
      <c r="S404" s="14" t="n">
        <f aca="false">$B$4-27*($B$5+$B$6)/30-IF($B$11&lt;=27,$B$12,0)+L404</f>
        <v>10823.1261429802</v>
      </c>
      <c r="T404" s="14" t="n">
        <f aca="false">$B$4-41*($B$5+$B$6)/30-IF($B$11&lt;=41,$B$12,0)+L404+M404</f>
        <v>931.321240196896</v>
      </c>
      <c r="U404" s="14" t="n">
        <f aca="false">$B$4-55*($B$5+$B$6)/30-IF($B$11&lt;=55,$B$12,0)+L404+M404+N404</f>
        <v>3426.26821389358</v>
      </c>
      <c r="V404" s="14" t="n">
        <f aca="false">$B$4-69*($B$5+$B$6)/30-IF($B$11&lt;=69,$B$12,0)+L404+M404+N404+O404</f>
        <v>4446.34536532102</v>
      </c>
      <c r="W404" s="14" t="n">
        <f aca="false">$B$4-83*($B$5+$B$6)/30-IF($B$11&lt;=83,$B$12,0)+L404+M404+N404+O404+P404</f>
        <v>6295.22378805417</v>
      </c>
      <c r="X404" s="14" t="n">
        <f aca="false">$B$4-90*($B$5+$B$6)/30-IF($B$11&lt;=90,$B$12,0)+L404+M404+N404+O404+P404+Q404</f>
        <v>9665.04640683505</v>
      </c>
      <c r="AA404" s="14" t="n">
        <f aca="false">MIN(R404:X404)</f>
        <v>931.321240196896</v>
      </c>
    </row>
    <row r="405" customFormat="false" ht="15" hidden="false" customHeight="false" outlineLevel="0" collapsed="false">
      <c r="K405" s="2" t="n">
        <v>400</v>
      </c>
      <c r="L405" s="14" t="n">
        <f aca="true">$B$16+NORMINV(RAND(),0,SQRT($B$13*($B$7+$B$8^2))*$B$9*(1-$B$10))</f>
        <v>3998.17687130098</v>
      </c>
      <c r="M405" s="14" t="n">
        <f aca="true">$B$16+NORMINV(RAND(),0,SQRT($B$13*($B$7+$B$8^2))*$B$9*(1-$B$10))</f>
        <v>3500.42554697414</v>
      </c>
      <c r="N405" s="14" t="n">
        <f aca="true">$B$16+NORMINV(RAND(),0,SQRT($B$13*($B$7+$B$8^2))*$B$9*(1-$B$10))</f>
        <v>4272.20051003265</v>
      </c>
      <c r="O405" s="14" t="n">
        <f aca="true">$B$16+NORMINV(RAND(),0,SQRT($B$13*($B$7+$B$8^2))*$B$9*(1-$B$10))</f>
        <v>4377.51062758144</v>
      </c>
      <c r="P405" s="14" t="n">
        <f aca="true">$B$16+NORMINV(RAND(),0,SQRT($B$13*($B$7+$B$8^2))*$B$9*(1-$B$10))</f>
        <v>3950.30936188856</v>
      </c>
      <c r="Q405" s="14" t="n">
        <f aca="true">$B$16+NORMINV(RAND(),0,SQRT($B$13*($B$7+$B$8^2))*$B$9*(1-$B$10))</f>
        <v>3899.33381707684</v>
      </c>
      <c r="R405" s="14" t="n">
        <f aca="false">$B$4-13*($B$5+$B$6)/30-IF($B$11&lt;=13,$B$12,0)+0</f>
        <v>8876.66666666667</v>
      </c>
      <c r="S405" s="14" t="n">
        <f aca="false">$B$4-27*($B$5+$B$6)/30-IF($B$11&lt;=27,$B$12,0)+L405</f>
        <v>10588.176871301</v>
      </c>
      <c r="T405" s="14" t="n">
        <f aca="false">$B$4-41*($B$5+$B$6)/30-IF($B$11&lt;=41,$B$12,0)+L405+M405</f>
        <v>617.135751608453</v>
      </c>
      <c r="U405" s="14" t="n">
        <f aca="false">$B$4-55*($B$5+$B$6)/30-IF($B$11&lt;=55,$B$12,0)+L405+M405+N405</f>
        <v>2602.66959497444</v>
      </c>
      <c r="V405" s="14" t="n">
        <f aca="false">$B$4-69*($B$5+$B$6)/30-IF($B$11&lt;=69,$B$12,0)+L405+M405+N405+O405</f>
        <v>4693.51355588921</v>
      </c>
      <c r="W405" s="14" t="n">
        <f aca="false">$B$4-83*($B$5+$B$6)/30-IF($B$11&lt;=83,$B$12,0)+L405+M405+N405+O405+P405</f>
        <v>6357.15625111111</v>
      </c>
      <c r="X405" s="14" t="n">
        <f aca="false">$B$4-90*($B$5+$B$6)/30-IF($B$11&lt;=90,$B$12,0)+L405+M405+N405+O405+P405+Q405</f>
        <v>9113.15673485462</v>
      </c>
      <c r="AA405" s="14" t="n">
        <f aca="false">MIN(R405:X405)</f>
        <v>617.135751608453</v>
      </c>
    </row>
    <row r="406" customFormat="false" ht="15" hidden="false" customHeight="false" outlineLevel="0" collapsed="false">
      <c r="K406" s="2" t="n">
        <v>401</v>
      </c>
      <c r="L406" s="14" t="n">
        <f aca="true">$B$16+NORMINV(RAND(),0,SQRT($B$13*($B$7+$B$8^2))*$B$9*(1-$B$10))</f>
        <v>3765.70660127286</v>
      </c>
      <c r="M406" s="14" t="n">
        <f aca="true">$B$16+NORMINV(RAND(),0,SQRT($B$13*($B$7+$B$8^2))*$B$9*(1-$B$10))</f>
        <v>4096.8861176957</v>
      </c>
      <c r="N406" s="14" t="n">
        <f aca="true">$B$16+NORMINV(RAND(),0,SQRT($B$13*($B$7+$B$8^2))*$B$9*(1-$B$10))</f>
        <v>4515.34979703103</v>
      </c>
      <c r="O406" s="14" t="n">
        <f aca="true">$B$16+NORMINV(RAND(),0,SQRT($B$13*($B$7+$B$8^2))*$B$9*(1-$B$10))</f>
        <v>4331.39912265355</v>
      </c>
      <c r="P406" s="14" t="n">
        <f aca="true">$B$16+NORMINV(RAND(),0,SQRT($B$13*($B$7+$B$8^2))*$B$9*(1-$B$10))</f>
        <v>3805.25557194839</v>
      </c>
      <c r="Q406" s="14" t="n">
        <f aca="true">$B$16+NORMINV(RAND(),0,SQRT($B$13*($B$7+$B$8^2))*$B$9*(1-$B$10))</f>
        <v>4332.41024134284</v>
      </c>
      <c r="R406" s="14" t="n">
        <f aca="false">$B$4-13*($B$5+$B$6)/30-IF($B$11&lt;=13,$B$12,0)+0</f>
        <v>8876.66666666667</v>
      </c>
      <c r="S406" s="14" t="n">
        <f aca="false">$B$4-27*($B$5+$B$6)/30-IF($B$11&lt;=27,$B$12,0)+L406</f>
        <v>10355.7066012729</v>
      </c>
      <c r="T406" s="14" t="n">
        <f aca="false">$B$4-41*($B$5+$B$6)/30-IF($B$11&lt;=41,$B$12,0)+L406+M406</f>
        <v>981.126052301889</v>
      </c>
      <c r="U406" s="14" t="n">
        <f aca="false">$B$4-55*($B$5+$B$6)/30-IF($B$11&lt;=55,$B$12,0)+L406+M406+N406</f>
        <v>3209.80918266626</v>
      </c>
      <c r="V406" s="14" t="n">
        <f aca="false">$B$4-69*($B$5+$B$6)/30-IF($B$11&lt;=69,$B$12,0)+L406+M406+N406+O406</f>
        <v>5254.54163865314</v>
      </c>
      <c r="W406" s="14" t="n">
        <f aca="false">$B$4-83*($B$5+$B$6)/30-IF($B$11&lt;=83,$B$12,0)+L406+M406+N406+O406+P406</f>
        <v>6773.13054393487</v>
      </c>
      <c r="X406" s="14" t="n">
        <f aca="false">$B$4-90*($B$5+$B$6)/30-IF($B$11&lt;=90,$B$12,0)+L406+M406+N406+O406+P406+Q406</f>
        <v>9962.20745194437</v>
      </c>
      <c r="AA406" s="14" t="n">
        <f aca="false">MIN(R406:X406)</f>
        <v>981.126052301889</v>
      </c>
    </row>
    <row r="407" customFormat="false" ht="15" hidden="false" customHeight="false" outlineLevel="0" collapsed="false">
      <c r="K407" s="2" t="n">
        <v>402</v>
      </c>
      <c r="L407" s="14" t="n">
        <f aca="true">$B$16+NORMINV(RAND(),0,SQRT($B$13*($B$7+$B$8^2))*$B$9*(1-$B$10))</f>
        <v>4046.26327255477</v>
      </c>
      <c r="M407" s="14" t="n">
        <f aca="true">$B$16+NORMINV(RAND(),0,SQRT($B$13*($B$7+$B$8^2))*$B$9*(1-$B$10))</f>
        <v>4434.23558258011</v>
      </c>
      <c r="N407" s="14" t="n">
        <f aca="true">$B$16+NORMINV(RAND(),0,SQRT($B$13*($B$7+$B$8^2))*$B$9*(1-$B$10))</f>
        <v>3817.76167702893</v>
      </c>
      <c r="O407" s="14" t="n">
        <f aca="true">$B$16+NORMINV(RAND(),0,SQRT($B$13*($B$7+$B$8^2))*$B$9*(1-$B$10))</f>
        <v>4281.8097225655</v>
      </c>
      <c r="P407" s="14" t="n">
        <f aca="true">$B$16+NORMINV(RAND(),0,SQRT($B$13*($B$7+$B$8^2))*$B$9*(1-$B$10))</f>
        <v>3208.52405478803</v>
      </c>
      <c r="Q407" s="14" t="n">
        <f aca="true">$B$16+NORMINV(RAND(),0,SQRT($B$13*($B$7+$B$8^2))*$B$9*(1-$B$10))</f>
        <v>3880.47488906319</v>
      </c>
      <c r="R407" s="14" t="n">
        <f aca="false">$B$4-13*($B$5+$B$6)/30-IF($B$11&lt;=13,$B$12,0)+0</f>
        <v>8876.66666666667</v>
      </c>
      <c r="S407" s="14" t="n">
        <f aca="false">$B$4-27*($B$5+$B$6)/30-IF($B$11&lt;=27,$B$12,0)+L407</f>
        <v>10636.2632725548</v>
      </c>
      <c r="T407" s="14" t="n">
        <f aca="false">$B$4-41*($B$5+$B$6)/30-IF($B$11&lt;=41,$B$12,0)+L407+M407</f>
        <v>1599.03218846822</v>
      </c>
      <c r="U407" s="14" t="n">
        <f aca="false">$B$4-55*($B$5+$B$6)/30-IF($B$11&lt;=55,$B$12,0)+L407+M407+N407</f>
        <v>3130.12719883049</v>
      </c>
      <c r="V407" s="14" t="n">
        <f aca="false">$B$4-69*($B$5+$B$6)/30-IF($B$11&lt;=69,$B$12,0)+L407+M407+N407+O407</f>
        <v>5125.27025472932</v>
      </c>
      <c r="W407" s="14" t="n">
        <f aca="false">$B$4-83*($B$5+$B$6)/30-IF($B$11&lt;=83,$B$12,0)+L407+M407+N407+O407+P407</f>
        <v>6047.12764285068</v>
      </c>
      <c r="X407" s="14" t="n">
        <f aca="false">$B$4-90*($B$5+$B$6)/30-IF($B$11&lt;=90,$B$12,0)+L407+M407+N407+O407+P407+Q407</f>
        <v>8784.26919858054</v>
      </c>
      <c r="AA407" s="14" t="n">
        <f aca="false">MIN(R407:X407)</f>
        <v>1599.03218846822</v>
      </c>
    </row>
    <row r="408" customFormat="false" ht="15" hidden="false" customHeight="false" outlineLevel="0" collapsed="false">
      <c r="K408" s="2" t="n">
        <v>403</v>
      </c>
      <c r="L408" s="14" t="n">
        <f aca="true">$B$16+NORMINV(RAND(),0,SQRT($B$13*($B$7+$B$8^2))*$B$9*(1-$B$10))</f>
        <v>3321.73697958255</v>
      </c>
      <c r="M408" s="14" t="n">
        <f aca="true">$B$16+NORMINV(RAND(),0,SQRT($B$13*($B$7+$B$8^2))*$B$9*(1-$B$10))</f>
        <v>3658.73783179929</v>
      </c>
      <c r="N408" s="14" t="n">
        <f aca="true">$B$16+NORMINV(RAND(),0,SQRT($B$13*($B$7+$B$8^2))*$B$9*(1-$B$10))</f>
        <v>3835.34854869014</v>
      </c>
      <c r="O408" s="14" t="n">
        <f aca="true">$B$16+NORMINV(RAND(),0,SQRT($B$13*($B$7+$B$8^2))*$B$9*(1-$B$10))</f>
        <v>3975.97713189303</v>
      </c>
      <c r="P408" s="14" t="n">
        <f aca="true">$B$16+NORMINV(RAND(),0,SQRT($B$13*($B$7+$B$8^2))*$B$9*(1-$B$10))</f>
        <v>3833.43150061914</v>
      </c>
      <c r="Q408" s="14" t="n">
        <f aca="true">$B$16+NORMINV(RAND(),0,SQRT($B$13*($B$7+$B$8^2))*$B$9*(1-$B$10))</f>
        <v>4424.96047748086</v>
      </c>
      <c r="R408" s="14" t="n">
        <f aca="false">$B$4-13*($B$5+$B$6)/30-IF($B$11&lt;=13,$B$12,0)+0</f>
        <v>8876.66666666667</v>
      </c>
      <c r="S408" s="14" t="n">
        <f aca="false">$B$4-27*($B$5+$B$6)/30-IF($B$11&lt;=27,$B$12,0)+L408</f>
        <v>9911.73697958255</v>
      </c>
      <c r="T408" s="14" t="n">
        <f aca="false">$B$4-41*($B$5+$B$6)/30-IF($B$11&lt;=41,$B$12,0)+L408+M408</f>
        <v>99.0081447151742</v>
      </c>
      <c r="U408" s="14" t="n">
        <f aca="false">$B$4-55*($B$5+$B$6)/30-IF($B$11&lt;=55,$B$12,0)+L408+M408+N408</f>
        <v>1647.69002673865</v>
      </c>
      <c r="V408" s="14" t="n">
        <f aca="false">$B$4-69*($B$5+$B$6)/30-IF($B$11&lt;=69,$B$12,0)+L408+M408+N408+O408</f>
        <v>3337.00049196501</v>
      </c>
      <c r="W408" s="14" t="n">
        <f aca="false">$B$4-83*($B$5+$B$6)/30-IF($B$11&lt;=83,$B$12,0)+L408+M408+N408+O408+P408</f>
        <v>4883.76532591748</v>
      </c>
      <c r="X408" s="14" t="n">
        <f aca="false">$B$4-90*($B$5+$B$6)/30-IF($B$11&lt;=90,$B$12,0)+L408+M408+N408+O408+P408+Q408</f>
        <v>8165.39247006501</v>
      </c>
      <c r="AA408" s="14" t="n">
        <f aca="false">MIN(R408:X408)</f>
        <v>99.0081447151742</v>
      </c>
    </row>
    <row r="409" customFormat="false" ht="15" hidden="false" customHeight="false" outlineLevel="0" collapsed="false">
      <c r="K409" s="2" t="n">
        <v>404</v>
      </c>
      <c r="L409" s="14" t="n">
        <f aca="true">$B$16+NORMINV(RAND(),0,SQRT($B$13*($B$7+$B$8^2))*$B$9*(1-$B$10))</f>
        <v>4071.92844860621</v>
      </c>
      <c r="M409" s="14" t="n">
        <f aca="true">$B$16+NORMINV(RAND(),0,SQRT($B$13*($B$7+$B$8^2))*$B$9*(1-$B$10))</f>
        <v>3865.15731060235</v>
      </c>
      <c r="N409" s="14" t="n">
        <f aca="true">$B$16+NORMINV(RAND(),0,SQRT($B$13*($B$7+$B$8^2))*$B$9*(1-$B$10))</f>
        <v>4399.46211072835</v>
      </c>
      <c r="O409" s="14" t="n">
        <f aca="true">$B$16+NORMINV(RAND(),0,SQRT($B$13*($B$7+$B$8^2))*$B$9*(1-$B$10))</f>
        <v>3658.62582257525</v>
      </c>
      <c r="P409" s="14" t="n">
        <f aca="true">$B$16+NORMINV(RAND(),0,SQRT($B$13*($B$7+$B$8^2))*$B$9*(1-$B$10))</f>
        <v>4672.68439774539</v>
      </c>
      <c r="Q409" s="14" t="n">
        <f aca="true">$B$16+NORMINV(RAND(),0,SQRT($B$13*($B$7+$B$8^2))*$B$9*(1-$B$10))</f>
        <v>3760.15201771606</v>
      </c>
      <c r="R409" s="14" t="n">
        <f aca="false">$B$4-13*($B$5+$B$6)/30-IF($B$11&lt;=13,$B$12,0)+0</f>
        <v>8876.66666666667</v>
      </c>
      <c r="S409" s="14" t="n">
        <f aca="false">$B$4-27*($B$5+$B$6)/30-IF($B$11&lt;=27,$B$12,0)+L409</f>
        <v>10661.9284486062</v>
      </c>
      <c r="T409" s="14" t="n">
        <f aca="false">$B$4-41*($B$5+$B$6)/30-IF($B$11&lt;=41,$B$12,0)+L409+M409</f>
        <v>1055.61909254189</v>
      </c>
      <c r="U409" s="14" t="n">
        <f aca="false">$B$4-55*($B$5+$B$6)/30-IF($B$11&lt;=55,$B$12,0)+L409+M409+N409</f>
        <v>3168.41453660358</v>
      </c>
      <c r="V409" s="14" t="n">
        <f aca="false">$B$4-69*($B$5+$B$6)/30-IF($B$11&lt;=69,$B$12,0)+L409+M409+N409+O409</f>
        <v>4540.37369251216</v>
      </c>
      <c r="W409" s="14" t="n">
        <f aca="false">$B$4-83*($B$5+$B$6)/30-IF($B$11&lt;=83,$B$12,0)+L409+M409+N409+O409+P409</f>
        <v>6926.39142359089</v>
      </c>
      <c r="X409" s="14" t="n">
        <f aca="false">$B$4-90*($B$5+$B$6)/30-IF($B$11&lt;=90,$B$12,0)+L409+M409+N409+O409+P409+Q409</f>
        <v>9543.21010797361</v>
      </c>
      <c r="AA409" s="14" t="n">
        <f aca="false">MIN(R409:X409)</f>
        <v>1055.61909254189</v>
      </c>
    </row>
    <row r="410" customFormat="false" ht="15" hidden="false" customHeight="false" outlineLevel="0" collapsed="false">
      <c r="K410" s="2" t="n">
        <v>405</v>
      </c>
      <c r="L410" s="14" t="n">
        <f aca="true">$B$16+NORMINV(RAND(),0,SQRT($B$13*($B$7+$B$8^2))*$B$9*(1-$B$10))</f>
        <v>3773.65397865045</v>
      </c>
      <c r="M410" s="14" t="n">
        <f aca="true">$B$16+NORMINV(RAND(),0,SQRT($B$13*($B$7+$B$8^2))*$B$9*(1-$B$10))</f>
        <v>4131.88572450084</v>
      </c>
      <c r="N410" s="14" t="n">
        <f aca="true">$B$16+NORMINV(RAND(),0,SQRT($B$13*($B$7+$B$8^2))*$B$9*(1-$B$10))</f>
        <v>3801.04098338074</v>
      </c>
      <c r="O410" s="14" t="n">
        <f aca="true">$B$16+NORMINV(RAND(),0,SQRT($B$13*($B$7+$B$8^2))*$B$9*(1-$B$10))</f>
        <v>4152.17876893964</v>
      </c>
      <c r="P410" s="14" t="n">
        <f aca="true">$B$16+NORMINV(RAND(),0,SQRT($B$13*($B$7+$B$8^2))*$B$9*(1-$B$10))</f>
        <v>4261.93430629551</v>
      </c>
      <c r="Q410" s="14" t="n">
        <f aca="true">$B$16+NORMINV(RAND(),0,SQRT($B$13*($B$7+$B$8^2))*$B$9*(1-$B$10))</f>
        <v>4427.48884393123</v>
      </c>
      <c r="R410" s="14" t="n">
        <f aca="false">$B$4-13*($B$5+$B$6)/30-IF($B$11&lt;=13,$B$12,0)+0</f>
        <v>8876.66666666667</v>
      </c>
      <c r="S410" s="14" t="n">
        <f aca="false">$B$4-27*($B$5+$B$6)/30-IF($B$11&lt;=27,$B$12,0)+L410</f>
        <v>10363.6539786505</v>
      </c>
      <c r="T410" s="14" t="n">
        <f aca="false">$B$4-41*($B$5+$B$6)/30-IF($B$11&lt;=41,$B$12,0)+L410+M410</f>
        <v>1024.07303648462</v>
      </c>
      <c r="U410" s="14" t="n">
        <f aca="false">$B$4-55*($B$5+$B$6)/30-IF($B$11&lt;=55,$B$12,0)+L410+M410+N410</f>
        <v>2538.44735319869</v>
      </c>
      <c r="V410" s="14" t="n">
        <f aca="false">$B$4-69*($B$5+$B$6)/30-IF($B$11&lt;=69,$B$12,0)+L410+M410+N410+O410</f>
        <v>4403.95945547167</v>
      </c>
      <c r="W410" s="14" t="n">
        <f aca="false">$B$4-83*($B$5+$B$6)/30-IF($B$11&lt;=83,$B$12,0)+L410+M410+N410+O410+P410</f>
        <v>6379.22709510051</v>
      </c>
      <c r="X410" s="14" t="n">
        <f aca="false">$B$4-90*($B$5+$B$6)/30-IF($B$11&lt;=90,$B$12,0)+L410+M410+N410+O410+P410+Q410</f>
        <v>9663.38260569841</v>
      </c>
      <c r="AA410" s="14" t="n">
        <f aca="false">MIN(R410:X410)</f>
        <v>1024.07303648462</v>
      </c>
    </row>
    <row r="411" customFormat="false" ht="15" hidden="false" customHeight="false" outlineLevel="0" collapsed="false">
      <c r="K411" s="2" t="n">
        <v>406</v>
      </c>
      <c r="L411" s="14" t="n">
        <f aca="true">$B$16+NORMINV(RAND(),0,SQRT($B$13*($B$7+$B$8^2))*$B$9*(1-$B$10))</f>
        <v>4014.17217717691</v>
      </c>
      <c r="M411" s="14" t="n">
        <f aca="true">$B$16+NORMINV(RAND(),0,SQRT($B$13*($B$7+$B$8^2))*$B$9*(1-$B$10))</f>
        <v>4076.31677773672</v>
      </c>
      <c r="N411" s="14" t="n">
        <f aca="true">$B$16+NORMINV(RAND(),0,SQRT($B$13*($B$7+$B$8^2))*$B$9*(1-$B$10))</f>
        <v>3991.20723242571</v>
      </c>
      <c r="O411" s="14" t="n">
        <f aca="true">$B$16+NORMINV(RAND(),0,SQRT($B$13*($B$7+$B$8^2))*$B$9*(1-$B$10))</f>
        <v>4618.06517755785</v>
      </c>
      <c r="P411" s="14" t="n">
        <f aca="true">$B$16+NORMINV(RAND(),0,SQRT($B$13*($B$7+$B$8^2))*$B$9*(1-$B$10))</f>
        <v>3839.85056661065</v>
      </c>
      <c r="Q411" s="14" t="n">
        <f aca="true">$B$16+NORMINV(RAND(),0,SQRT($B$13*($B$7+$B$8^2))*$B$9*(1-$B$10))</f>
        <v>4729.99891896062</v>
      </c>
      <c r="R411" s="14" t="n">
        <f aca="false">$B$4-13*($B$5+$B$6)/30-IF($B$11&lt;=13,$B$12,0)+0</f>
        <v>8876.66666666667</v>
      </c>
      <c r="S411" s="14" t="n">
        <f aca="false">$B$4-27*($B$5+$B$6)/30-IF($B$11&lt;=27,$B$12,0)+L411</f>
        <v>10604.1721771769</v>
      </c>
      <c r="T411" s="14" t="n">
        <f aca="false">$B$4-41*($B$5+$B$6)/30-IF($B$11&lt;=41,$B$12,0)+L411+M411</f>
        <v>1209.02228824696</v>
      </c>
      <c r="U411" s="14" t="n">
        <f aca="false">$B$4-55*($B$5+$B$6)/30-IF($B$11&lt;=55,$B$12,0)+L411+M411+N411</f>
        <v>2913.562854006</v>
      </c>
      <c r="V411" s="14" t="n">
        <f aca="false">$B$4-69*($B$5+$B$6)/30-IF($B$11&lt;=69,$B$12,0)+L411+M411+N411+O411</f>
        <v>5244.96136489719</v>
      </c>
      <c r="W411" s="14" t="n">
        <f aca="false">$B$4-83*($B$5+$B$6)/30-IF($B$11&lt;=83,$B$12,0)+L411+M411+N411+O411+P411</f>
        <v>6798.14526484117</v>
      </c>
      <c r="X411" s="14" t="n">
        <f aca="false">$B$4-90*($B$5+$B$6)/30-IF($B$11&lt;=90,$B$12,0)+L411+M411+N411+O411+P411+Q411</f>
        <v>10384.8108504685</v>
      </c>
      <c r="AA411" s="14" t="n">
        <f aca="false">MIN(R411:X411)</f>
        <v>1209.02228824696</v>
      </c>
    </row>
    <row r="412" customFormat="false" ht="15" hidden="false" customHeight="false" outlineLevel="0" collapsed="false">
      <c r="K412" s="2" t="n">
        <v>407</v>
      </c>
      <c r="L412" s="14" t="n">
        <f aca="true">$B$16+NORMINV(RAND(),0,SQRT($B$13*($B$7+$B$8^2))*$B$9*(1-$B$10))</f>
        <v>4328.69582408247</v>
      </c>
      <c r="M412" s="14" t="n">
        <f aca="true">$B$16+NORMINV(RAND(),0,SQRT($B$13*($B$7+$B$8^2))*$B$9*(1-$B$10))</f>
        <v>4589.04314306142</v>
      </c>
      <c r="N412" s="14" t="n">
        <f aca="true">$B$16+NORMINV(RAND(),0,SQRT($B$13*($B$7+$B$8^2))*$B$9*(1-$B$10))</f>
        <v>3716.55706997508</v>
      </c>
      <c r="O412" s="14" t="n">
        <f aca="true">$B$16+NORMINV(RAND(),0,SQRT($B$13*($B$7+$B$8^2))*$B$9*(1-$B$10))</f>
        <v>3453.0815188779</v>
      </c>
      <c r="P412" s="14" t="n">
        <f aca="true">$B$16+NORMINV(RAND(),0,SQRT($B$13*($B$7+$B$8^2))*$B$9*(1-$B$10))</f>
        <v>4063.03877565047</v>
      </c>
      <c r="Q412" s="14" t="n">
        <f aca="true">$B$16+NORMINV(RAND(),0,SQRT($B$13*($B$7+$B$8^2))*$B$9*(1-$B$10))</f>
        <v>4594.63484479231</v>
      </c>
      <c r="R412" s="14" t="n">
        <f aca="false">$B$4-13*($B$5+$B$6)/30-IF($B$11&lt;=13,$B$12,0)+0</f>
        <v>8876.66666666667</v>
      </c>
      <c r="S412" s="14" t="n">
        <f aca="false">$B$4-27*($B$5+$B$6)/30-IF($B$11&lt;=27,$B$12,0)+L412</f>
        <v>10918.6958240825</v>
      </c>
      <c r="T412" s="14" t="n">
        <f aca="false">$B$4-41*($B$5+$B$6)/30-IF($B$11&lt;=41,$B$12,0)+L412+M412</f>
        <v>2036.27230047723</v>
      </c>
      <c r="U412" s="14" t="n">
        <f aca="false">$B$4-55*($B$5+$B$6)/30-IF($B$11&lt;=55,$B$12,0)+L412+M412+N412</f>
        <v>3466.16270378564</v>
      </c>
      <c r="V412" s="14" t="n">
        <f aca="false">$B$4-69*($B$5+$B$6)/30-IF($B$11&lt;=69,$B$12,0)+L412+M412+N412+O412</f>
        <v>4632.57755599688</v>
      </c>
      <c r="W412" s="14" t="n">
        <f aca="false">$B$4-83*($B$5+$B$6)/30-IF($B$11&lt;=83,$B$12,0)+L412+M412+N412+O412+P412</f>
        <v>6408.94966498068</v>
      </c>
      <c r="X412" s="14" t="n">
        <f aca="false">$B$4-90*($B$5+$B$6)/30-IF($B$11&lt;=90,$B$12,0)+L412+M412+N412+O412+P412+Q412</f>
        <v>9860.25117643966</v>
      </c>
      <c r="AA412" s="14" t="n">
        <f aca="false">MIN(R412:X412)</f>
        <v>2036.27230047723</v>
      </c>
    </row>
    <row r="413" customFormat="false" ht="15" hidden="false" customHeight="false" outlineLevel="0" collapsed="false">
      <c r="K413" s="2" t="n">
        <v>408</v>
      </c>
      <c r="L413" s="14" t="n">
        <f aca="true">$B$16+NORMINV(RAND(),0,SQRT($B$13*($B$7+$B$8^2))*$B$9*(1-$B$10))</f>
        <v>4331.61774230979</v>
      </c>
      <c r="M413" s="14" t="n">
        <f aca="true">$B$16+NORMINV(RAND(),0,SQRT($B$13*($B$7+$B$8^2))*$B$9*(1-$B$10))</f>
        <v>4554.20772105469</v>
      </c>
      <c r="N413" s="14" t="n">
        <f aca="true">$B$16+NORMINV(RAND(),0,SQRT($B$13*($B$7+$B$8^2))*$B$9*(1-$B$10))</f>
        <v>3732.14125542865</v>
      </c>
      <c r="O413" s="14" t="n">
        <f aca="true">$B$16+NORMINV(RAND(),0,SQRT($B$13*($B$7+$B$8^2))*$B$9*(1-$B$10))</f>
        <v>4367.93800390511</v>
      </c>
      <c r="P413" s="14" t="n">
        <f aca="true">$B$16+NORMINV(RAND(),0,SQRT($B$13*($B$7+$B$8^2))*$B$9*(1-$B$10))</f>
        <v>3820.08420039933</v>
      </c>
      <c r="Q413" s="14" t="n">
        <f aca="true">$B$16+NORMINV(RAND(),0,SQRT($B$13*($B$7+$B$8^2))*$B$9*(1-$B$10))</f>
        <v>3186.78691192578</v>
      </c>
      <c r="R413" s="14" t="n">
        <f aca="false">$B$4-13*($B$5+$B$6)/30-IF($B$11&lt;=13,$B$12,0)+0</f>
        <v>8876.66666666667</v>
      </c>
      <c r="S413" s="14" t="n">
        <f aca="false">$B$4-27*($B$5+$B$6)/30-IF($B$11&lt;=27,$B$12,0)+L413</f>
        <v>10921.6177423098</v>
      </c>
      <c r="T413" s="14" t="n">
        <f aca="false">$B$4-41*($B$5+$B$6)/30-IF($B$11&lt;=41,$B$12,0)+L413+M413</f>
        <v>2004.35879669781</v>
      </c>
      <c r="U413" s="14" t="n">
        <f aca="false">$B$4-55*($B$5+$B$6)/30-IF($B$11&lt;=55,$B$12,0)+L413+M413+N413</f>
        <v>3449.8333854598</v>
      </c>
      <c r="V413" s="14" t="n">
        <f aca="false">$B$4-69*($B$5+$B$6)/30-IF($B$11&lt;=69,$B$12,0)+L413+M413+N413+O413</f>
        <v>5531.10472269824</v>
      </c>
      <c r="W413" s="14" t="n">
        <f aca="false">$B$4-83*($B$5+$B$6)/30-IF($B$11&lt;=83,$B$12,0)+L413+M413+N413+O413+P413</f>
        <v>7064.52225643091</v>
      </c>
      <c r="X413" s="14" t="n">
        <f aca="false">$B$4-90*($B$5+$B$6)/30-IF($B$11&lt;=90,$B$12,0)+L413+M413+N413+O413+P413+Q413</f>
        <v>9107.97583502335</v>
      </c>
      <c r="AA413" s="14" t="n">
        <f aca="false">MIN(R413:X413)</f>
        <v>2004.35879669781</v>
      </c>
    </row>
    <row r="414" customFormat="false" ht="15" hidden="false" customHeight="false" outlineLevel="0" collapsed="false">
      <c r="K414" s="2" t="n">
        <v>409</v>
      </c>
      <c r="L414" s="14" t="n">
        <f aca="true">$B$16+NORMINV(RAND(),0,SQRT($B$13*($B$7+$B$8^2))*$B$9*(1-$B$10))</f>
        <v>4453.21774273276</v>
      </c>
      <c r="M414" s="14" t="n">
        <f aca="true">$B$16+NORMINV(RAND(),0,SQRT($B$13*($B$7+$B$8^2))*$B$9*(1-$B$10))</f>
        <v>4379.53870129768</v>
      </c>
      <c r="N414" s="14" t="n">
        <f aca="true">$B$16+NORMINV(RAND(),0,SQRT($B$13*($B$7+$B$8^2))*$B$9*(1-$B$10))</f>
        <v>3584.03931507979</v>
      </c>
      <c r="O414" s="14" t="n">
        <f aca="true">$B$16+NORMINV(RAND(),0,SQRT($B$13*($B$7+$B$8^2))*$B$9*(1-$B$10))</f>
        <v>4083.95111430772</v>
      </c>
      <c r="P414" s="14" t="n">
        <f aca="true">$B$16+NORMINV(RAND(),0,SQRT($B$13*($B$7+$B$8^2))*$B$9*(1-$B$10))</f>
        <v>4005.56320380988</v>
      </c>
      <c r="Q414" s="14" t="n">
        <f aca="true">$B$16+NORMINV(RAND(),0,SQRT($B$13*($B$7+$B$8^2))*$B$9*(1-$B$10))</f>
        <v>4093.37892208887</v>
      </c>
      <c r="R414" s="14" t="n">
        <f aca="false">$B$4-13*($B$5+$B$6)/30-IF($B$11&lt;=13,$B$12,0)+0</f>
        <v>8876.66666666667</v>
      </c>
      <c r="S414" s="14" t="n">
        <f aca="false">$B$4-27*($B$5+$B$6)/30-IF($B$11&lt;=27,$B$12,0)+L414</f>
        <v>11043.2177427328</v>
      </c>
      <c r="T414" s="14" t="n">
        <f aca="false">$B$4-41*($B$5+$B$6)/30-IF($B$11&lt;=41,$B$12,0)+L414+M414</f>
        <v>1951.28977736377</v>
      </c>
      <c r="U414" s="14" t="n">
        <f aca="false">$B$4-55*($B$5+$B$6)/30-IF($B$11&lt;=55,$B$12,0)+L414+M414+N414</f>
        <v>3248.66242577689</v>
      </c>
      <c r="V414" s="14" t="n">
        <f aca="false">$B$4-69*($B$5+$B$6)/30-IF($B$11&lt;=69,$B$12,0)+L414+M414+N414+O414</f>
        <v>5045.94687341794</v>
      </c>
      <c r="W414" s="14" t="n">
        <f aca="false">$B$4-83*($B$5+$B$6)/30-IF($B$11&lt;=83,$B$12,0)+L414+M414+N414+O414+P414</f>
        <v>6764.84341056116</v>
      </c>
      <c r="X414" s="14" t="n">
        <f aca="false">$B$4-90*($B$5+$B$6)/30-IF($B$11&lt;=90,$B$12,0)+L414+M414+N414+O414+P414+Q414</f>
        <v>9714.88899931669</v>
      </c>
      <c r="AA414" s="14" t="n">
        <f aca="false">MIN(R414:X414)</f>
        <v>1951.28977736377</v>
      </c>
    </row>
    <row r="415" customFormat="false" ht="15" hidden="false" customHeight="false" outlineLevel="0" collapsed="false">
      <c r="K415" s="2" t="n">
        <v>410</v>
      </c>
      <c r="L415" s="14" t="n">
        <f aca="true">$B$16+NORMINV(RAND(),0,SQRT($B$13*($B$7+$B$8^2))*$B$9*(1-$B$10))</f>
        <v>3663.85304772108</v>
      </c>
      <c r="M415" s="14" t="n">
        <f aca="true">$B$16+NORMINV(RAND(),0,SQRT($B$13*($B$7+$B$8^2))*$B$9*(1-$B$10))</f>
        <v>3999.16638369678</v>
      </c>
      <c r="N415" s="14" t="n">
        <f aca="true">$B$16+NORMINV(RAND(),0,SQRT($B$13*($B$7+$B$8^2))*$B$9*(1-$B$10))</f>
        <v>4801.79271036645</v>
      </c>
      <c r="O415" s="14" t="n">
        <f aca="true">$B$16+NORMINV(RAND(),0,SQRT($B$13*($B$7+$B$8^2))*$B$9*(1-$B$10))</f>
        <v>4139.77521928383</v>
      </c>
      <c r="P415" s="14" t="n">
        <f aca="true">$B$16+NORMINV(RAND(),0,SQRT($B$13*($B$7+$B$8^2))*$B$9*(1-$B$10))</f>
        <v>3899.55954801183</v>
      </c>
      <c r="Q415" s="14" t="n">
        <f aca="true">$B$16+NORMINV(RAND(),0,SQRT($B$13*($B$7+$B$8^2))*$B$9*(1-$B$10))</f>
        <v>4085.63662585066</v>
      </c>
      <c r="R415" s="14" t="n">
        <f aca="false">$B$4-13*($B$5+$B$6)/30-IF($B$11&lt;=13,$B$12,0)+0</f>
        <v>8876.66666666667</v>
      </c>
      <c r="S415" s="14" t="n">
        <f aca="false">$B$4-27*($B$5+$B$6)/30-IF($B$11&lt;=27,$B$12,0)+L415</f>
        <v>10253.8530477211</v>
      </c>
      <c r="T415" s="14" t="n">
        <f aca="false">$B$4-41*($B$5+$B$6)/30-IF($B$11&lt;=41,$B$12,0)+L415+M415</f>
        <v>781.552764751192</v>
      </c>
      <c r="U415" s="14" t="n">
        <f aca="false">$B$4-55*($B$5+$B$6)/30-IF($B$11&lt;=55,$B$12,0)+L415+M415+N415</f>
        <v>3296.67880845097</v>
      </c>
      <c r="V415" s="14" t="n">
        <f aca="false">$B$4-69*($B$5+$B$6)/30-IF($B$11&lt;=69,$B$12,0)+L415+M415+N415+O415</f>
        <v>5149.78736106813</v>
      </c>
      <c r="W415" s="14" t="n">
        <f aca="false">$B$4-83*($B$5+$B$6)/30-IF($B$11&lt;=83,$B$12,0)+L415+M415+N415+O415+P415</f>
        <v>6762.6802424133</v>
      </c>
      <c r="X415" s="14" t="n">
        <f aca="false">$B$4-90*($B$5+$B$6)/30-IF($B$11&lt;=90,$B$12,0)+L415+M415+N415+O415+P415+Q415</f>
        <v>9704.98353493062</v>
      </c>
      <c r="AA415" s="14" t="n">
        <f aca="false">MIN(R415:X415)</f>
        <v>781.552764751192</v>
      </c>
    </row>
    <row r="416" customFormat="false" ht="15" hidden="false" customHeight="false" outlineLevel="0" collapsed="false">
      <c r="K416" s="2" t="n">
        <v>411</v>
      </c>
      <c r="L416" s="14" t="n">
        <f aca="true">$B$16+NORMINV(RAND(),0,SQRT($B$13*($B$7+$B$8^2))*$B$9*(1-$B$10))</f>
        <v>4189.57782423989</v>
      </c>
      <c r="M416" s="14" t="n">
        <f aca="true">$B$16+NORMINV(RAND(),0,SQRT($B$13*($B$7+$B$8^2))*$B$9*(1-$B$10))</f>
        <v>3918.58006789169</v>
      </c>
      <c r="N416" s="14" t="n">
        <f aca="true">$B$16+NORMINV(RAND(),0,SQRT($B$13*($B$7+$B$8^2))*$B$9*(1-$B$10))</f>
        <v>4184.71492820571</v>
      </c>
      <c r="O416" s="14" t="n">
        <f aca="true">$B$16+NORMINV(RAND(),0,SQRT($B$13*($B$7+$B$8^2))*$B$9*(1-$B$10))</f>
        <v>4157.17974270271</v>
      </c>
      <c r="P416" s="14" t="n">
        <f aca="true">$B$16+NORMINV(RAND(),0,SQRT($B$13*($B$7+$B$8^2))*$B$9*(1-$B$10))</f>
        <v>4432.93522114443</v>
      </c>
      <c r="Q416" s="14" t="n">
        <f aca="true">$B$16+NORMINV(RAND(),0,SQRT($B$13*($B$7+$B$8^2))*$B$9*(1-$B$10))</f>
        <v>4031.50900593703</v>
      </c>
      <c r="R416" s="14" t="n">
        <f aca="false">$B$4-13*($B$5+$B$6)/30-IF($B$11&lt;=13,$B$12,0)+0</f>
        <v>8876.66666666667</v>
      </c>
      <c r="S416" s="14" t="n">
        <f aca="false">$B$4-27*($B$5+$B$6)/30-IF($B$11&lt;=27,$B$12,0)+L416</f>
        <v>10779.5778242399</v>
      </c>
      <c r="T416" s="14" t="n">
        <f aca="false">$B$4-41*($B$5+$B$6)/30-IF($B$11&lt;=41,$B$12,0)+L416+M416</f>
        <v>1226.6912254649</v>
      </c>
      <c r="U416" s="14" t="n">
        <f aca="false">$B$4-55*($B$5+$B$6)/30-IF($B$11&lt;=55,$B$12,0)+L416+M416+N416</f>
        <v>3124.73948700394</v>
      </c>
      <c r="V416" s="14" t="n">
        <f aca="false">$B$4-69*($B$5+$B$6)/30-IF($B$11&lt;=69,$B$12,0)+L416+M416+N416+O416</f>
        <v>4995.25256303999</v>
      </c>
      <c r="W416" s="14" t="n">
        <f aca="false">$B$4-83*($B$5+$B$6)/30-IF($B$11&lt;=83,$B$12,0)+L416+M416+N416+O416+P416</f>
        <v>7141.52111751776</v>
      </c>
      <c r="X416" s="14" t="n">
        <f aca="false">$B$4-90*($B$5+$B$6)/30-IF($B$11&lt;=90,$B$12,0)+L416+M416+N416+O416+P416+Q416</f>
        <v>10029.6967901215</v>
      </c>
      <c r="AA416" s="14" t="n">
        <f aca="false">MIN(R416:X416)</f>
        <v>1226.6912254649</v>
      </c>
    </row>
    <row r="417" customFormat="false" ht="15" hidden="false" customHeight="false" outlineLevel="0" collapsed="false">
      <c r="K417" s="2" t="n">
        <v>412</v>
      </c>
      <c r="L417" s="14" t="n">
        <f aca="true">$B$16+NORMINV(RAND(),0,SQRT($B$13*($B$7+$B$8^2))*$B$9*(1-$B$10))</f>
        <v>4204.05392779951</v>
      </c>
      <c r="M417" s="14" t="n">
        <f aca="true">$B$16+NORMINV(RAND(),0,SQRT($B$13*($B$7+$B$8^2))*$B$9*(1-$B$10))</f>
        <v>4578.41823912843</v>
      </c>
      <c r="N417" s="14" t="n">
        <f aca="true">$B$16+NORMINV(RAND(),0,SQRT($B$13*($B$7+$B$8^2))*$B$9*(1-$B$10))</f>
        <v>3899.87295172113</v>
      </c>
      <c r="O417" s="14" t="n">
        <f aca="true">$B$16+NORMINV(RAND(),0,SQRT($B$13*($B$7+$B$8^2))*$B$9*(1-$B$10))</f>
        <v>4256.40799939383</v>
      </c>
      <c r="P417" s="14" t="n">
        <f aca="true">$B$16+NORMINV(RAND(),0,SQRT($B$13*($B$7+$B$8^2))*$B$9*(1-$B$10))</f>
        <v>4341.4512766673</v>
      </c>
      <c r="Q417" s="14" t="n">
        <f aca="true">$B$16+NORMINV(RAND(),0,SQRT($B$13*($B$7+$B$8^2))*$B$9*(1-$B$10))</f>
        <v>3745.15559212471</v>
      </c>
      <c r="R417" s="14" t="n">
        <f aca="false">$B$4-13*($B$5+$B$6)/30-IF($B$11&lt;=13,$B$12,0)+0</f>
        <v>8876.66666666667</v>
      </c>
      <c r="S417" s="14" t="n">
        <f aca="false">$B$4-27*($B$5+$B$6)/30-IF($B$11&lt;=27,$B$12,0)+L417</f>
        <v>10794.0539277995</v>
      </c>
      <c r="T417" s="14" t="n">
        <f aca="false">$B$4-41*($B$5+$B$6)/30-IF($B$11&lt;=41,$B$12,0)+L417+M417</f>
        <v>1901.00550026127</v>
      </c>
      <c r="U417" s="14" t="n">
        <f aca="false">$B$4-55*($B$5+$B$6)/30-IF($B$11&lt;=55,$B$12,0)+L417+M417+N417</f>
        <v>3514.21178531573</v>
      </c>
      <c r="V417" s="14" t="n">
        <f aca="false">$B$4-69*($B$5+$B$6)/30-IF($B$11&lt;=69,$B$12,0)+L417+M417+N417+O417</f>
        <v>5483.9531180429</v>
      </c>
      <c r="W417" s="14" t="n">
        <f aca="false">$B$4-83*($B$5+$B$6)/30-IF($B$11&lt;=83,$B$12,0)+L417+M417+N417+O417+P417</f>
        <v>7538.73772804353</v>
      </c>
      <c r="X417" s="14" t="n">
        <f aca="false">$B$4-90*($B$5+$B$6)/30-IF($B$11&lt;=90,$B$12,0)+L417+M417+N417+O417+P417+Q417</f>
        <v>10140.5599868349</v>
      </c>
      <c r="AA417" s="14" t="n">
        <f aca="false">MIN(R417:X417)</f>
        <v>1901.00550026127</v>
      </c>
    </row>
    <row r="418" customFormat="false" ht="15" hidden="false" customHeight="false" outlineLevel="0" collapsed="false">
      <c r="K418" s="2" t="n">
        <v>413</v>
      </c>
      <c r="L418" s="14" t="n">
        <f aca="true">$B$16+NORMINV(RAND(),0,SQRT($B$13*($B$7+$B$8^2))*$B$9*(1-$B$10))</f>
        <v>4551.91163879501</v>
      </c>
      <c r="M418" s="14" t="n">
        <f aca="true">$B$16+NORMINV(RAND(),0,SQRT($B$13*($B$7+$B$8^2))*$B$9*(1-$B$10))</f>
        <v>3905.77905670546</v>
      </c>
      <c r="N418" s="14" t="n">
        <f aca="true">$B$16+NORMINV(RAND(),0,SQRT($B$13*($B$7+$B$8^2))*$B$9*(1-$B$10))</f>
        <v>3636.59386850577</v>
      </c>
      <c r="O418" s="14" t="n">
        <f aca="true">$B$16+NORMINV(RAND(),0,SQRT($B$13*($B$7+$B$8^2))*$B$9*(1-$B$10))</f>
        <v>4319.16907329147</v>
      </c>
      <c r="P418" s="14" t="n">
        <f aca="true">$B$16+NORMINV(RAND(),0,SQRT($B$13*($B$7+$B$8^2))*$B$9*(1-$B$10))</f>
        <v>4446.14107763561</v>
      </c>
      <c r="Q418" s="14" t="n">
        <f aca="true">$B$16+NORMINV(RAND(),0,SQRT($B$13*($B$7+$B$8^2))*$B$9*(1-$B$10))</f>
        <v>3618.70914828068</v>
      </c>
      <c r="R418" s="14" t="n">
        <f aca="false">$B$4-13*($B$5+$B$6)/30-IF($B$11&lt;=13,$B$12,0)+0</f>
        <v>8876.66666666667</v>
      </c>
      <c r="S418" s="14" t="n">
        <f aca="false">$B$4-27*($B$5+$B$6)/30-IF($B$11&lt;=27,$B$12,0)+L418</f>
        <v>11141.911638795</v>
      </c>
      <c r="T418" s="14" t="n">
        <f aca="false">$B$4-41*($B$5+$B$6)/30-IF($B$11&lt;=41,$B$12,0)+L418+M418</f>
        <v>1576.2240288338</v>
      </c>
      <c r="U418" s="14" t="n">
        <f aca="false">$B$4-55*($B$5+$B$6)/30-IF($B$11&lt;=55,$B$12,0)+L418+M418+N418</f>
        <v>2926.15123067291</v>
      </c>
      <c r="V418" s="14" t="n">
        <f aca="false">$B$4-69*($B$5+$B$6)/30-IF($B$11&lt;=69,$B$12,0)+L418+M418+N418+O418</f>
        <v>4958.65363729771</v>
      </c>
      <c r="W418" s="14" t="n">
        <f aca="false">$B$4-83*($B$5+$B$6)/30-IF($B$11&lt;=83,$B$12,0)+L418+M418+N418+O418+P418</f>
        <v>7118.12804826665</v>
      </c>
      <c r="X418" s="14" t="n">
        <f aca="false">$B$4-90*($B$5+$B$6)/30-IF($B$11&lt;=90,$B$12,0)+L418+M418+N418+O418+P418+Q418</f>
        <v>9593.503863214</v>
      </c>
      <c r="AA418" s="14" t="n">
        <f aca="false">MIN(R418:X418)</f>
        <v>1576.2240288338</v>
      </c>
    </row>
    <row r="419" customFormat="false" ht="15" hidden="false" customHeight="false" outlineLevel="0" collapsed="false">
      <c r="K419" s="2" t="n">
        <v>414</v>
      </c>
      <c r="L419" s="14" t="n">
        <f aca="true">$B$16+NORMINV(RAND(),0,SQRT($B$13*($B$7+$B$8^2))*$B$9*(1-$B$10))</f>
        <v>3332.63733457402</v>
      </c>
      <c r="M419" s="14" t="n">
        <f aca="true">$B$16+NORMINV(RAND(),0,SQRT($B$13*($B$7+$B$8^2))*$B$9*(1-$B$10))</f>
        <v>3455.4508271229</v>
      </c>
      <c r="N419" s="14" t="n">
        <f aca="true">$B$16+NORMINV(RAND(),0,SQRT($B$13*($B$7+$B$8^2))*$B$9*(1-$B$10))</f>
        <v>4830.75746114191</v>
      </c>
      <c r="O419" s="14" t="n">
        <f aca="true">$B$16+NORMINV(RAND(),0,SQRT($B$13*($B$7+$B$8^2))*$B$9*(1-$B$10))</f>
        <v>4472.47498152703</v>
      </c>
      <c r="P419" s="14" t="n">
        <f aca="true">$B$16+NORMINV(RAND(),0,SQRT($B$13*($B$7+$B$8^2))*$B$9*(1-$B$10))</f>
        <v>3705.49381403824</v>
      </c>
      <c r="Q419" s="14" t="n">
        <f aca="true">$B$16+NORMINV(RAND(),0,SQRT($B$13*($B$7+$B$8^2))*$B$9*(1-$B$10))</f>
        <v>4878.74099686097</v>
      </c>
      <c r="R419" s="14" t="n">
        <f aca="false">$B$4-13*($B$5+$B$6)/30-IF($B$11&lt;=13,$B$12,0)+0</f>
        <v>8876.66666666667</v>
      </c>
      <c r="S419" s="14" t="n">
        <f aca="false">$B$4-27*($B$5+$B$6)/30-IF($B$11&lt;=27,$B$12,0)+L419</f>
        <v>9922.63733457402</v>
      </c>
      <c r="T419" s="14" t="n">
        <f aca="false">$B$4-41*($B$5+$B$6)/30-IF($B$11&lt;=41,$B$12,0)+L419+M419</f>
        <v>-93.3785049697431</v>
      </c>
      <c r="U419" s="14" t="n">
        <f aca="false">$B$4-55*($B$5+$B$6)/30-IF($B$11&lt;=55,$B$12,0)+L419+M419+N419</f>
        <v>2450.7122895055</v>
      </c>
      <c r="V419" s="14" t="n">
        <f aca="false">$B$4-69*($B$5+$B$6)/30-IF($B$11&lt;=69,$B$12,0)+L419+M419+N419+O419</f>
        <v>4636.52060436586</v>
      </c>
      <c r="W419" s="14" t="n">
        <f aca="false">$B$4-83*($B$5+$B$6)/30-IF($B$11&lt;=83,$B$12,0)+L419+M419+N419+O419+P419</f>
        <v>6055.34775173744</v>
      </c>
      <c r="X419" s="14" t="n">
        <f aca="false">$B$4-90*($B$5+$B$6)/30-IF($B$11&lt;=90,$B$12,0)+L419+M419+N419+O419+P419+Q419</f>
        <v>9790.75541526507</v>
      </c>
      <c r="AA419" s="14" t="n">
        <f aca="false">MIN(R419:X419)</f>
        <v>-93.3785049697431</v>
      </c>
    </row>
    <row r="420" customFormat="false" ht="15" hidden="false" customHeight="false" outlineLevel="0" collapsed="false">
      <c r="K420" s="2" t="n">
        <v>415</v>
      </c>
      <c r="L420" s="14" t="n">
        <f aca="true">$B$16+NORMINV(RAND(),0,SQRT($B$13*($B$7+$B$8^2))*$B$9*(1-$B$10))</f>
        <v>3884.07575525615</v>
      </c>
      <c r="M420" s="14" t="n">
        <f aca="true">$B$16+NORMINV(RAND(),0,SQRT($B$13*($B$7+$B$8^2))*$B$9*(1-$B$10))</f>
        <v>4078.28726544309</v>
      </c>
      <c r="N420" s="14" t="n">
        <f aca="true">$B$16+NORMINV(RAND(),0,SQRT($B$13*($B$7+$B$8^2))*$B$9*(1-$B$10))</f>
        <v>3708.79544779802</v>
      </c>
      <c r="O420" s="14" t="n">
        <f aca="true">$B$16+NORMINV(RAND(),0,SQRT($B$13*($B$7+$B$8^2))*$B$9*(1-$B$10))</f>
        <v>3636.25098091144</v>
      </c>
      <c r="P420" s="14" t="n">
        <f aca="true">$B$16+NORMINV(RAND(),0,SQRT($B$13*($B$7+$B$8^2))*$B$9*(1-$B$10))</f>
        <v>3646.1726754446</v>
      </c>
      <c r="Q420" s="14" t="n">
        <f aca="true">$B$16+NORMINV(RAND(),0,SQRT($B$13*($B$7+$B$8^2))*$B$9*(1-$B$10))</f>
        <v>4152.70447716448</v>
      </c>
      <c r="R420" s="14" t="n">
        <f aca="false">$B$4-13*($B$5+$B$6)/30-IF($B$11&lt;=13,$B$12,0)+0</f>
        <v>8876.66666666667</v>
      </c>
      <c r="S420" s="14" t="n">
        <f aca="false">$B$4-27*($B$5+$B$6)/30-IF($B$11&lt;=27,$B$12,0)+L420</f>
        <v>10474.0757552562</v>
      </c>
      <c r="T420" s="14" t="n">
        <f aca="false">$B$4-41*($B$5+$B$6)/30-IF($B$11&lt;=41,$B$12,0)+L420+M420</f>
        <v>1080.89635403258</v>
      </c>
      <c r="U420" s="14" t="n">
        <f aca="false">$B$4-55*($B$5+$B$6)/30-IF($B$11&lt;=55,$B$12,0)+L420+M420+N420</f>
        <v>2503.02513516393</v>
      </c>
      <c r="V420" s="14" t="n">
        <f aca="false">$B$4-69*($B$5+$B$6)/30-IF($B$11&lt;=69,$B$12,0)+L420+M420+N420+O420</f>
        <v>3852.6094494087</v>
      </c>
      <c r="W420" s="14" t="n">
        <f aca="false">$B$4-83*($B$5+$B$6)/30-IF($B$11&lt;=83,$B$12,0)+L420+M420+N420+O420+P420</f>
        <v>5212.11545818664</v>
      </c>
      <c r="X420" s="14" t="n">
        <f aca="false">$B$4-90*($B$5+$B$6)/30-IF($B$11&lt;=90,$B$12,0)+L420+M420+N420+O420+P420+Q420</f>
        <v>8221.48660201778</v>
      </c>
      <c r="AA420" s="14" t="n">
        <f aca="false">MIN(R420:X420)</f>
        <v>1080.89635403258</v>
      </c>
    </row>
    <row r="421" customFormat="false" ht="15" hidden="false" customHeight="false" outlineLevel="0" collapsed="false">
      <c r="K421" s="2" t="n">
        <v>416</v>
      </c>
      <c r="L421" s="14" t="n">
        <f aca="true">$B$16+NORMINV(RAND(),0,SQRT($B$13*($B$7+$B$8^2))*$B$9*(1-$B$10))</f>
        <v>3966.37781007838</v>
      </c>
      <c r="M421" s="14" t="n">
        <f aca="true">$B$16+NORMINV(RAND(),0,SQRT($B$13*($B$7+$B$8^2))*$B$9*(1-$B$10))</f>
        <v>3371.31321059344</v>
      </c>
      <c r="N421" s="14" t="n">
        <f aca="true">$B$16+NORMINV(RAND(),0,SQRT($B$13*($B$7+$B$8^2))*$B$9*(1-$B$10))</f>
        <v>4264.6035633353</v>
      </c>
      <c r="O421" s="14" t="n">
        <f aca="true">$B$16+NORMINV(RAND(),0,SQRT($B$13*($B$7+$B$8^2))*$B$9*(1-$B$10))</f>
        <v>3986.03593864513</v>
      </c>
      <c r="P421" s="14" t="n">
        <f aca="true">$B$16+NORMINV(RAND(),0,SQRT($B$13*($B$7+$B$8^2))*$B$9*(1-$B$10))</f>
        <v>3500.02955777577</v>
      </c>
      <c r="Q421" s="14" t="n">
        <f aca="true">$B$16+NORMINV(RAND(),0,SQRT($B$13*($B$7+$B$8^2))*$B$9*(1-$B$10))</f>
        <v>4905.99421875802</v>
      </c>
      <c r="R421" s="14" t="n">
        <f aca="false">$B$4-13*($B$5+$B$6)/30-IF($B$11&lt;=13,$B$12,0)+0</f>
        <v>8876.66666666667</v>
      </c>
      <c r="S421" s="14" t="n">
        <f aca="false">$B$4-27*($B$5+$B$6)/30-IF($B$11&lt;=27,$B$12,0)+L421</f>
        <v>10556.3778100784</v>
      </c>
      <c r="T421" s="14" t="n">
        <f aca="false">$B$4-41*($B$5+$B$6)/30-IF($B$11&lt;=41,$B$12,0)+L421+M421</f>
        <v>456.224354005146</v>
      </c>
      <c r="U421" s="14" t="n">
        <f aca="false">$B$4-55*($B$5+$B$6)/30-IF($B$11&lt;=55,$B$12,0)+L421+M421+N421</f>
        <v>2434.16125067378</v>
      </c>
      <c r="V421" s="14" t="n">
        <f aca="false">$B$4-69*($B$5+$B$6)/30-IF($B$11&lt;=69,$B$12,0)+L421+M421+N421+O421</f>
        <v>4133.53052265225</v>
      </c>
      <c r="W421" s="14" t="n">
        <f aca="false">$B$4-83*($B$5+$B$6)/30-IF($B$11&lt;=83,$B$12,0)+L421+M421+N421+O421+P421</f>
        <v>5346.89341376135</v>
      </c>
      <c r="X421" s="14" t="n">
        <f aca="false">$B$4-90*($B$5+$B$6)/30-IF($B$11&lt;=90,$B$12,0)+L421+M421+N421+O421+P421+Q421</f>
        <v>9109.55429918604</v>
      </c>
      <c r="AA421" s="14" t="n">
        <f aca="false">MIN(R421:X421)</f>
        <v>456.224354005146</v>
      </c>
    </row>
    <row r="422" customFormat="false" ht="15" hidden="false" customHeight="false" outlineLevel="0" collapsed="false">
      <c r="K422" s="2" t="n">
        <v>417</v>
      </c>
      <c r="L422" s="14" t="n">
        <f aca="true">$B$16+NORMINV(RAND(),0,SQRT($B$13*($B$7+$B$8^2))*$B$9*(1-$B$10))</f>
        <v>4068.00695543344</v>
      </c>
      <c r="M422" s="14" t="n">
        <f aca="true">$B$16+NORMINV(RAND(),0,SQRT($B$13*($B$7+$B$8^2))*$B$9*(1-$B$10))</f>
        <v>4294.63113357578</v>
      </c>
      <c r="N422" s="14" t="n">
        <f aca="true">$B$16+NORMINV(RAND(),0,SQRT($B$13*($B$7+$B$8^2))*$B$9*(1-$B$10))</f>
        <v>3539.23326611032</v>
      </c>
      <c r="O422" s="14" t="n">
        <f aca="true">$B$16+NORMINV(RAND(),0,SQRT($B$13*($B$7+$B$8^2))*$B$9*(1-$B$10))</f>
        <v>4363.84271989496</v>
      </c>
      <c r="P422" s="14" t="n">
        <f aca="true">$B$16+NORMINV(RAND(),0,SQRT($B$13*($B$7+$B$8^2))*$B$9*(1-$B$10))</f>
        <v>4625.99423714513</v>
      </c>
      <c r="Q422" s="14" t="n">
        <f aca="true">$B$16+NORMINV(RAND(),0,SQRT($B$13*($B$7+$B$8^2))*$B$9*(1-$B$10))</f>
        <v>3764.00924402962</v>
      </c>
      <c r="R422" s="14" t="n">
        <f aca="false">$B$4-13*($B$5+$B$6)/30-IF($B$11&lt;=13,$B$12,0)+0</f>
        <v>8876.66666666667</v>
      </c>
      <c r="S422" s="14" t="n">
        <f aca="false">$B$4-27*($B$5+$B$6)/30-IF($B$11&lt;=27,$B$12,0)+L422</f>
        <v>10658.0069554334</v>
      </c>
      <c r="T422" s="14" t="n">
        <f aca="false">$B$4-41*($B$5+$B$6)/30-IF($B$11&lt;=41,$B$12,0)+L422+M422</f>
        <v>1481.17142234255</v>
      </c>
      <c r="U422" s="14" t="n">
        <f aca="false">$B$4-55*($B$5+$B$6)/30-IF($B$11&lt;=55,$B$12,0)+L422+M422+N422</f>
        <v>2733.7380217862</v>
      </c>
      <c r="V422" s="14" t="n">
        <f aca="false">$B$4-69*($B$5+$B$6)/30-IF($B$11&lt;=69,$B$12,0)+L422+M422+N422+O422</f>
        <v>4810.9140750145</v>
      </c>
      <c r="W422" s="14" t="n">
        <f aca="false">$B$4-83*($B$5+$B$6)/30-IF($B$11&lt;=83,$B$12,0)+L422+M422+N422+O422+P422</f>
        <v>7150.24164549296</v>
      </c>
      <c r="X422" s="14" t="n">
        <f aca="false">$B$4-90*($B$5+$B$6)/30-IF($B$11&lt;=90,$B$12,0)+L422+M422+N422+O422+P422+Q422</f>
        <v>9770.91755618925</v>
      </c>
      <c r="AA422" s="14" t="n">
        <f aca="false">MIN(R422:X422)</f>
        <v>1481.17142234255</v>
      </c>
    </row>
    <row r="423" customFormat="false" ht="15" hidden="false" customHeight="false" outlineLevel="0" collapsed="false">
      <c r="K423" s="2" t="n">
        <v>418</v>
      </c>
      <c r="L423" s="14" t="n">
        <f aca="true">$B$16+NORMINV(RAND(),0,SQRT($B$13*($B$7+$B$8^2))*$B$9*(1-$B$10))</f>
        <v>3907.72183227029</v>
      </c>
      <c r="M423" s="14" t="n">
        <f aca="true">$B$16+NORMINV(RAND(),0,SQRT($B$13*($B$7+$B$8^2))*$B$9*(1-$B$10))</f>
        <v>3714.64018351773</v>
      </c>
      <c r="N423" s="14" t="n">
        <f aca="true">$B$16+NORMINV(RAND(),0,SQRT($B$13*($B$7+$B$8^2))*$B$9*(1-$B$10))</f>
        <v>4300.1530865875</v>
      </c>
      <c r="O423" s="14" t="n">
        <f aca="true">$B$16+NORMINV(RAND(),0,SQRT($B$13*($B$7+$B$8^2))*$B$9*(1-$B$10))</f>
        <v>4126.89692524683</v>
      </c>
      <c r="P423" s="14" t="n">
        <f aca="true">$B$16+NORMINV(RAND(),0,SQRT($B$13*($B$7+$B$8^2))*$B$9*(1-$B$10))</f>
        <v>4050.24315713898</v>
      </c>
      <c r="Q423" s="14" t="n">
        <f aca="true">$B$16+NORMINV(RAND(),0,SQRT($B$13*($B$7+$B$8^2))*$B$9*(1-$B$10))</f>
        <v>3941.15036676712</v>
      </c>
      <c r="R423" s="14" t="n">
        <f aca="false">$B$4-13*($B$5+$B$6)/30-IF($B$11&lt;=13,$B$12,0)+0</f>
        <v>8876.66666666667</v>
      </c>
      <c r="S423" s="14" t="n">
        <f aca="false">$B$4-27*($B$5+$B$6)/30-IF($B$11&lt;=27,$B$12,0)+L423</f>
        <v>10497.7218322703</v>
      </c>
      <c r="T423" s="14" t="n">
        <f aca="false">$B$4-41*($B$5+$B$6)/30-IF($B$11&lt;=41,$B$12,0)+L423+M423</f>
        <v>740.895349121351</v>
      </c>
      <c r="U423" s="14" t="n">
        <f aca="false">$B$4-55*($B$5+$B$6)/30-IF($B$11&lt;=55,$B$12,0)+L423+M423+N423</f>
        <v>2754.38176904218</v>
      </c>
      <c r="V423" s="14" t="n">
        <f aca="false">$B$4-69*($B$5+$B$6)/30-IF($B$11&lt;=69,$B$12,0)+L423+M423+N423+O423</f>
        <v>4594.61202762234</v>
      </c>
      <c r="W423" s="14" t="n">
        <f aca="false">$B$4-83*($B$5+$B$6)/30-IF($B$11&lt;=83,$B$12,0)+L423+M423+N423+O423+P423</f>
        <v>6358.18851809466</v>
      </c>
      <c r="X423" s="14" t="n">
        <f aca="false">$B$4-90*($B$5+$B$6)/30-IF($B$11&lt;=90,$B$12,0)+L423+M423+N423+O423+P423+Q423</f>
        <v>9156.00555152844</v>
      </c>
      <c r="AA423" s="14" t="n">
        <f aca="false">MIN(R423:X423)</f>
        <v>740.895349121351</v>
      </c>
    </row>
    <row r="424" customFormat="false" ht="15" hidden="false" customHeight="false" outlineLevel="0" collapsed="false">
      <c r="K424" s="2" t="n">
        <v>419</v>
      </c>
      <c r="L424" s="14" t="n">
        <f aca="true">$B$16+NORMINV(RAND(),0,SQRT($B$13*($B$7+$B$8^2))*$B$9*(1-$B$10))</f>
        <v>4012.76010594847</v>
      </c>
      <c r="M424" s="14" t="n">
        <f aca="true">$B$16+NORMINV(RAND(),0,SQRT($B$13*($B$7+$B$8^2))*$B$9*(1-$B$10))</f>
        <v>3566.56095994592</v>
      </c>
      <c r="N424" s="14" t="n">
        <f aca="true">$B$16+NORMINV(RAND(),0,SQRT($B$13*($B$7+$B$8^2))*$B$9*(1-$B$10))</f>
        <v>4127.91510808884</v>
      </c>
      <c r="O424" s="14" t="n">
        <f aca="true">$B$16+NORMINV(RAND(),0,SQRT($B$13*($B$7+$B$8^2))*$B$9*(1-$B$10))</f>
        <v>3743.99207671318</v>
      </c>
      <c r="P424" s="14" t="n">
        <f aca="true">$B$16+NORMINV(RAND(),0,SQRT($B$13*($B$7+$B$8^2))*$B$9*(1-$B$10))</f>
        <v>4262.58289822879</v>
      </c>
      <c r="Q424" s="14" t="n">
        <f aca="true">$B$16+NORMINV(RAND(),0,SQRT($B$13*($B$7+$B$8^2))*$B$9*(1-$B$10))</f>
        <v>3961.23220513357</v>
      </c>
      <c r="R424" s="14" t="n">
        <f aca="false">$B$4-13*($B$5+$B$6)/30-IF($B$11&lt;=13,$B$12,0)+0</f>
        <v>8876.66666666667</v>
      </c>
      <c r="S424" s="14" t="n">
        <f aca="false">$B$4-27*($B$5+$B$6)/30-IF($B$11&lt;=27,$B$12,0)+L424</f>
        <v>10602.7601059485</v>
      </c>
      <c r="T424" s="14" t="n">
        <f aca="false">$B$4-41*($B$5+$B$6)/30-IF($B$11&lt;=41,$B$12,0)+L424+M424</f>
        <v>697.854399227726</v>
      </c>
      <c r="U424" s="14" t="n">
        <f aca="false">$B$4-55*($B$5+$B$6)/30-IF($B$11&lt;=55,$B$12,0)+L424+M424+N424</f>
        <v>2539.1028406499</v>
      </c>
      <c r="V424" s="14" t="n">
        <f aca="false">$B$4-69*($B$5+$B$6)/30-IF($B$11&lt;=69,$B$12,0)+L424+M424+N424+O424</f>
        <v>3996.42825069641</v>
      </c>
      <c r="W424" s="14" t="n">
        <f aca="false">$B$4-83*($B$5+$B$6)/30-IF($B$11&lt;=83,$B$12,0)+L424+M424+N424+O424+P424</f>
        <v>5972.34448225853</v>
      </c>
      <c r="X424" s="14" t="n">
        <f aca="false">$B$4-90*($B$5+$B$6)/30-IF($B$11&lt;=90,$B$12,0)+L424+M424+N424+O424+P424+Q424</f>
        <v>8790.24335405877</v>
      </c>
      <c r="AA424" s="14" t="n">
        <f aca="false">MIN(R424:X424)</f>
        <v>697.854399227726</v>
      </c>
    </row>
    <row r="425" customFormat="false" ht="15" hidden="false" customHeight="false" outlineLevel="0" collapsed="false">
      <c r="K425" s="2" t="n">
        <v>420</v>
      </c>
      <c r="L425" s="14" t="n">
        <f aca="true">$B$16+NORMINV(RAND(),0,SQRT($B$13*($B$7+$B$8^2))*$B$9*(1-$B$10))</f>
        <v>4377.2515990955</v>
      </c>
      <c r="M425" s="14" t="n">
        <f aca="true">$B$16+NORMINV(RAND(),0,SQRT($B$13*($B$7+$B$8^2))*$B$9*(1-$B$10))</f>
        <v>4111.99351624409</v>
      </c>
      <c r="N425" s="14" t="n">
        <f aca="true">$B$16+NORMINV(RAND(),0,SQRT($B$13*($B$7+$B$8^2))*$B$9*(1-$B$10))</f>
        <v>3478.39026131489</v>
      </c>
      <c r="O425" s="14" t="n">
        <f aca="true">$B$16+NORMINV(RAND(),0,SQRT($B$13*($B$7+$B$8^2))*$B$9*(1-$B$10))</f>
        <v>4117.7849276535</v>
      </c>
      <c r="P425" s="14" t="n">
        <f aca="true">$B$16+NORMINV(RAND(),0,SQRT($B$13*($B$7+$B$8^2))*$B$9*(1-$B$10))</f>
        <v>4130.70255204817</v>
      </c>
      <c r="Q425" s="14" t="n">
        <f aca="true">$B$16+NORMINV(RAND(),0,SQRT($B$13*($B$7+$B$8^2))*$B$9*(1-$B$10))</f>
        <v>3545.22462170824</v>
      </c>
      <c r="R425" s="14" t="n">
        <f aca="false">$B$4-13*($B$5+$B$6)/30-IF($B$11&lt;=13,$B$12,0)+0</f>
        <v>8876.66666666667</v>
      </c>
      <c r="S425" s="14" t="n">
        <f aca="false">$B$4-27*($B$5+$B$6)/30-IF($B$11&lt;=27,$B$12,0)+L425</f>
        <v>10967.2515990955</v>
      </c>
      <c r="T425" s="14" t="n">
        <f aca="false">$B$4-41*($B$5+$B$6)/30-IF($B$11&lt;=41,$B$12,0)+L425+M425</f>
        <v>1607.77844867293</v>
      </c>
      <c r="U425" s="14" t="n">
        <f aca="false">$B$4-55*($B$5+$B$6)/30-IF($B$11&lt;=55,$B$12,0)+L425+M425+N425</f>
        <v>2799.50204332115</v>
      </c>
      <c r="V425" s="14" t="n">
        <f aca="false">$B$4-69*($B$5+$B$6)/30-IF($B$11&lt;=69,$B$12,0)+L425+M425+N425+O425</f>
        <v>4630.62030430799</v>
      </c>
      <c r="W425" s="14" t="n">
        <f aca="false">$B$4-83*($B$5+$B$6)/30-IF($B$11&lt;=83,$B$12,0)+L425+M425+N425+O425+P425</f>
        <v>6474.6561896895</v>
      </c>
      <c r="X425" s="14" t="n">
        <f aca="false">$B$4-90*($B$5+$B$6)/30-IF($B$11&lt;=90,$B$12,0)+L425+M425+N425+O425+P425+Q425</f>
        <v>8876.54747806441</v>
      </c>
      <c r="AA425" s="14" t="n">
        <f aca="false">MIN(R425:X425)</f>
        <v>1607.77844867293</v>
      </c>
    </row>
    <row r="426" customFormat="false" ht="15" hidden="false" customHeight="false" outlineLevel="0" collapsed="false">
      <c r="K426" s="2" t="n">
        <v>421</v>
      </c>
      <c r="L426" s="14" t="n">
        <f aca="true">$B$16+NORMINV(RAND(),0,SQRT($B$13*($B$7+$B$8^2))*$B$9*(1-$B$10))</f>
        <v>4077.21458279967</v>
      </c>
      <c r="M426" s="14" t="n">
        <f aca="true">$B$16+NORMINV(RAND(),0,SQRT($B$13*($B$7+$B$8^2))*$B$9*(1-$B$10))</f>
        <v>4148.82194553115</v>
      </c>
      <c r="N426" s="14" t="n">
        <f aca="true">$B$16+NORMINV(RAND(),0,SQRT($B$13*($B$7+$B$8^2))*$B$9*(1-$B$10))</f>
        <v>4197.26711256479</v>
      </c>
      <c r="O426" s="14" t="n">
        <f aca="true">$B$16+NORMINV(RAND(),0,SQRT($B$13*($B$7+$B$8^2))*$B$9*(1-$B$10))</f>
        <v>4766.86786977319</v>
      </c>
      <c r="P426" s="14" t="n">
        <f aca="true">$B$16+NORMINV(RAND(),0,SQRT($B$13*($B$7+$B$8^2))*$B$9*(1-$B$10))</f>
        <v>3896.99375428654</v>
      </c>
      <c r="Q426" s="14" t="n">
        <f aca="true">$B$16+NORMINV(RAND(),0,SQRT($B$13*($B$7+$B$8^2))*$B$9*(1-$B$10))</f>
        <v>3942.17161303863</v>
      </c>
      <c r="R426" s="14" t="n">
        <f aca="false">$B$4-13*($B$5+$B$6)/30-IF($B$11&lt;=13,$B$12,0)+0</f>
        <v>8876.66666666667</v>
      </c>
      <c r="S426" s="14" t="n">
        <f aca="false">$B$4-27*($B$5+$B$6)/30-IF($B$11&lt;=27,$B$12,0)+L426</f>
        <v>10667.2145827997</v>
      </c>
      <c r="T426" s="14" t="n">
        <f aca="false">$B$4-41*($B$5+$B$6)/30-IF($B$11&lt;=41,$B$12,0)+L426+M426</f>
        <v>1344.56986166415</v>
      </c>
      <c r="U426" s="14" t="n">
        <f aca="false">$B$4-55*($B$5+$B$6)/30-IF($B$11&lt;=55,$B$12,0)+L426+M426+N426</f>
        <v>3255.17030756228</v>
      </c>
      <c r="V426" s="14" t="n">
        <f aca="false">$B$4-69*($B$5+$B$6)/30-IF($B$11&lt;=69,$B$12,0)+L426+M426+N426+O426</f>
        <v>5735.3715106688</v>
      </c>
      <c r="W426" s="14" t="n">
        <f aca="false">$B$4-83*($B$5+$B$6)/30-IF($B$11&lt;=83,$B$12,0)+L426+M426+N426+O426+P426</f>
        <v>7345.69859828868</v>
      </c>
      <c r="X426" s="14" t="n">
        <f aca="false">$B$4-90*($B$5+$B$6)/30-IF($B$11&lt;=90,$B$12,0)+L426+M426+N426+O426+P426+Q426</f>
        <v>10144.536877994</v>
      </c>
      <c r="AA426" s="14" t="n">
        <f aca="false">MIN(R426:X426)</f>
        <v>1344.56986166415</v>
      </c>
    </row>
    <row r="427" customFormat="false" ht="15" hidden="false" customHeight="false" outlineLevel="0" collapsed="false">
      <c r="K427" s="2" t="n">
        <v>422</v>
      </c>
      <c r="L427" s="14" t="n">
        <f aca="true">$B$16+NORMINV(RAND(),0,SQRT($B$13*($B$7+$B$8^2))*$B$9*(1-$B$10))</f>
        <v>4431.7148378563</v>
      </c>
      <c r="M427" s="14" t="n">
        <f aca="true">$B$16+NORMINV(RAND(),0,SQRT($B$13*($B$7+$B$8^2))*$B$9*(1-$B$10))</f>
        <v>3572.36417481866</v>
      </c>
      <c r="N427" s="14" t="n">
        <f aca="true">$B$16+NORMINV(RAND(),0,SQRT($B$13*($B$7+$B$8^2))*$B$9*(1-$B$10))</f>
        <v>4366.02505317128</v>
      </c>
      <c r="O427" s="14" t="n">
        <f aca="true">$B$16+NORMINV(RAND(),0,SQRT($B$13*($B$7+$B$8^2))*$B$9*(1-$B$10))</f>
        <v>3728.36646787904</v>
      </c>
      <c r="P427" s="14" t="n">
        <f aca="true">$B$16+NORMINV(RAND(),0,SQRT($B$13*($B$7+$B$8^2))*$B$9*(1-$B$10))</f>
        <v>3870.56691721309</v>
      </c>
      <c r="Q427" s="14" t="n">
        <f aca="true">$B$16+NORMINV(RAND(),0,SQRT($B$13*($B$7+$B$8^2))*$B$9*(1-$B$10))</f>
        <v>4389.95381199151</v>
      </c>
      <c r="R427" s="14" t="n">
        <f aca="false">$B$4-13*($B$5+$B$6)/30-IF($B$11&lt;=13,$B$12,0)+0</f>
        <v>8876.66666666667</v>
      </c>
      <c r="S427" s="14" t="n">
        <f aca="false">$B$4-27*($B$5+$B$6)/30-IF($B$11&lt;=27,$B$12,0)+L427</f>
        <v>11021.7148378563</v>
      </c>
      <c r="T427" s="14" t="n">
        <f aca="false">$B$4-41*($B$5+$B$6)/30-IF($B$11&lt;=41,$B$12,0)+L427+M427</f>
        <v>1122.61234600829</v>
      </c>
      <c r="U427" s="14" t="n">
        <f aca="false">$B$4-55*($B$5+$B$6)/30-IF($B$11&lt;=55,$B$12,0)+L427+M427+N427</f>
        <v>3201.9707325129</v>
      </c>
      <c r="V427" s="14" t="n">
        <f aca="false">$B$4-69*($B$5+$B$6)/30-IF($B$11&lt;=69,$B$12,0)+L427+M427+N427+O427</f>
        <v>4643.67053372528</v>
      </c>
      <c r="W427" s="14" t="n">
        <f aca="false">$B$4-83*($B$5+$B$6)/30-IF($B$11&lt;=83,$B$12,0)+L427+M427+N427+O427+P427</f>
        <v>6227.5707842717</v>
      </c>
      <c r="X427" s="14" t="n">
        <f aca="false">$B$4-90*($B$5+$B$6)/30-IF($B$11&lt;=90,$B$12,0)+L427+M427+N427+O427+P427+Q427</f>
        <v>9474.19126292987</v>
      </c>
      <c r="AA427" s="14" t="n">
        <f aca="false">MIN(R427:X427)</f>
        <v>1122.61234600829</v>
      </c>
    </row>
    <row r="428" customFormat="false" ht="15" hidden="false" customHeight="false" outlineLevel="0" collapsed="false">
      <c r="K428" s="2" t="n">
        <v>423</v>
      </c>
      <c r="L428" s="14" t="n">
        <f aca="true">$B$16+NORMINV(RAND(),0,SQRT($B$13*($B$7+$B$8^2))*$B$9*(1-$B$10))</f>
        <v>4035.48615163349</v>
      </c>
      <c r="M428" s="14" t="n">
        <f aca="true">$B$16+NORMINV(RAND(),0,SQRT($B$13*($B$7+$B$8^2))*$B$9*(1-$B$10))</f>
        <v>4374.07403165884</v>
      </c>
      <c r="N428" s="14" t="n">
        <f aca="true">$B$16+NORMINV(RAND(),0,SQRT($B$13*($B$7+$B$8^2))*$B$9*(1-$B$10))</f>
        <v>4276.88276520217</v>
      </c>
      <c r="O428" s="14" t="n">
        <f aca="true">$B$16+NORMINV(RAND(),0,SQRT($B$13*($B$7+$B$8^2))*$B$9*(1-$B$10))</f>
        <v>3978.35588243005</v>
      </c>
      <c r="P428" s="14" t="n">
        <f aca="true">$B$16+NORMINV(RAND(),0,SQRT($B$13*($B$7+$B$8^2))*$B$9*(1-$B$10))</f>
        <v>4091.72543408306</v>
      </c>
      <c r="Q428" s="14" t="n">
        <f aca="true">$B$16+NORMINV(RAND(),0,SQRT($B$13*($B$7+$B$8^2))*$B$9*(1-$B$10))</f>
        <v>4265.40392336741</v>
      </c>
      <c r="R428" s="14" t="n">
        <f aca="false">$B$4-13*($B$5+$B$6)/30-IF($B$11&lt;=13,$B$12,0)+0</f>
        <v>8876.66666666667</v>
      </c>
      <c r="S428" s="14" t="n">
        <f aca="false">$B$4-27*($B$5+$B$6)/30-IF($B$11&lt;=27,$B$12,0)+L428</f>
        <v>10625.4861516335</v>
      </c>
      <c r="T428" s="14" t="n">
        <f aca="false">$B$4-41*($B$5+$B$6)/30-IF($B$11&lt;=41,$B$12,0)+L428+M428</f>
        <v>1528.09351662567</v>
      </c>
      <c r="U428" s="14" t="n">
        <f aca="false">$B$4-55*($B$5+$B$6)/30-IF($B$11&lt;=55,$B$12,0)+L428+M428+N428</f>
        <v>3518.30961516117</v>
      </c>
      <c r="V428" s="14" t="n">
        <f aca="false">$B$4-69*($B$5+$B$6)/30-IF($B$11&lt;=69,$B$12,0)+L428+M428+N428+O428</f>
        <v>5209.99883092456</v>
      </c>
      <c r="W428" s="14" t="n">
        <f aca="false">$B$4-83*($B$5+$B$6)/30-IF($B$11&lt;=83,$B$12,0)+L428+M428+N428+O428+P428</f>
        <v>7015.05759834095</v>
      </c>
      <c r="X428" s="14" t="n">
        <f aca="false">$B$4-90*($B$5+$B$6)/30-IF($B$11&lt;=90,$B$12,0)+L428+M428+N428+O428+P428+Q428</f>
        <v>10137.128188375</v>
      </c>
      <c r="AA428" s="14" t="n">
        <f aca="false">MIN(R428:X428)</f>
        <v>1528.09351662567</v>
      </c>
    </row>
    <row r="429" customFormat="false" ht="15" hidden="false" customHeight="false" outlineLevel="0" collapsed="false">
      <c r="K429" s="2" t="n">
        <v>424</v>
      </c>
      <c r="L429" s="14" t="n">
        <f aca="true">$B$16+NORMINV(RAND(),0,SQRT($B$13*($B$7+$B$8^2))*$B$9*(1-$B$10))</f>
        <v>4492.22921957227</v>
      </c>
      <c r="M429" s="14" t="n">
        <f aca="true">$B$16+NORMINV(RAND(),0,SQRT($B$13*($B$7+$B$8^2))*$B$9*(1-$B$10))</f>
        <v>4250.83692693441</v>
      </c>
      <c r="N429" s="14" t="n">
        <f aca="true">$B$16+NORMINV(RAND(),0,SQRT($B$13*($B$7+$B$8^2))*$B$9*(1-$B$10))</f>
        <v>4080.68550933684</v>
      </c>
      <c r="O429" s="14" t="n">
        <f aca="true">$B$16+NORMINV(RAND(),0,SQRT($B$13*($B$7+$B$8^2))*$B$9*(1-$B$10))</f>
        <v>3877.7490415154</v>
      </c>
      <c r="P429" s="14" t="n">
        <f aca="true">$B$16+NORMINV(RAND(),0,SQRT($B$13*($B$7+$B$8^2))*$B$9*(1-$B$10))</f>
        <v>3709.931066355</v>
      </c>
      <c r="Q429" s="14" t="n">
        <f aca="true">$B$16+NORMINV(RAND(),0,SQRT($B$13*($B$7+$B$8^2))*$B$9*(1-$B$10))</f>
        <v>4287.88556243336</v>
      </c>
      <c r="R429" s="14" t="n">
        <f aca="false">$B$4-13*($B$5+$B$6)/30-IF($B$11&lt;=13,$B$12,0)+0</f>
        <v>8876.66666666667</v>
      </c>
      <c r="S429" s="14" t="n">
        <f aca="false">$B$4-27*($B$5+$B$6)/30-IF($B$11&lt;=27,$B$12,0)+L429</f>
        <v>11082.2292195723</v>
      </c>
      <c r="T429" s="14" t="n">
        <f aca="false">$B$4-41*($B$5+$B$6)/30-IF($B$11&lt;=41,$B$12,0)+L429+M429</f>
        <v>1861.59947984001</v>
      </c>
      <c r="U429" s="14" t="n">
        <f aca="false">$B$4-55*($B$5+$B$6)/30-IF($B$11&lt;=55,$B$12,0)+L429+M429+N429</f>
        <v>3655.61832251018</v>
      </c>
      <c r="V429" s="14" t="n">
        <f aca="false">$B$4-69*($B$5+$B$6)/30-IF($B$11&lt;=69,$B$12,0)+L429+M429+N429+O429</f>
        <v>5246.70069735892</v>
      </c>
      <c r="W429" s="14" t="n">
        <f aca="false">$B$4-83*($B$5+$B$6)/30-IF($B$11&lt;=83,$B$12,0)+L429+M429+N429+O429+P429</f>
        <v>6669.96509704725</v>
      </c>
      <c r="X429" s="14" t="n">
        <f aca="false">$B$4-90*($B$5+$B$6)/30-IF($B$11&lt;=90,$B$12,0)+L429+M429+N429+O429+P429+Q429</f>
        <v>9814.51732614727</v>
      </c>
      <c r="AA429" s="14" t="n">
        <f aca="false">MIN(R429:X429)</f>
        <v>1861.59947984001</v>
      </c>
    </row>
    <row r="430" customFormat="false" ht="15" hidden="false" customHeight="false" outlineLevel="0" collapsed="false">
      <c r="K430" s="2" t="n">
        <v>425</v>
      </c>
      <c r="L430" s="14" t="n">
        <f aca="true">$B$16+NORMINV(RAND(),0,SQRT($B$13*($B$7+$B$8^2))*$B$9*(1-$B$10))</f>
        <v>4249.18635798693</v>
      </c>
      <c r="M430" s="14" t="n">
        <f aca="true">$B$16+NORMINV(RAND(),0,SQRT($B$13*($B$7+$B$8^2))*$B$9*(1-$B$10))</f>
        <v>3918.51777860407</v>
      </c>
      <c r="N430" s="14" t="n">
        <f aca="true">$B$16+NORMINV(RAND(),0,SQRT($B$13*($B$7+$B$8^2))*$B$9*(1-$B$10))</f>
        <v>4528.44960274724</v>
      </c>
      <c r="O430" s="14" t="n">
        <f aca="true">$B$16+NORMINV(RAND(),0,SQRT($B$13*($B$7+$B$8^2))*$B$9*(1-$B$10))</f>
        <v>3851.88674427743</v>
      </c>
      <c r="P430" s="14" t="n">
        <f aca="true">$B$16+NORMINV(RAND(),0,SQRT($B$13*($B$7+$B$8^2))*$B$9*(1-$B$10))</f>
        <v>3410.36286688992</v>
      </c>
      <c r="Q430" s="14" t="n">
        <f aca="true">$B$16+NORMINV(RAND(),0,SQRT($B$13*($B$7+$B$8^2))*$B$9*(1-$B$10))</f>
        <v>4181.41377193229</v>
      </c>
      <c r="R430" s="14" t="n">
        <f aca="false">$B$4-13*($B$5+$B$6)/30-IF($B$11&lt;=13,$B$12,0)+0</f>
        <v>8876.66666666667</v>
      </c>
      <c r="S430" s="14" t="n">
        <f aca="false">$B$4-27*($B$5+$B$6)/30-IF($B$11&lt;=27,$B$12,0)+L430</f>
        <v>10839.1863579869</v>
      </c>
      <c r="T430" s="14" t="n">
        <f aca="false">$B$4-41*($B$5+$B$6)/30-IF($B$11&lt;=41,$B$12,0)+L430+M430</f>
        <v>1286.23746992433</v>
      </c>
      <c r="U430" s="14" t="n">
        <f aca="false">$B$4-55*($B$5+$B$6)/30-IF($B$11&lt;=55,$B$12,0)+L430+M430+N430</f>
        <v>3528.02040600491</v>
      </c>
      <c r="V430" s="14" t="n">
        <f aca="false">$B$4-69*($B$5+$B$6)/30-IF($B$11&lt;=69,$B$12,0)+L430+M430+N430+O430</f>
        <v>5093.24048361568</v>
      </c>
      <c r="W430" s="14" t="n">
        <f aca="false">$B$4-83*($B$5+$B$6)/30-IF($B$11&lt;=83,$B$12,0)+L430+M430+N430+O430+P430</f>
        <v>6216.93668383893</v>
      </c>
      <c r="X430" s="14" t="n">
        <f aca="false">$B$4-90*($B$5+$B$6)/30-IF($B$11&lt;=90,$B$12,0)+L430+M430+N430+O430+P430+Q430</f>
        <v>9255.01712243788</v>
      </c>
      <c r="AA430" s="14" t="n">
        <f aca="false">MIN(R430:X430)</f>
        <v>1286.23746992433</v>
      </c>
    </row>
    <row r="431" customFormat="false" ht="15" hidden="false" customHeight="false" outlineLevel="0" collapsed="false">
      <c r="K431" s="2" t="n">
        <v>426</v>
      </c>
      <c r="L431" s="14" t="n">
        <f aca="true">$B$16+NORMINV(RAND(),0,SQRT($B$13*($B$7+$B$8^2))*$B$9*(1-$B$10))</f>
        <v>3721.67441122397</v>
      </c>
      <c r="M431" s="14" t="n">
        <f aca="true">$B$16+NORMINV(RAND(),0,SQRT($B$13*($B$7+$B$8^2))*$B$9*(1-$B$10))</f>
        <v>4079.82998959307</v>
      </c>
      <c r="N431" s="14" t="n">
        <f aca="true">$B$16+NORMINV(RAND(),0,SQRT($B$13*($B$7+$B$8^2))*$B$9*(1-$B$10))</f>
        <v>4026.7394199997</v>
      </c>
      <c r="O431" s="14" t="n">
        <f aca="true">$B$16+NORMINV(RAND(),0,SQRT($B$13*($B$7+$B$8^2))*$B$9*(1-$B$10))</f>
        <v>4162.04460936504</v>
      </c>
      <c r="P431" s="14" t="n">
        <f aca="true">$B$16+NORMINV(RAND(),0,SQRT($B$13*($B$7+$B$8^2))*$B$9*(1-$B$10))</f>
        <v>4077.51773235907</v>
      </c>
      <c r="Q431" s="14" t="n">
        <f aca="true">$B$16+NORMINV(RAND(),0,SQRT($B$13*($B$7+$B$8^2))*$B$9*(1-$B$10))</f>
        <v>4101.40964490848</v>
      </c>
      <c r="R431" s="14" t="n">
        <f aca="false">$B$4-13*($B$5+$B$6)/30-IF($B$11&lt;=13,$B$12,0)+0</f>
        <v>8876.66666666667</v>
      </c>
      <c r="S431" s="14" t="n">
        <f aca="false">$B$4-27*($B$5+$B$6)/30-IF($B$11&lt;=27,$B$12,0)+L431</f>
        <v>10311.674411224</v>
      </c>
      <c r="T431" s="14" t="n">
        <f aca="false">$B$4-41*($B$5+$B$6)/30-IF($B$11&lt;=41,$B$12,0)+L431+M431</f>
        <v>920.037734150374</v>
      </c>
      <c r="U431" s="14" t="n">
        <f aca="false">$B$4-55*($B$5+$B$6)/30-IF($B$11&lt;=55,$B$12,0)+L431+M431+N431</f>
        <v>2660.11048748341</v>
      </c>
      <c r="V431" s="14" t="n">
        <f aca="false">$B$4-69*($B$5+$B$6)/30-IF($B$11&lt;=69,$B$12,0)+L431+M431+N431+O431</f>
        <v>4535.48843018178</v>
      </c>
      <c r="W431" s="14" t="n">
        <f aca="false">$B$4-83*($B$5+$B$6)/30-IF($B$11&lt;=83,$B$12,0)+L431+M431+N431+O431+P431</f>
        <v>6326.33949587418</v>
      </c>
      <c r="X431" s="14" t="n">
        <f aca="false">$B$4-90*($B$5+$B$6)/30-IF($B$11&lt;=90,$B$12,0)+L431+M431+N431+O431+P431+Q431</f>
        <v>9284.41580744932</v>
      </c>
      <c r="AA431" s="14" t="n">
        <f aca="false">MIN(R431:X431)</f>
        <v>920.037734150374</v>
      </c>
    </row>
    <row r="432" customFormat="false" ht="15" hidden="false" customHeight="false" outlineLevel="0" collapsed="false">
      <c r="K432" s="2" t="n">
        <v>427</v>
      </c>
      <c r="L432" s="14" t="n">
        <f aca="true">$B$16+NORMINV(RAND(),0,SQRT($B$13*($B$7+$B$8^2))*$B$9*(1-$B$10))</f>
        <v>4097.18686472271</v>
      </c>
      <c r="M432" s="14" t="n">
        <f aca="true">$B$16+NORMINV(RAND(),0,SQRT($B$13*($B$7+$B$8^2))*$B$9*(1-$B$10))</f>
        <v>4286.62250677183</v>
      </c>
      <c r="N432" s="14" t="n">
        <f aca="true">$B$16+NORMINV(RAND(),0,SQRT($B$13*($B$7+$B$8^2))*$B$9*(1-$B$10))</f>
        <v>4456.69317614779</v>
      </c>
      <c r="O432" s="14" t="n">
        <f aca="true">$B$16+NORMINV(RAND(),0,SQRT($B$13*($B$7+$B$8^2))*$B$9*(1-$B$10))</f>
        <v>4171.85988544831</v>
      </c>
      <c r="P432" s="14" t="n">
        <f aca="true">$B$16+NORMINV(RAND(),0,SQRT($B$13*($B$7+$B$8^2))*$B$9*(1-$B$10))</f>
        <v>4313.12799103077</v>
      </c>
      <c r="Q432" s="14" t="n">
        <f aca="true">$B$16+NORMINV(RAND(),0,SQRT($B$13*($B$7+$B$8^2))*$B$9*(1-$B$10))</f>
        <v>4357.9961049565</v>
      </c>
      <c r="R432" s="14" t="n">
        <f aca="false">$B$4-13*($B$5+$B$6)/30-IF($B$11&lt;=13,$B$12,0)+0</f>
        <v>8876.66666666667</v>
      </c>
      <c r="S432" s="14" t="n">
        <f aca="false">$B$4-27*($B$5+$B$6)/30-IF($B$11&lt;=27,$B$12,0)+L432</f>
        <v>10687.1868647227</v>
      </c>
      <c r="T432" s="14" t="n">
        <f aca="false">$B$4-41*($B$5+$B$6)/30-IF($B$11&lt;=41,$B$12,0)+L432+M432</f>
        <v>1502.34270482787</v>
      </c>
      <c r="U432" s="14" t="n">
        <f aca="false">$B$4-55*($B$5+$B$6)/30-IF($B$11&lt;=55,$B$12,0)+L432+M432+N432</f>
        <v>3672.36921430899</v>
      </c>
      <c r="V432" s="14" t="n">
        <f aca="false">$B$4-69*($B$5+$B$6)/30-IF($B$11&lt;=69,$B$12,0)+L432+M432+N432+O432</f>
        <v>5557.56243309063</v>
      </c>
      <c r="W432" s="14" t="n">
        <f aca="false">$B$4-83*($B$5+$B$6)/30-IF($B$11&lt;=83,$B$12,0)+L432+M432+N432+O432+P432</f>
        <v>7584.02375745474</v>
      </c>
      <c r="X432" s="14" t="n">
        <f aca="false">$B$4-90*($B$5+$B$6)/30-IF($B$11&lt;=90,$B$12,0)+L432+M432+N432+O432+P432+Q432</f>
        <v>10798.6865290779</v>
      </c>
      <c r="AA432" s="14" t="n">
        <f aca="false">MIN(R432:X432)</f>
        <v>1502.34270482787</v>
      </c>
    </row>
    <row r="433" customFormat="false" ht="15" hidden="false" customHeight="false" outlineLevel="0" collapsed="false">
      <c r="K433" s="2" t="n">
        <v>428</v>
      </c>
      <c r="L433" s="14" t="n">
        <f aca="true">$B$16+NORMINV(RAND(),0,SQRT($B$13*($B$7+$B$8^2))*$B$9*(1-$B$10))</f>
        <v>4580.51518976927</v>
      </c>
      <c r="M433" s="14" t="n">
        <f aca="true">$B$16+NORMINV(RAND(),0,SQRT($B$13*($B$7+$B$8^2))*$B$9*(1-$B$10))</f>
        <v>4556.78714414922</v>
      </c>
      <c r="N433" s="14" t="n">
        <f aca="true">$B$16+NORMINV(RAND(),0,SQRT($B$13*($B$7+$B$8^2))*$B$9*(1-$B$10))</f>
        <v>4381.79050024104</v>
      </c>
      <c r="O433" s="14" t="n">
        <f aca="true">$B$16+NORMINV(RAND(),0,SQRT($B$13*($B$7+$B$8^2))*$B$9*(1-$B$10))</f>
        <v>4387.65704052058</v>
      </c>
      <c r="P433" s="14" t="n">
        <f aca="true">$B$16+NORMINV(RAND(),0,SQRT($B$13*($B$7+$B$8^2))*$B$9*(1-$B$10))</f>
        <v>4239.26332231199</v>
      </c>
      <c r="Q433" s="14" t="n">
        <f aca="true">$B$16+NORMINV(RAND(),0,SQRT($B$13*($B$7+$B$8^2))*$B$9*(1-$B$10))</f>
        <v>4106.01518358522</v>
      </c>
      <c r="R433" s="14" t="n">
        <f aca="false">$B$4-13*($B$5+$B$6)/30-IF($B$11&lt;=13,$B$12,0)+0</f>
        <v>8876.66666666667</v>
      </c>
      <c r="S433" s="14" t="n">
        <f aca="false">$B$4-27*($B$5+$B$6)/30-IF($B$11&lt;=27,$B$12,0)+L433</f>
        <v>11170.5151897693</v>
      </c>
      <c r="T433" s="14" t="n">
        <f aca="false">$B$4-41*($B$5+$B$6)/30-IF($B$11&lt;=41,$B$12,0)+L433+M433</f>
        <v>2255.83566725182</v>
      </c>
      <c r="U433" s="14" t="n">
        <f aca="false">$B$4-55*($B$5+$B$6)/30-IF($B$11&lt;=55,$B$12,0)+L433+M433+N433</f>
        <v>4350.95950082619</v>
      </c>
      <c r="V433" s="14" t="n">
        <f aca="false">$B$4-69*($B$5+$B$6)/30-IF($B$11&lt;=69,$B$12,0)+L433+M433+N433+O433</f>
        <v>6451.9498746801</v>
      </c>
      <c r="W433" s="14" t="n">
        <f aca="false">$B$4-83*($B$5+$B$6)/30-IF($B$11&lt;=83,$B$12,0)+L433+M433+N433+O433+P433</f>
        <v>8404.54653032542</v>
      </c>
      <c r="X433" s="14" t="n">
        <f aca="false">$B$4-90*($B$5+$B$6)/30-IF($B$11&lt;=90,$B$12,0)+L433+M433+N433+O433+P433+Q433</f>
        <v>11367.2283805773</v>
      </c>
      <c r="AA433" s="14" t="n">
        <f aca="false">MIN(R433:X433)</f>
        <v>2255.83566725182</v>
      </c>
    </row>
    <row r="434" customFormat="false" ht="15" hidden="false" customHeight="false" outlineLevel="0" collapsed="false">
      <c r="K434" s="2" t="n">
        <v>429</v>
      </c>
      <c r="L434" s="14" t="n">
        <f aca="true">$B$16+NORMINV(RAND(),0,SQRT($B$13*($B$7+$B$8^2))*$B$9*(1-$B$10))</f>
        <v>4084.58718586298</v>
      </c>
      <c r="M434" s="14" t="n">
        <f aca="true">$B$16+NORMINV(RAND(),0,SQRT($B$13*($B$7+$B$8^2))*$B$9*(1-$B$10))</f>
        <v>4623.05077443858</v>
      </c>
      <c r="N434" s="14" t="n">
        <f aca="true">$B$16+NORMINV(RAND(),0,SQRT($B$13*($B$7+$B$8^2))*$B$9*(1-$B$10))</f>
        <v>4327.77423231587</v>
      </c>
      <c r="O434" s="14" t="n">
        <f aca="true">$B$16+NORMINV(RAND(),0,SQRT($B$13*($B$7+$B$8^2))*$B$9*(1-$B$10))</f>
        <v>5035.04764464428</v>
      </c>
      <c r="P434" s="14" t="n">
        <f aca="true">$B$16+NORMINV(RAND(),0,SQRT($B$13*($B$7+$B$8^2))*$B$9*(1-$B$10))</f>
        <v>3845.51517485189</v>
      </c>
      <c r="Q434" s="14" t="n">
        <f aca="true">$B$16+NORMINV(RAND(),0,SQRT($B$13*($B$7+$B$8^2))*$B$9*(1-$B$10))</f>
        <v>4070.68094521408</v>
      </c>
      <c r="R434" s="14" t="n">
        <f aca="false">$B$4-13*($B$5+$B$6)/30-IF($B$11&lt;=13,$B$12,0)+0</f>
        <v>8876.66666666667</v>
      </c>
      <c r="S434" s="14" t="n">
        <f aca="false">$B$4-27*($B$5+$B$6)/30-IF($B$11&lt;=27,$B$12,0)+L434</f>
        <v>10674.587185863</v>
      </c>
      <c r="T434" s="14" t="n">
        <f aca="false">$B$4-41*($B$5+$B$6)/30-IF($B$11&lt;=41,$B$12,0)+L434+M434</f>
        <v>1826.17129363489</v>
      </c>
      <c r="U434" s="14" t="n">
        <f aca="false">$B$4-55*($B$5+$B$6)/30-IF($B$11&lt;=55,$B$12,0)+L434+M434+N434</f>
        <v>3867.27885928409</v>
      </c>
      <c r="V434" s="14" t="n">
        <f aca="false">$B$4-69*($B$5+$B$6)/30-IF($B$11&lt;=69,$B$12,0)+L434+M434+N434+O434</f>
        <v>6615.65983726171</v>
      </c>
      <c r="W434" s="14" t="n">
        <f aca="false">$B$4-83*($B$5+$B$6)/30-IF($B$11&lt;=83,$B$12,0)+L434+M434+N434+O434+P434</f>
        <v>8174.50834544693</v>
      </c>
      <c r="X434" s="14" t="n">
        <f aca="false">$B$4-90*($B$5+$B$6)/30-IF($B$11&lt;=90,$B$12,0)+L434+M434+N434+O434+P434+Q434</f>
        <v>11101.8559573277</v>
      </c>
      <c r="AA434" s="14" t="n">
        <f aca="false">MIN(R434:X434)</f>
        <v>1826.17129363489</v>
      </c>
    </row>
    <row r="435" customFormat="false" ht="15" hidden="false" customHeight="false" outlineLevel="0" collapsed="false">
      <c r="K435" s="2" t="n">
        <v>430</v>
      </c>
      <c r="L435" s="14" t="n">
        <f aca="true">$B$16+NORMINV(RAND(),0,SQRT($B$13*($B$7+$B$8^2))*$B$9*(1-$B$10))</f>
        <v>4326.89921967305</v>
      </c>
      <c r="M435" s="14" t="n">
        <f aca="true">$B$16+NORMINV(RAND(),0,SQRT($B$13*($B$7+$B$8^2))*$B$9*(1-$B$10))</f>
        <v>4665.24623453659</v>
      </c>
      <c r="N435" s="14" t="n">
        <f aca="true">$B$16+NORMINV(RAND(),0,SQRT($B$13*($B$7+$B$8^2))*$B$9*(1-$B$10))</f>
        <v>3679.8405466094</v>
      </c>
      <c r="O435" s="14" t="n">
        <f aca="true">$B$16+NORMINV(RAND(),0,SQRT($B$13*($B$7+$B$8^2))*$B$9*(1-$B$10))</f>
        <v>3703.84637450642</v>
      </c>
      <c r="P435" s="14" t="n">
        <f aca="true">$B$16+NORMINV(RAND(),0,SQRT($B$13*($B$7+$B$8^2))*$B$9*(1-$B$10))</f>
        <v>3909.75179661529</v>
      </c>
      <c r="Q435" s="14" t="n">
        <f aca="true">$B$16+NORMINV(RAND(),0,SQRT($B$13*($B$7+$B$8^2))*$B$9*(1-$B$10))</f>
        <v>4811.97227207627</v>
      </c>
      <c r="R435" s="14" t="n">
        <f aca="false">$B$4-13*($B$5+$B$6)/30-IF($B$11&lt;=13,$B$12,0)+0</f>
        <v>8876.66666666667</v>
      </c>
      <c r="S435" s="14" t="n">
        <f aca="false">$B$4-27*($B$5+$B$6)/30-IF($B$11&lt;=27,$B$12,0)+L435</f>
        <v>10916.899219673</v>
      </c>
      <c r="T435" s="14" t="n">
        <f aca="false">$B$4-41*($B$5+$B$6)/30-IF($B$11&lt;=41,$B$12,0)+L435+M435</f>
        <v>2110.67878754297</v>
      </c>
      <c r="U435" s="14" t="n">
        <f aca="false">$B$4-55*($B$5+$B$6)/30-IF($B$11&lt;=55,$B$12,0)+L435+M435+N435</f>
        <v>3503.8526674857</v>
      </c>
      <c r="V435" s="14" t="n">
        <f aca="false">$B$4-69*($B$5+$B$6)/30-IF($B$11&lt;=69,$B$12,0)+L435+M435+N435+O435</f>
        <v>4921.03237532546</v>
      </c>
      <c r="W435" s="14" t="n">
        <f aca="false">$B$4-83*($B$5+$B$6)/30-IF($B$11&lt;=83,$B$12,0)+L435+M435+N435+O435+P435</f>
        <v>6544.11750527409</v>
      </c>
      <c r="X435" s="14" t="n">
        <f aca="false">$B$4-90*($B$5+$B$6)/30-IF($B$11&lt;=90,$B$12,0)+L435+M435+N435+O435+P435+Q435</f>
        <v>10212.756444017</v>
      </c>
      <c r="AA435" s="14" t="n">
        <f aca="false">MIN(R435:X435)</f>
        <v>2110.67878754297</v>
      </c>
    </row>
    <row r="436" customFormat="false" ht="15" hidden="false" customHeight="false" outlineLevel="0" collapsed="false">
      <c r="K436" s="2" t="n">
        <v>431</v>
      </c>
      <c r="L436" s="14" t="n">
        <f aca="true">$B$16+NORMINV(RAND(),0,SQRT($B$13*($B$7+$B$8^2))*$B$9*(1-$B$10))</f>
        <v>3850.64583266714</v>
      </c>
      <c r="M436" s="14" t="n">
        <f aca="true">$B$16+NORMINV(RAND(),0,SQRT($B$13*($B$7+$B$8^2))*$B$9*(1-$B$10))</f>
        <v>3464.21812129771</v>
      </c>
      <c r="N436" s="14" t="n">
        <f aca="true">$B$16+NORMINV(RAND(),0,SQRT($B$13*($B$7+$B$8^2))*$B$9*(1-$B$10))</f>
        <v>3885.74992414287</v>
      </c>
      <c r="O436" s="14" t="n">
        <f aca="true">$B$16+NORMINV(RAND(),0,SQRT($B$13*($B$7+$B$8^2))*$B$9*(1-$B$10))</f>
        <v>4372.09116276188</v>
      </c>
      <c r="P436" s="14" t="n">
        <f aca="true">$B$16+NORMINV(RAND(),0,SQRT($B$13*($B$7+$B$8^2))*$B$9*(1-$B$10))</f>
        <v>3829.41865527924</v>
      </c>
      <c r="Q436" s="14" t="n">
        <f aca="true">$B$16+NORMINV(RAND(),0,SQRT($B$13*($B$7+$B$8^2))*$B$9*(1-$B$10))</f>
        <v>4145.35113499928</v>
      </c>
      <c r="R436" s="14" t="n">
        <f aca="false">$B$4-13*($B$5+$B$6)/30-IF($B$11&lt;=13,$B$12,0)+0</f>
        <v>8876.66666666667</v>
      </c>
      <c r="S436" s="14" t="n">
        <f aca="false">$B$4-27*($B$5+$B$6)/30-IF($B$11&lt;=27,$B$12,0)+L436</f>
        <v>10440.6458326671</v>
      </c>
      <c r="T436" s="14" t="n">
        <f aca="false">$B$4-41*($B$5+$B$6)/30-IF($B$11&lt;=41,$B$12,0)+L436+M436</f>
        <v>433.397287298177</v>
      </c>
      <c r="U436" s="14" t="n">
        <f aca="false">$B$4-55*($B$5+$B$6)/30-IF($B$11&lt;=55,$B$12,0)+L436+M436+N436</f>
        <v>2032.48054477438</v>
      </c>
      <c r="V436" s="14" t="n">
        <f aca="false">$B$4-69*($B$5+$B$6)/30-IF($B$11&lt;=69,$B$12,0)+L436+M436+N436+O436</f>
        <v>4117.9050408696</v>
      </c>
      <c r="W436" s="14" t="n">
        <f aca="false">$B$4-83*($B$5+$B$6)/30-IF($B$11&lt;=83,$B$12,0)+L436+M436+N436+O436+P436</f>
        <v>5660.65702948218</v>
      </c>
      <c r="X436" s="14" t="n">
        <f aca="false">$B$4-90*($B$5+$B$6)/30-IF($B$11&lt;=90,$B$12,0)+L436+M436+N436+O436+P436+Q436</f>
        <v>8662.67483114812</v>
      </c>
      <c r="AA436" s="14" t="n">
        <f aca="false">MIN(R436:X436)</f>
        <v>433.397287298177</v>
      </c>
    </row>
    <row r="437" customFormat="false" ht="15" hidden="false" customHeight="false" outlineLevel="0" collapsed="false">
      <c r="K437" s="2" t="n">
        <v>432</v>
      </c>
      <c r="L437" s="14" t="n">
        <f aca="true">$B$16+NORMINV(RAND(),0,SQRT($B$13*($B$7+$B$8^2))*$B$9*(1-$B$10))</f>
        <v>4374.91030239978</v>
      </c>
      <c r="M437" s="14" t="n">
        <f aca="true">$B$16+NORMINV(RAND(),0,SQRT($B$13*($B$7+$B$8^2))*$B$9*(1-$B$10))</f>
        <v>3636.15334640314</v>
      </c>
      <c r="N437" s="14" t="n">
        <f aca="true">$B$16+NORMINV(RAND(),0,SQRT($B$13*($B$7+$B$8^2))*$B$9*(1-$B$10))</f>
        <v>3853.94312048985</v>
      </c>
      <c r="O437" s="14" t="n">
        <f aca="true">$B$16+NORMINV(RAND(),0,SQRT($B$13*($B$7+$B$8^2))*$B$9*(1-$B$10))</f>
        <v>4250.79420538554</v>
      </c>
      <c r="P437" s="14" t="n">
        <f aca="true">$B$16+NORMINV(RAND(),0,SQRT($B$13*($B$7+$B$8^2))*$B$9*(1-$B$10))</f>
        <v>4044.24029029655</v>
      </c>
      <c r="Q437" s="14" t="n">
        <f aca="true">$B$16+NORMINV(RAND(),0,SQRT($B$13*($B$7+$B$8^2))*$B$9*(1-$B$10))</f>
        <v>4248.20614835459</v>
      </c>
      <c r="R437" s="14" t="n">
        <f aca="false">$B$4-13*($B$5+$B$6)/30-IF($B$11&lt;=13,$B$12,0)+0</f>
        <v>8876.66666666667</v>
      </c>
      <c r="S437" s="14" t="n">
        <f aca="false">$B$4-27*($B$5+$B$6)/30-IF($B$11&lt;=27,$B$12,0)+L437</f>
        <v>10964.9103023998</v>
      </c>
      <c r="T437" s="14" t="n">
        <f aca="false">$B$4-41*($B$5+$B$6)/30-IF($B$11&lt;=41,$B$12,0)+L437+M437</f>
        <v>1129.59698213625</v>
      </c>
      <c r="U437" s="14" t="n">
        <f aca="false">$B$4-55*($B$5+$B$6)/30-IF($B$11&lt;=55,$B$12,0)+L437+M437+N437</f>
        <v>2696.87343595944</v>
      </c>
      <c r="V437" s="14" t="n">
        <f aca="false">$B$4-69*($B$5+$B$6)/30-IF($B$11&lt;=69,$B$12,0)+L437+M437+N437+O437</f>
        <v>4661.00097467831</v>
      </c>
      <c r="W437" s="14" t="n">
        <f aca="false">$B$4-83*($B$5+$B$6)/30-IF($B$11&lt;=83,$B$12,0)+L437+M437+N437+O437+P437</f>
        <v>6418.57459830819</v>
      </c>
      <c r="X437" s="14" t="n">
        <f aca="false">$B$4-90*($B$5+$B$6)/30-IF($B$11&lt;=90,$B$12,0)+L437+M437+N437+O437+P437+Q437</f>
        <v>9523.44741332945</v>
      </c>
      <c r="AA437" s="14" t="n">
        <f aca="false">MIN(R437:X437)</f>
        <v>1129.59698213625</v>
      </c>
    </row>
    <row r="438" customFormat="false" ht="15" hidden="false" customHeight="false" outlineLevel="0" collapsed="false">
      <c r="K438" s="2" t="n">
        <v>433</v>
      </c>
      <c r="L438" s="14" t="n">
        <f aca="true">$B$16+NORMINV(RAND(),0,SQRT($B$13*($B$7+$B$8^2))*$B$9*(1-$B$10))</f>
        <v>3804.3076210826</v>
      </c>
      <c r="M438" s="14" t="n">
        <f aca="true">$B$16+NORMINV(RAND(),0,SQRT($B$13*($B$7+$B$8^2))*$B$9*(1-$B$10))</f>
        <v>4116.6998959516</v>
      </c>
      <c r="N438" s="14" t="n">
        <f aca="true">$B$16+NORMINV(RAND(),0,SQRT($B$13*($B$7+$B$8^2))*$B$9*(1-$B$10))</f>
        <v>4234.20455708444</v>
      </c>
      <c r="O438" s="14" t="n">
        <f aca="true">$B$16+NORMINV(RAND(),0,SQRT($B$13*($B$7+$B$8^2))*$B$9*(1-$B$10))</f>
        <v>3875.21422184124</v>
      </c>
      <c r="P438" s="14" t="n">
        <f aca="true">$B$16+NORMINV(RAND(),0,SQRT($B$13*($B$7+$B$8^2))*$B$9*(1-$B$10))</f>
        <v>4749.39194613435</v>
      </c>
      <c r="Q438" s="14" t="n">
        <f aca="true">$B$16+NORMINV(RAND(),0,SQRT($B$13*($B$7+$B$8^2))*$B$9*(1-$B$10))</f>
        <v>4245.70787035501</v>
      </c>
      <c r="R438" s="14" t="n">
        <f aca="false">$B$4-13*($B$5+$B$6)/30-IF($B$11&lt;=13,$B$12,0)+0</f>
        <v>8876.66666666667</v>
      </c>
      <c r="S438" s="14" t="n">
        <f aca="false">$B$4-27*($B$5+$B$6)/30-IF($B$11&lt;=27,$B$12,0)+L438</f>
        <v>10394.3076210826</v>
      </c>
      <c r="T438" s="14" t="n">
        <f aca="false">$B$4-41*($B$5+$B$6)/30-IF($B$11&lt;=41,$B$12,0)+L438+M438</f>
        <v>1039.54085036754</v>
      </c>
      <c r="U438" s="14" t="n">
        <f aca="false">$B$4-55*($B$5+$B$6)/30-IF($B$11&lt;=55,$B$12,0)+L438+M438+N438</f>
        <v>2987.07874078531</v>
      </c>
      <c r="V438" s="14" t="n">
        <f aca="false">$B$4-69*($B$5+$B$6)/30-IF($B$11&lt;=69,$B$12,0)+L438+M438+N438+O438</f>
        <v>4575.62629595988</v>
      </c>
      <c r="W438" s="14" t="n">
        <f aca="false">$B$4-83*($B$5+$B$6)/30-IF($B$11&lt;=83,$B$12,0)+L438+M438+N438+O438+P438</f>
        <v>7038.35157542757</v>
      </c>
      <c r="X438" s="14" t="n">
        <f aca="false">$B$4-90*($B$5+$B$6)/30-IF($B$11&lt;=90,$B$12,0)+L438+M438+N438+O438+P438+Q438</f>
        <v>10140.7261124492</v>
      </c>
      <c r="AA438" s="14" t="n">
        <f aca="false">MIN(R438:X438)</f>
        <v>1039.54085036754</v>
      </c>
    </row>
    <row r="439" customFormat="false" ht="15" hidden="false" customHeight="false" outlineLevel="0" collapsed="false">
      <c r="K439" s="2" t="n">
        <v>434</v>
      </c>
      <c r="L439" s="14" t="n">
        <f aca="true">$B$16+NORMINV(RAND(),0,SQRT($B$13*($B$7+$B$8^2))*$B$9*(1-$B$10))</f>
        <v>4184.67561448446</v>
      </c>
      <c r="M439" s="14" t="n">
        <f aca="true">$B$16+NORMINV(RAND(),0,SQRT($B$13*($B$7+$B$8^2))*$B$9*(1-$B$10))</f>
        <v>3468.7207613676</v>
      </c>
      <c r="N439" s="14" t="n">
        <f aca="true">$B$16+NORMINV(RAND(),0,SQRT($B$13*($B$7+$B$8^2))*$B$9*(1-$B$10))</f>
        <v>3921.22605417809</v>
      </c>
      <c r="O439" s="14" t="n">
        <f aca="true">$B$16+NORMINV(RAND(),0,SQRT($B$13*($B$7+$B$8^2))*$B$9*(1-$B$10))</f>
        <v>3849.41447017716</v>
      </c>
      <c r="P439" s="14" t="n">
        <f aca="true">$B$16+NORMINV(RAND(),0,SQRT($B$13*($B$7+$B$8^2))*$B$9*(1-$B$10))</f>
        <v>3859.42677695914</v>
      </c>
      <c r="Q439" s="14" t="n">
        <f aca="true">$B$16+NORMINV(RAND(),0,SQRT($B$13*($B$7+$B$8^2))*$B$9*(1-$B$10))</f>
        <v>3870.45956505326</v>
      </c>
      <c r="R439" s="14" t="n">
        <f aca="false">$B$4-13*($B$5+$B$6)/30-IF($B$11&lt;=13,$B$12,0)+0</f>
        <v>8876.66666666667</v>
      </c>
      <c r="S439" s="14" t="n">
        <f aca="false">$B$4-27*($B$5+$B$6)/30-IF($B$11&lt;=27,$B$12,0)+L439</f>
        <v>10774.6756144845</v>
      </c>
      <c r="T439" s="14" t="n">
        <f aca="false">$B$4-41*($B$5+$B$6)/30-IF($B$11&lt;=41,$B$12,0)+L439+M439</f>
        <v>771.929709185392</v>
      </c>
      <c r="U439" s="14" t="n">
        <f aca="false">$B$4-55*($B$5+$B$6)/30-IF($B$11&lt;=55,$B$12,0)+L439+M439+N439</f>
        <v>2406.48909669682</v>
      </c>
      <c r="V439" s="14" t="n">
        <f aca="false">$B$4-69*($B$5+$B$6)/30-IF($B$11&lt;=69,$B$12,0)+L439+M439+N439+O439</f>
        <v>3969.23690020731</v>
      </c>
      <c r="W439" s="14" t="n">
        <f aca="false">$B$4-83*($B$5+$B$6)/30-IF($B$11&lt;=83,$B$12,0)+L439+M439+N439+O439+P439</f>
        <v>5541.99701049978</v>
      </c>
      <c r="X439" s="14" t="n">
        <f aca="false">$B$4-90*($B$5+$B$6)/30-IF($B$11&lt;=90,$B$12,0)+L439+M439+N439+O439+P439+Q439</f>
        <v>8269.12324221971</v>
      </c>
      <c r="AA439" s="14" t="n">
        <f aca="false">MIN(R439:X439)</f>
        <v>771.929709185392</v>
      </c>
    </row>
    <row r="440" customFormat="false" ht="15" hidden="false" customHeight="false" outlineLevel="0" collapsed="false">
      <c r="K440" s="2" t="n">
        <v>435</v>
      </c>
      <c r="L440" s="14" t="n">
        <f aca="true">$B$16+NORMINV(RAND(),0,SQRT($B$13*($B$7+$B$8^2))*$B$9*(1-$B$10))</f>
        <v>3967.32595480624</v>
      </c>
      <c r="M440" s="14" t="n">
        <f aca="true">$B$16+NORMINV(RAND(),0,SQRT($B$13*($B$7+$B$8^2))*$B$9*(1-$B$10))</f>
        <v>3753.09317911817</v>
      </c>
      <c r="N440" s="14" t="n">
        <f aca="true">$B$16+NORMINV(RAND(),0,SQRT($B$13*($B$7+$B$8^2))*$B$9*(1-$B$10))</f>
        <v>4529.75404901457</v>
      </c>
      <c r="O440" s="14" t="n">
        <f aca="true">$B$16+NORMINV(RAND(),0,SQRT($B$13*($B$7+$B$8^2))*$B$9*(1-$B$10))</f>
        <v>4553.17126587617</v>
      </c>
      <c r="P440" s="14" t="n">
        <f aca="true">$B$16+NORMINV(RAND(),0,SQRT($B$13*($B$7+$B$8^2))*$B$9*(1-$B$10))</f>
        <v>3726.30798615369</v>
      </c>
      <c r="Q440" s="14" t="n">
        <f aca="true">$B$16+NORMINV(RAND(),0,SQRT($B$13*($B$7+$B$8^2))*$B$9*(1-$B$10))</f>
        <v>4312.56408272963</v>
      </c>
      <c r="R440" s="14" t="n">
        <f aca="false">$B$4-13*($B$5+$B$6)/30-IF($B$11&lt;=13,$B$12,0)+0</f>
        <v>8876.66666666667</v>
      </c>
      <c r="S440" s="14" t="n">
        <f aca="false">$B$4-27*($B$5+$B$6)/30-IF($B$11&lt;=27,$B$12,0)+L440</f>
        <v>10557.3259548062</v>
      </c>
      <c r="T440" s="14" t="n">
        <f aca="false">$B$4-41*($B$5+$B$6)/30-IF($B$11&lt;=41,$B$12,0)+L440+M440</f>
        <v>838.952467257744</v>
      </c>
      <c r="U440" s="14" t="n">
        <f aca="false">$B$4-55*($B$5+$B$6)/30-IF($B$11&lt;=55,$B$12,0)+L440+M440+N440</f>
        <v>3082.03984960564</v>
      </c>
      <c r="V440" s="14" t="n">
        <f aca="false">$B$4-69*($B$5+$B$6)/30-IF($B$11&lt;=69,$B$12,0)+L440+M440+N440+O440</f>
        <v>5348.54444881514</v>
      </c>
      <c r="W440" s="14" t="n">
        <f aca="false">$B$4-83*($B$5+$B$6)/30-IF($B$11&lt;=83,$B$12,0)+L440+M440+N440+O440+P440</f>
        <v>6788.18576830217</v>
      </c>
      <c r="X440" s="14" t="n">
        <f aca="false">$B$4-90*($B$5+$B$6)/30-IF($B$11&lt;=90,$B$12,0)+L440+M440+N440+O440+P440+Q440</f>
        <v>9957.41651769847</v>
      </c>
      <c r="AA440" s="14" t="n">
        <f aca="false">MIN(R440:X440)</f>
        <v>838.952467257744</v>
      </c>
    </row>
    <row r="441" customFormat="false" ht="15" hidden="false" customHeight="false" outlineLevel="0" collapsed="false">
      <c r="K441" s="2" t="n">
        <v>436</v>
      </c>
      <c r="L441" s="14" t="n">
        <f aca="true">$B$16+NORMINV(RAND(),0,SQRT($B$13*($B$7+$B$8^2))*$B$9*(1-$B$10))</f>
        <v>3980.66296576232</v>
      </c>
      <c r="M441" s="14" t="n">
        <f aca="true">$B$16+NORMINV(RAND(),0,SQRT($B$13*($B$7+$B$8^2))*$B$9*(1-$B$10))</f>
        <v>4406.98745190622</v>
      </c>
      <c r="N441" s="14" t="n">
        <f aca="true">$B$16+NORMINV(RAND(),0,SQRT($B$13*($B$7+$B$8^2))*$B$9*(1-$B$10))</f>
        <v>4161.83439068392</v>
      </c>
      <c r="O441" s="14" t="n">
        <f aca="true">$B$16+NORMINV(RAND(),0,SQRT($B$13*($B$7+$B$8^2))*$B$9*(1-$B$10))</f>
        <v>3976.30697417696</v>
      </c>
      <c r="P441" s="14" t="n">
        <f aca="true">$B$16+NORMINV(RAND(),0,SQRT($B$13*($B$7+$B$8^2))*$B$9*(1-$B$10))</f>
        <v>3334.53879522341</v>
      </c>
      <c r="Q441" s="14" t="n">
        <f aca="true">$B$16+NORMINV(RAND(),0,SQRT($B$13*($B$7+$B$8^2))*$B$9*(1-$B$10))</f>
        <v>3822.78343415127</v>
      </c>
      <c r="R441" s="14" t="n">
        <f aca="false">$B$4-13*($B$5+$B$6)/30-IF($B$11&lt;=13,$B$12,0)+0</f>
        <v>8876.66666666667</v>
      </c>
      <c r="S441" s="14" t="n">
        <f aca="false">$B$4-27*($B$5+$B$6)/30-IF($B$11&lt;=27,$B$12,0)+L441</f>
        <v>10570.6629657623</v>
      </c>
      <c r="T441" s="14" t="n">
        <f aca="false">$B$4-41*($B$5+$B$6)/30-IF($B$11&lt;=41,$B$12,0)+L441+M441</f>
        <v>1506.18375100187</v>
      </c>
      <c r="U441" s="14" t="n">
        <f aca="false">$B$4-55*($B$5+$B$6)/30-IF($B$11&lt;=55,$B$12,0)+L441+M441+N441</f>
        <v>3381.35147501913</v>
      </c>
      <c r="V441" s="14" t="n">
        <f aca="false">$B$4-69*($B$5+$B$6)/30-IF($B$11&lt;=69,$B$12,0)+L441+M441+N441+O441</f>
        <v>5070.99178252943</v>
      </c>
      <c r="W441" s="14" t="n">
        <f aca="false">$B$4-83*($B$5+$B$6)/30-IF($B$11&lt;=83,$B$12,0)+L441+M441+N441+O441+P441</f>
        <v>6118.86391108617</v>
      </c>
      <c r="X441" s="14" t="n">
        <f aca="false">$B$4-90*($B$5+$B$6)/30-IF($B$11&lt;=90,$B$12,0)+L441+M441+N441+O441+P441+Q441</f>
        <v>8798.3140119041</v>
      </c>
      <c r="AA441" s="14" t="n">
        <f aca="false">MIN(R441:X441)</f>
        <v>1506.18375100187</v>
      </c>
    </row>
    <row r="442" customFormat="false" ht="15" hidden="false" customHeight="false" outlineLevel="0" collapsed="false">
      <c r="K442" s="2" t="n">
        <v>437</v>
      </c>
      <c r="L442" s="14" t="n">
        <f aca="true">$B$16+NORMINV(RAND(),0,SQRT($B$13*($B$7+$B$8^2))*$B$9*(1-$B$10))</f>
        <v>4390.39398748334</v>
      </c>
      <c r="M442" s="14" t="n">
        <f aca="true">$B$16+NORMINV(RAND(),0,SQRT($B$13*($B$7+$B$8^2))*$B$9*(1-$B$10))</f>
        <v>4110.8045796439</v>
      </c>
      <c r="N442" s="14" t="n">
        <f aca="true">$B$16+NORMINV(RAND(),0,SQRT($B$13*($B$7+$B$8^2))*$B$9*(1-$B$10))</f>
        <v>3997.5355501401</v>
      </c>
      <c r="O442" s="14" t="n">
        <f aca="true">$B$16+NORMINV(RAND(),0,SQRT($B$13*($B$7+$B$8^2))*$B$9*(1-$B$10))</f>
        <v>3610.32653055027</v>
      </c>
      <c r="P442" s="14" t="n">
        <f aca="true">$B$16+NORMINV(RAND(),0,SQRT($B$13*($B$7+$B$8^2))*$B$9*(1-$B$10))</f>
        <v>4450.52252911984</v>
      </c>
      <c r="Q442" s="14" t="n">
        <f aca="true">$B$16+NORMINV(RAND(),0,SQRT($B$13*($B$7+$B$8^2))*$B$9*(1-$B$10))</f>
        <v>3430.74872744636</v>
      </c>
      <c r="R442" s="14" t="n">
        <f aca="false">$B$4-13*($B$5+$B$6)/30-IF($B$11&lt;=13,$B$12,0)+0</f>
        <v>8876.66666666667</v>
      </c>
      <c r="S442" s="14" t="n">
        <f aca="false">$B$4-27*($B$5+$B$6)/30-IF($B$11&lt;=27,$B$12,0)+L442</f>
        <v>10980.3939874833</v>
      </c>
      <c r="T442" s="14" t="n">
        <f aca="false">$B$4-41*($B$5+$B$6)/30-IF($B$11&lt;=41,$B$12,0)+L442+M442</f>
        <v>1619.73190046057</v>
      </c>
      <c r="U442" s="14" t="n">
        <f aca="false">$B$4-55*($B$5+$B$6)/30-IF($B$11&lt;=55,$B$12,0)+L442+M442+N442</f>
        <v>3330.600783934</v>
      </c>
      <c r="V442" s="14" t="n">
        <f aca="false">$B$4-69*($B$5+$B$6)/30-IF($B$11&lt;=69,$B$12,0)+L442+M442+N442+O442</f>
        <v>4654.26064781761</v>
      </c>
      <c r="W442" s="14" t="n">
        <f aca="false">$B$4-83*($B$5+$B$6)/30-IF($B$11&lt;=83,$B$12,0)+L442+M442+N442+O442+P442</f>
        <v>6818.11651027078</v>
      </c>
      <c r="X442" s="14" t="n">
        <f aca="false">$B$4-90*($B$5+$B$6)/30-IF($B$11&lt;=90,$B$12,0)+L442+M442+N442+O442+P442+Q442</f>
        <v>9105.53190438381</v>
      </c>
      <c r="AA442" s="14" t="n">
        <f aca="false">MIN(R442:X442)</f>
        <v>1619.73190046057</v>
      </c>
    </row>
    <row r="443" customFormat="false" ht="15" hidden="false" customHeight="false" outlineLevel="0" collapsed="false">
      <c r="K443" s="2" t="n">
        <v>438</v>
      </c>
      <c r="L443" s="14" t="n">
        <f aca="true">$B$16+NORMINV(RAND(),0,SQRT($B$13*($B$7+$B$8^2))*$B$9*(1-$B$10))</f>
        <v>4494.49011079372</v>
      </c>
      <c r="M443" s="14" t="n">
        <f aca="true">$B$16+NORMINV(RAND(),0,SQRT($B$13*($B$7+$B$8^2))*$B$9*(1-$B$10))</f>
        <v>4316.87722810884</v>
      </c>
      <c r="N443" s="14" t="n">
        <f aca="true">$B$16+NORMINV(RAND(),0,SQRT($B$13*($B$7+$B$8^2))*$B$9*(1-$B$10))</f>
        <v>3942.66380121109</v>
      </c>
      <c r="O443" s="14" t="n">
        <f aca="true">$B$16+NORMINV(RAND(),0,SQRT($B$13*($B$7+$B$8^2))*$B$9*(1-$B$10))</f>
        <v>3740.06908184271</v>
      </c>
      <c r="P443" s="14" t="n">
        <f aca="true">$B$16+NORMINV(RAND(),0,SQRT($B$13*($B$7+$B$8^2))*$B$9*(1-$B$10))</f>
        <v>4334.5160081788</v>
      </c>
      <c r="Q443" s="14" t="n">
        <f aca="true">$B$16+NORMINV(RAND(),0,SQRT($B$13*($B$7+$B$8^2))*$B$9*(1-$B$10))</f>
        <v>3708.28506960339</v>
      </c>
      <c r="R443" s="14" t="n">
        <f aca="false">$B$4-13*($B$5+$B$6)/30-IF($B$11&lt;=13,$B$12,0)+0</f>
        <v>8876.66666666667</v>
      </c>
      <c r="S443" s="14" t="n">
        <f aca="false">$B$4-27*($B$5+$B$6)/30-IF($B$11&lt;=27,$B$12,0)+L443</f>
        <v>11084.4901107937</v>
      </c>
      <c r="T443" s="14" t="n">
        <f aca="false">$B$4-41*($B$5+$B$6)/30-IF($B$11&lt;=41,$B$12,0)+L443+M443</f>
        <v>1929.90067223589</v>
      </c>
      <c r="U443" s="14" t="n">
        <f aca="false">$B$4-55*($B$5+$B$6)/30-IF($B$11&lt;=55,$B$12,0)+L443+M443+N443</f>
        <v>3585.89780678031</v>
      </c>
      <c r="V443" s="14" t="n">
        <f aca="false">$B$4-69*($B$5+$B$6)/30-IF($B$11&lt;=69,$B$12,0)+L443+M443+N443+O443</f>
        <v>5039.30022195636</v>
      </c>
      <c r="W443" s="14" t="n">
        <f aca="false">$B$4-83*($B$5+$B$6)/30-IF($B$11&lt;=83,$B$12,0)+L443+M443+N443+O443+P443</f>
        <v>7087.14956346849</v>
      </c>
      <c r="X443" s="14" t="n">
        <f aca="false">$B$4-90*($B$5+$B$6)/30-IF($B$11&lt;=90,$B$12,0)+L443+M443+N443+O443+P443+Q443</f>
        <v>9652.10129973854</v>
      </c>
      <c r="AA443" s="14" t="n">
        <f aca="false">MIN(R443:X443)</f>
        <v>1929.90067223589</v>
      </c>
    </row>
    <row r="444" customFormat="false" ht="15" hidden="false" customHeight="false" outlineLevel="0" collapsed="false">
      <c r="K444" s="2" t="n">
        <v>439</v>
      </c>
      <c r="L444" s="14" t="n">
        <f aca="true">$B$16+NORMINV(RAND(),0,SQRT($B$13*($B$7+$B$8^2))*$B$9*(1-$B$10))</f>
        <v>4000.27137505588</v>
      </c>
      <c r="M444" s="14" t="n">
        <f aca="true">$B$16+NORMINV(RAND(),0,SQRT($B$13*($B$7+$B$8^2))*$B$9*(1-$B$10))</f>
        <v>4123.29713996775</v>
      </c>
      <c r="N444" s="14" t="n">
        <f aca="true">$B$16+NORMINV(RAND(),0,SQRT($B$13*($B$7+$B$8^2))*$B$9*(1-$B$10))</f>
        <v>3595.08508978594</v>
      </c>
      <c r="O444" s="14" t="n">
        <f aca="true">$B$16+NORMINV(RAND(),0,SQRT($B$13*($B$7+$B$8^2))*$B$9*(1-$B$10))</f>
        <v>3452.11645671513</v>
      </c>
      <c r="P444" s="14" t="n">
        <f aca="true">$B$16+NORMINV(RAND(),0,SQRT($B$13*($B$7+$B$8^2))*$B$9*(1-$B$10))</f>
        <v>4031.63226916444</v>
      </c>
      <c r="Q444" s="14" t="n">
        <f aca="true">$B$16+NORMINV(RAND(),0,SQRT($B$13*($B$7+$B$8^2))*$B$9*(1-$B$10))</f>
        <v>3763.69016907492</v>
      </c>
      <c r="R444" s="14" t="n">
        <f aca="false">$B$4-13*($B$5+$B$6)/30-IF($B$11&lt;=13,$B$12,0)+0</f>
        <v>8876.66666666667</v>
      </c>
      <c r="S444" s="14" t="n">
        <f aca="false">$B$4-27*($B$5+$B$6)/30-IF($B$11&lt;=27,$B$12,0)+L444</f>
        <v>10590.2713750559</v>
      </c>
      <c r="T444" s="14" t="n">
        <f aca="false">$B$4-41*($B$5+$B$6)/30-IF($B$11&lt;=41,$B$12,0)+L444+M444</f>
        <v>1242.10184835696</v>
      </c>
      <c r="U444" s="14" t="n">
        <f aca="false">$B$4-55*($B$5+$B$6)/30-IF($B$11&lt;=55,$B$12,0)+L444+M444+N444</f>
        <v>2550.52027147623</v>
      </c>
      <c r="V444" s="14" t="n">
        <f aca="false">$B$4-69*($B$5+$B$6)/30-IF($B$11&lt;=69,$B$12,0)+L444+M444+N444+O444</f>
        <v>3715.97006152469</v>
      </c>
      <c r="W444" s="14" t="n">
        <f aca="false">$B$4-83*($B$5+$B$6)/30-IF($B$11&lt;=83,$B$12,0)+L444+M444+N444+O444+P444</f>
        <v>5460.93566402247</v>
      </c>
      <c r="X444" s="14" t="n">
        <f aca="false">$B$4-90*($B$5+$B$6)/30-IF($B$11&lt;=90,$B$12,0)+L444+M444+N444+O444+P444+Q444</f>
        <v>8081.29249976406</v>
      </c>
      <c r="AA444" s="14" t="n">
        <f aca="false">MIN(R444:X444)</f>
        <v>1242.10184835696</v>
      </c>
    </row>
    <row r="445" customFormat="false" ht="15" hidden="false" customHeight="false" outlineLevel="0" collapsed="false">
      <c r="K445" s="2" t="n">
        <v>440</v>
      </c>
      <c r="L445" s="14" t="n">
        <f aca="true">$B$16+NORMINV(RAND(),0,SQRT($B$13*($B$7+$B$8^2))*$B$9*(1-$B$10))</f>
        <v>4021.57995648638</v>
      </c>
      <c r="M445" s="14" t="n">
        <f aca="true">$B$16+NORMINV(RAND(),0,SQRT($B$13*($B$7+$B$8^2))*$B$9*(1-$B$10))</f>
        <v>4090.85737343264</v>
      </c>
      <c r="N445" s="14" t="n">
        <f aca="true">$B$16+NORMINV(RAND(),0,SQRT($B$13*($B$7+$B$8^2))*$B$9*(1-$B$10))</f>
        <v>4137.38272709025</v>
      </c>
      <c r="O445" s="14" t="n">
        <f aca="true">$B$16+NORMINV(RAND(),0,SQRT($B$13*($B$7+$B$8^2))*$B$9*(1-$B$10))</f>
        <v>4387.29616008346</v>
      </c>
      <c r="P445" s="14" t="n">
        <f aca="true">$B$16+NORMINV(RAND(),0,SQRT($B$13*($B$7+$B$8^2))*$B$9*(1-$B$10))</f>
        <v>3933.95122884425</v>
      </c>
      <c r="Q445" s="14" t="n">
        <f aca="true">$B$16+NORMINV(RAND(),0,SQRT($B$13*($B$7+$B$8^2))*$B$9*(1-$B$10))</f>
        <v>4108.74561309895</v>
      </c>
      <c r="R445" s="14" t="n">
        <f aca="false">$B$4-13*($B$5+$B$6)/30-IF($B$11&lt;=13,$B$12,0)+0</f>
        <v>8876.66666666667</v>
      </c>
      <c r="S445" s="14" t="n">
        <f aca="false">$B$4-27*($B$5+$B$6)/30-IF($B$11&lt;=27,$B$12,0)+L445</f>
        <v>10611.5799564864</v>
      </c>
      <c r="T445" s="14" t="n">
        <f aca="false">$B$4-41*($B$5+$B$6)/30-IF($B$11&lt;=41,$B$12,0)+L445+M445</f>
        <v>1230.97066325235</v>
      </c>
      <c r="U445" s="14" t="n">
        <f aca="false">$B$4-55*($B$5+$B$6)/30-IF($B$11&lt;=55,$B$12,0)+L445+M445+N445</f>
        <v>3081.68672367594</v>
      </c>
      <c r="V445" s="14" t="n">
        <f aca="false">$B$4-69*($B$5+$B$6)/30-IF($B$11&lt;=69,$B$12,0)+L445+M445+N445+O445</f>
        <v>5182.31621709273</v>
      </c>
      <c r="W445" s="14" t="n">
        <f aca="false">$B$4-83*($B$5+$B$6)/30-IF($B$11&lt;=83,$B$12,0)+L445+M445+N445+O445+P445</f>
        <v>6829.60077927032</v>
      </c>
      <c r="X445" s="14" t="n">
        <f aca="false">$B$4-90*($B$5+$B$6)/30-IF($B$11&lt;=90,$B$12,0)+L445+M445+N445+O445+P445+Q445</f>
        <v>9795.01305903594</v>
      </c>
      <c r="AA445" s="14" t="n">
        <f aca="false">MIN(R445:X445)</f>
        <v>1230.97066325235</v>
      </c>
    </row>
    <row r="446" customFormat="false" ht="15" hidden="false" customHeight="false" outlineLevel="0" collapsed="false">
      <c r="K446" s="2" t="n">
        <v>441</v>
      </c>
      <c r="L446" s="14" t="n">
        <f aca="true">$B$16+NORMINV(RAND(),0,SQRT($B$13*($B$7+$B$8^2))*$B$9*(1-$B$10))</f>
        <v>4122.56365336905</v>
      </c>
      <c r="M446" s="14" t="n">
        <f aca="true">$B$16+NORMINV(RAND(),0,SQRT($B$13*($B$7+$B$8^2))*$B$9*(1-$B$10))</f>
        <v>4127.59417352784</v>
      </c>
      <c r="N446" s="14" t="n">
        <f aca="true">$B$16+NORMINV(RAND(),0,SQRT($B$13*($B$7+$B$8^2))*$B$9*(1-$B$10))</f>
        <v>3898.64469840771</v>
      </c>
      <c r="O446" s="14" t="n">
        <f aca="true">$B$16+NORMINV(RAND(),0,SQRT($B$13*($B$7+$B$8^2))*$B$9*(1-$B$10))</f>
        <v>4492.28972965449</v>
      </c>
      <c r="P446" s="14" t="n">
        <f aca="true">$B$16+NORMINV(RAND(),0,SQRT($B$13*($B$7+$B$8^2))*$B$9*(1-$B$10))</f>
        <v>4352.17070957983</v>
      </c>
      <c r="Q446" s="14" t="n">
        <f aca="true">$B$16+NORMINV(RAND(),0,SQRT($B$13*($B$7+$B$8^2))*$B$9*(1-$B$10))</f>
        <v>4101.37499384299</v>
      </c>
      <c r="R446" s="14" t="n">
        <f aca="false">$B$4-13*($B$5+$B$6)/30-IF($B$11&lt;=13,$B$12,0)+0</f>
        <v>8876.66666666667</v>
      </c>
      <c r="S446" s="14" t="n">
        <f aca="false">$B$4-27*($B$5+$B$6)/30-IF($B$11&lt;=27,$B$12,0)+L446</f>
        <v>10712.5636533691</v>
      </c>
      <c r="T446" s="14" t="n">
        <f aca="false">$B$4-41*($B$5+$B$6)/30-IF($B$11&lt;=41,$B$12,0)+L446+M446</f>
        <v>1368.69116023022</v>
      </c>
      <c r="U446" s="14" t="n">
        <f aca="false">$B$4-55*($B$5+$B$6)/30-IF($B$11&lt;=55,$B$12,0)+L446+M446+N446</f>
        <v>2980.66919197126</v>
      </c>
      <c r="V446" s="14" t="n">
        <f aca="false">$B$4-69*($B$5+$B$6)/30-IF($B$11&lt;=69,$B$12,0)+L446+M446+N446+O446</f>
        <v>5186.29225495909</v>
      </c>
      <c r="W446" s="14" t="n">
        <f aca="false">$B$4-83*($B$5+$B$6)/30-IF($B$11&lt;=83,$B$12,0)+L446+M446+N446+O446+P446</f>
        <v>7251.79629787225</v>
      </c>
      <c r="X446" s="14" t="n">
        <f aca="false">$B$4-90*($B$5+$B$6)/30-IF($B$11&lt;=90,$B$12,0)+L446+M446+N446+O446+P446+Q446</f>
        <v>10209.8379583819</v>
      </c>
      <c r="AA446" s="14" t="n">
        <f aca="false">MIN(R446:X446)</f>
        <v>1368.69116023022</v>
      </c>
    </row>
    <row r="447" customFormat="false" ht="15" hidden="false" customHeight="false" outlineLevel="0" collapsed="false">
      <c r="K447" s="2" t="n">
        <v>442</v>
      </c>
      <c r="L447" s="14" t="n">
        <f aca="true">$B$16+NORMINV(RAND(),0,SQRT($B$13*($B$7+$B$8^2))*$B$9*(1-$B$10))</f>
        <v>4143.6119245843</v>
      </c>
      <c r="M447" s="14" t="n">
        <f aca="true">$B$16+NORMINV(RAND(),0,SQRT($B$13*($B$7+$B$8^2))*$B$9*(1-$B$10))</f>
        <v>3982.63940566907</v>
      </c>
      <c r="N447" s="14" t="n">
        <f aca="true">$B$16+NORMINV(RAND(),0,SQRT($B$13*($B$7+$B$8^2))*$B$9*(1-$B$10))</f>
        <v>3799.81163998278</v>
      </c>
      <c r="O447" s="14" t="n">
        <f aca="true">$B$16+NORMINV(RAND(),0,SQRT($B$13*($B$7+$B$8^2))*$B$9*(1-$B$10))</f>
        <v>4184.61850921705</v>
      </c>
      <c r="P447" s="14" t="n">
        <f aca="true">$B$16+NORMINV(RAND(),0,SQRT($B$13*($B$7+$B$8^2))*$B$9*(1-$B$10))</f>
        <v>4126.62923436788</v>
      </c>
      <c r="Q447" s="14" t="n">
        <f aca="true">$B$16+NORMINV(RAND(),0,SQRT($B$13*($B$7+$B$8^2))*$B$9*(1-$B$10))</f>
        <v>4399.58556730605</v>
      </c>
      <c r="R447" s="14" t="n">
        <f aca="false">$B$4-13*($B$5+$B$6)/30-IF($B$11&lt;=13,$B$12,0)+0</f>
        <v>8876.66666666667</v>
      </c>
      <c r="S447" s="14" t="n">
        <f aca="false">$B$4-27*($B$5+$B$6)/30-IF($B$11&lt;=27,$B$12,0)+L447</f>
        <v>10733.6119245843</v>
      </c>
      <c r="T447" s="14" t="n">
        <f aca="false">$B$4-41*($B$5+$B$6)/30-IF($B$11&lt;=41,$B$12,0)+L447+M447</f>
        <v>1244.7846635867</v>
      </c>
      <c r="U447" s="14" t="n">
        <f aca="false">$B$4-55*($B$5+$B$6)/30-IF($B$11&lt;=55,$B$12,0)+L447+M447+N447</f>
        <v>2757.92963690281</v>
      </c>
      <c r="V447" s="14" t="n">
        <f aca="false">$B$4-69*($B$5+$B$6)/30-IF($B$11&lt;=69,$B$12,0)+L447+M447+N447+O447</f>
        <v>4655.8814794532</v>
      </c>
      <c r="W447" s="14" t="n">
        <f aca="false">$B$4-83*($B$5+$B$6)/30-IF($B$11&lt;=83,$B$12,0)+L447+M447+N447+O447+P447</f>
        <v>6495.84404715442</v>
      </c>
      <c r="X447" s="14" t="n">
        <f aca="false">$B$4-90*($B$5+$B$6)/30-IF($B$11&lt;=90,$B$12,0)+L447+M447+N447+O447+P447+Q447</f>
        <v>9752.09628112713</v>
      </c>
      <c r="AA447" s="14" t="n">
        <f aca="false">MIN(R447:X447)</f>
        <v>1244.7846635867</v>
      </c>
    </row>
    <row r="448" customFormat="false" ht="15" hidden="false" customHeight="false" outlineLevel="0" collapsed="false">
      <c r="K448" s="2" t="n">
        <v>443</v>
      </c>
      <c r="L448" s="14" t="n">
        <f aca="true">$B$16+NORMINV(RAND(),0,SQRT($B$13*($B$7+$B$8^2))*$B$9*(1-$B$10))</f>
        <v>3500.83914896733</v>
      </c>
      <c r="M448" s="14" t="n">
        <f aca="true">$B$16+NORMINV(RAND(),0,SQRT($B$13*($B$7+$B$8^2))*$B$9*(1-$B$10))</f>
        <v>4063.8544232859</v>
      </c>
      <c r="N448" s="14" t="n">
        <f aca="true">$B$16+NORMINV(RAND(),0,SQRT($B$13*($B$7+$B$8^2))*$B$9*(1-$B$10))</f>
        <v>4037.97335951315</v>
      </c>
      <c r="O448" s="14" t="n">
        <f aca="true">$B$16+NORMINV(RAND(),0,SQRT($B$13*($B$7+$B$8^2))*$B$9*(1-$B$10))</f>
        <v>4336.42972988169</v>
      </c>
      <c r="P448" s="14" t="n">
        <f aca="true">$B$16+NORMINV(RAND(),0,SQRT($B$13*($B$7+$B$8^2))*$B$9*(1-$B$10))</f>
        <v>4231.83877501715</v>
      </c>
      <c r="Q448" s="14" t="n">
        <f aca="true">$B$16+NORMINV(RAND(),0,SQRT($B$13*($B$7+$B$8^2))*$B$9*(1-$B$10))</f>
        <v>4120.88318891982</v>
      </c>
      <c r="R448" s="14" t="n">
        <f aca="false">$B$4-13*($B$5+$B$6)/30-IF($B$11&lt;=13,$B$12,0)+0</f>
        <v>8876.66666666667</v>
      </c>
      <c r="S448" s="14" t="n">
        <f aca="false">$B$4-27*($B$5+$B$6)/30-IF($B$11&lt;=27,$B$12,0)+L448</f>
        <v>10090.8391489673</v>
      </c>
      <c r="T448" s="14" t="n">
        <f aca="false">$B$4-41*($B$5+$B$6)/30-IF($B$11&lt;=41,$B$12,0)+L448+M448</f>
        <v>683.22690558656</v>
      </c>
      <c r="U448" s="14" t="n">
        <f aca="false">$B$4-55*($B$5+$B$6)/30-IF($B$11&lt;=55,$B$12,0)+L448+M448+N448</f>
        <v>2434.53359843304</v>
      </c>
      <c r="V448" s="14" t="n">
        <f aca="false">$B$4-69*($B$5+$B$6)/30-IF($B$11&lt;=69,$B$12,0)+L448+M448+N448+O448</f>
        <v>4484.29666164806</v>
      </c>
      <c r="W448" s="14" t="n">
        <f aca="false">$B$4-83*($B$5+$B$6)/30-IF($B$11&lt;=83,$B$12,0)+L448+M448+N448+O448+P448</f>
        <v>6429.46876999854</v>
      </c>
      <c r="X448" s="14" t="n">
        <f aca="false">$B$4-90*($B$5+$B$6)/30-IF($B$11&lt;=90,$B$12,0)+L448+M448+N448+O448+P448+Q448</f>
        <v>9407.01862558503</v>
      </c>
      <c r="AA448" s="14" t="n">
        <f aca="false">MIN(R448:X448)</f>
        <v>683.22690558656</v>
      </c>
    </row>
    <row r="449" customFormat="false" ht="15" hidden="false" customHeight="false" outlineLevel="0" collapsed="false">
      <c r="K449" s="2" t="n">
        <v>444</v>
      </c>
      <c r="L449" s="14" t="n">
        <f aca="true">$B$16+NORMINV(RAND(),0,SQRT($B$13*($B$7+$B$8^2))*$B$9*(1-$B$10))</f>
        <v>4238.03857522603</v>
      </c>
      <c r="M449" s="14" t="n">
        <f aca="true">$B$16+NORMINV(RAND(),0,SQRT($B$13*($B$7+$B$8^2))*$B$9*(1-$B$10))</f>
        <v>4461.52419213197</v>
      </c>
      <c r="N449" s="14" t="n">
        <f aca="true">$B$16+NORMINV(RAND(),0,SQRT($B$13*($B$7+$B$8^2))*$B$9*(1-$B$10))</f>
        <v>3912.37464141529</v>
      </c>
      <c r="O449" s="14" t="n">
        <f aca="true">$B$16+NORMINV(RAND(),0,SQRT($B$13*($B$7+$B$8^2))*$B$9*(1-$B$10))</f>
        <v>4946.43986612087</v>
      </c>
      <c r="P449" s="14" t="n">
        <f aca="true">$B$16+NORMINV(RAND(),0,SQRT($B$13*($B$7+$B$8^2))*$B$9*(1-$B$10))</f>
        <v>4526.12185309989</v>
      </c>
      <c r="Q449" s="14" t="n">
        <f aca="true">$B$16+NORMINV(RAND(),0,SQRT($B$13*($B$7+$B$8^2))*$B$9*(1-$B$10))</f>
        <v>4030.73139462291</v>
      </c>
      <c r="R449" s="14" t="n">
        <f aca="false">$B$4-13*($B$5+$B$6)/30-IF($B$11&lt;=13,$B$12,0)+0</f>
        <v>8876.66666666667</v>
      </c>
      <c r="S449" s="14" t="n">
        <f aca="false">$B$4-27*($B$5+$B$6)/30-IF($B$11&lt;=27,$B$12,0)+L449</f>
        <v>10828.038575226</v>
      </c>
      <c r="T449" s="14" t="n">
        <f aca="false">$B$4-41*($B$5+$B$6)/30-IF($B$11&lt;=41,$B$12,0)+L449+M449</f>
        <v>1818.09610069132</v>
      </c>
      <c r="U449" s="14" t="n">
        <f aca="false">$B$4-55*($B$5+$B$6)/30-IF($B$11&lt;=55,$B$12,0)+L449+M449+N449</f>
        <v>3443.80407543995</v>
      </c>
      <c r="V449" s="14" t="n">
        <f aca="false">$B$4-69*($B$5+$B$6)/30-IF($B$11&lt;=69,$B$12,0)+L449+M449+N449+O449</f>
        <v>6103.57727489415</v>
      </c>
      <c r="W449" s="14" t="n">
        <f aca="false">$B$4-83*($B$5+$B$6)/30-IF($B$11&lt;=83,$B$12,0)+L449+M449+N449+O449+P449</f>
        <v>8343.03246132737</v>
      </c>
      <c r="X449" s="14" t="n">
        <f aca="false">$B$4-90*($B$5+$B$6)/30-IF($B$11&lt;=90,$B$12,0)+L449+M449+N449+O449+P449+Q449</f>
        <v>11230.4305226169</v>
      </c>
      <c r="AA449" s="14" t="n">
        <f aca="false">MIN(R449:X449)</f>
        <v>1818.09610069132</v>
      </c>
    </row>
    <row r="450" customFormat="false" ht="15" hidden="false" customHeight="false" outlineLevel="0" collapsed="false">
      <c r="K450" s="2" t="n">
        <v>445</v>
      </c>
      <c r="L450" s="14" t="n">
        <f aca="true">$B$16+NORMINV(RAND(),0,SQRT($B$13*($B$7+$B$8^2))*$B$9*(1-$B$10))</f>
        <v>3839.53456574175</v>
      </c>
      <c r="M450" s="14" t="n">
        <f aca="true">$B$16+NORMINV(RAND(),0,SQRT($B$13*($B$7+$B$8^2))*$B$9*(1-$B$10))</f>
        <v>4071.28813436553</v>
      </c>
      <c r="N450" s="14" t="n">
        <f aca="true">$B$16+NORMINV(RAND(),0,SQRT($B$13*($B$7+$B$8^2))*$B$9*(1-$B$10))</f>
        <v>4343.59355347594</v>
      </c>
      <c r="O450" s="14" t="n">
        <f aca="true">$B$16+NORMINV(RAND(),0,SQRT($B$13*($B$7+$B$8^2))*$B$9*(1-$B$10))</f>
        <v>4261.81785361566</v>
      </c>
      <c r="P450" s="14" t="n">
        <f aca="true">$B$16+NORMINV(RAND(),0,SQRT($B$13*($B$7+$B$8^2))*$B$9*(1-$B$10))</f>
        <v>4318.59127396411</v>
      </c>
      <c r="Q450" s="14" t="n">
        <f aca="true">$B$16+NORMINV(RAND(),0,SQRT($B$13*($B$7+$B$8^2))*$B$9*(1-$B$10))</f>
        <v>3657.14469456743</v>
      </c>
      <c r="R450" s="14" t="n">
        <f aca="false">$B$4-13*($B$5+$B$6)/30-IF($B$11&lt;=13,$B$12,0)+0</f>
        <v>8876.66666666667</v>
      </c>
      <c r="S450" s="14" t="n">
        <f aca="false">$B$4-27*($B$5+$B$6)/30-IF($B$11&lt;=27,$B$12,0)+L450</f>
        <v>10429.5345657417</v>
      </c>
      <c r="T450" s="14" t="n">
        <f aca="false">$B$4-41*($B$5+$B$6)/30-IF($B$11&lt;=41,$B$12,0)+L450+M450</f>
        <v>1029.35603344061</v>
      </c>
      <c r="U450" s="14" t="n">
        <f aca="false">$B$4-55*($B$5+$B$6)/30-IF($B$11&lt;=55,$B$12,0)+L450+M450+N450</f>
        <v>3086.28292024988</v>
      </c>
      <c r="V450" s="14" t="n">
        <f aca="false">$B$4-69*($B$5+$B$6)/30-IF($B$11&lt;=69,$B$12,0)+L450+M450+N450+O450</f>
        <v>5061.43410719887</v>
      </c>
      <c r="W450" s="14" t="n">
        <f aca="false">$B$4-83*($B$5+$B$6)/30-IF($B$11&lt;=83,$B$12,0)+L450+M450+N450+O450+P450</f>
        <v>7093.35871449631</v>
      </c>
      <c r="X450" s="14" t="n">
        <f aca="false">$B$4-90*($B$5+$B$6)/30-IF($B$11&lt;=90,$B$12,0)+L450+M450+N450+O450+P450+Q450</f>
        <v>9607.17007573041</v>
      </c>
      <c r="AA450" s="14" t="n">
        <f aca="false">MIN(R450:X450)</f>
        <v>1029.35603344061</v>
      </c>
    </row>
    <row r="451" customFormat="false" ht="15" hidden="false" customHeight="false" outlineLevel="0" collapsed="false">
      <c r="K451" s="2" t="n">
        <v>446</v>
      </c>
      <c r="L451" s="14" t="n">
        <f aca="true">$B$16+NORMINV(RAND(),0,SQRT($B$13*($B$7+$B$8^2))*$B$9*(1-$B$10))</f>
        <v>4316.76291502446</v>
      </c>
      <c r="M451" s="14" t="n">
        <f aca="true">$B$16+NORMINV(RAND(),0,SQRT($B$13*($B$7+$B$8^2))*$B$9*(1-$B$10))</f>
        <v>4319.5569907258</v>
      </c>
      <c r="N451" s="14" t="n">
        <f aca="true">$B$16+NORMINV(RAND(),0,SQRT($B$13*($B$7+$B$8^2))*$B$9*(1-$B$10))</f>
        <v>3837.68569506526</v>
      </c>
      <c r="O451" s="14" t="n">
        <f aca="true">$B$16+NORMINV(RAND(),0,SQRT($B$13*($B$7+$B$8^2))*$B$9*(1-$B$10))</f>
        <v>4055.84263243255</v>
      </c>
      <c r="P451" s="14" t="n">
        <f aca="true">$B$16+NORMINV(RAND(),0,SQRT($B$13*($B$7+$B$8^2))*$B$9*(1-$B$10))</f>
        <v>4457.57087277932</v>
      </c>
      <c r="Q451" s="14" t="n">
        <f aca="true">$B$16+NORMINV(RAND(),0,SQRT($B$13*($B$7+$B$8^2))*$B$9*(1-$B$10))</f>
        <v>3707.97458442688</v>
      </c>
      <c r="R451" s="14" t="n">
        <f aca="false">$B$4-13*($B$5+$B$6)/30-IF($B$11&lt;=13,$B$12,0)+0</f>
        <v>8876.66666666667</v>
      </c>
      <c r="S451" s="14" t="n">
        <f aca="false">$B$4-27*($B$5+$B$6)/30-IF($B$11&lt;=27,$B$12,0)+L451</f>
        <v>10906.7629150245</v>
      </c>
      <c r="T451" s="14" t="n">
        <f aca="false">$B$4-41*($B$5+$B$6)/30-IF($B$11&lt;=41,$B$12,0)+L451+M451</f>
        <v>1754.85323908359</v>
      </c>
      <c r="U451" s="14" t="n">
        <f aca="false">$B$4-55*($B$5+$B$6)/30-IF($B$11&lt;=55,$B$12,0)+L451+M451+N451</f>
        <v>3305.87226748219</v>
      </c>
      <c r="V451" s="14" t="n">
        <f aca="false">$B$4-69*($B$5+$B$6)/30-IF($B$11&lt;=69,$B$12,0)+L451+M451+N451+O451</f>
        <v>5075.04823324807</v>
      </c>
      <c r="W451" s="14" t="n">
        <f aca="false">$B$4-83*($B$5+$B$6)/30-IF($B$11&lt;=83,$B$12,0)+L451+M451+N451+O451+P451</f>
        <v>7245.95243936072</v>
      </c>
      <c r="X451" s="14" t="n">
        <f aca="false">$B$4-90*($B$5+$B$6)/30-IF($B$11&lt;=90,$B$12,0)+L451+M451+N451+O451+P451+Q451</f>
        <v>9810.59369045427</v>
      </c>
      <c r="AA451" s="14" t="n">
        <f aca="false">MIN(R451:X451)</f>
        <v>1754.85323908359</v>
      </c>
    </row>
    <row r="452" customFormat="false" ht="15" hidden="false" customHeight="false" outlineLevel="0" collapsed="false">
      <c r="K452" s="2" t="n">
        <v>447</v>
      </c>
      <c r="L452" s="14" t="n">
        <f aca="true">$B$16+NORMINV(RAND(),0,SQRT($B$13*($B$7+$B$8^2))*$B$9*(1-$B$10))</f>
        <v>4324.83770253371</v>
      </c>
      <c r="M452" s="14" t="n">
        <f aca="true">$B$16+NORMINV(RAND(),0,SQRT($B$13*($B$7+$B$8^2))*$B$9*(1-$B$10))</f>
        <v>3978.97496482034</v>
      </c>
      <c r="N452" s="14" t="n">
        <f aca="true">$B$16+NORMINV(RAND(),0,SQRT($B$13*($B$7+$B$8^2))*$B$9*(1-$B$10))</f>
        <v>4133.65878787306</v>
      </c>
      <c r="O452" s="14" t="n">
        <f aca="true">$B$16+NORMINV(RAND(),0,SQRT($B$13*($B$7+$B$8^2))*$B$9*(1-$B$10))</f>
        <v>4912.22000976472</v>
      </c>
      <c r="P452" s="14" t="n">
        <f aca="true">$B$16+NORMINV(RAND(),0,SQRT($B$13*($B$7+$B$8^2))*$B$9*(1-$B$10))</f>
        <v>4190.31144043459</v>
      </c>
      <c r="Q452" s="14" t="n">
        <f aca="true">$B$16+NORMINV(RAND(),0,SQRT($B$13*($B$7+$B$8^2))*$B$9*(1-$B$10))</f>
        <v>4812.30052278996</v>
      </c>
      <c r="R452" s="14" t="n">
        <f aca="false">$B$4-13*($B$5+$B$6)/30-IF($B$11&lt;=13,$B$12,0)+0</f>
        <v>8876.66666666667</v>
      </c>
      <c r="S452" s="14" t="n">
        <f aca="false">$B$4-27*($B$5+$B$6)/30-IF($B$11&lt;=27,$B$12,0)+L452</f>
        <v>10914.8377025337</v>
      </c>
      <c r="T452" s="14" t="n">
        <f aca="false">$B$4-41*($B$5+$B$6)/30-IF($B$11&lt;=41,$B$12,0)+L452+M452</f>
        <v>1422.34600068739</v>
      </c>
      <c r="U452" s="14" t="n">
        <f aca="false">$B$4-55*($B$5+$B$6)/30-IF($B$11&lt;=55,$B$12,0)+L452+M452+N452</f>
        <v>3269.33812189378</v>
      </c>
      <c r="V452" s="14" t="n">
        <f aca="false">$B$4-69*($B$5+$B$6)/30-IF($B$11&lt;=69,$B$12,0)+L452+M452+N452+O452</f>
        <v>5894.89146499183</v>
      </c>
      <c r="W452" s="14" t="n">
        <f aca="false">$B$4-83*($B$5+$B$6)/30-IF($B$11&lt;=83,$B$12,0)+L452+M452+N452+O452+P452</f>
        <v>7798.53623875975</v>
      </c>
      <c r="X452" s="14" t="n">
        <f aca="false">$B$4-90*($B$5+$B$6)/30-IF($B$11&lt;=90,$B$12,0)+L452+M452+N452+O452+P452+Q452</f>
        <v>11467.5034282164</v>
      </c>
      <c r="AA452" s="14" t="n">
        <f aca="false">MIN(R452:X452)</f>
        <v>1422.34600068739</v>
      </c>
    </row>
    <row r="453" customFormat="false" ht="15" hidden="false" customHeight="false" outlineLevel="0" collapsed="false">
      <c r="K453" s="2" t="n">
        <v>448</v>
      </c>
      <c r="L453" s="14" t="n">
        <f aca="true">$B$16+NORMINV(RAND(),0,SQRT($B$13*($B$7+$B$8^2))*$B$9*(1-$B$10))</f>
        <v>3922.76383215558</v>
      </c>
      <c r="M453" s="14" t="n">
        <f aca="true">$B$16+NORMINV(RAND(),0,SQRT($B$13*($B$7+$B$8^2))*$B$9*(1-$B$10))</f>
        <v>4303.51482984326</v>
      </c>
      <c r="N453" s="14" t="n">
        <f aca="true">$B$16+NORMINV(RAND(),0,SQRT($B$13*($B$7+$B$8^2))*$B$9*(1-$B$10))</f>
        <v>4366.04030431839</v>
      </c>
      <c r="O453" s="14" t="n">
        <f aca="true">$B$16+NORMINV(RAND(),0,SQRT($B$13*($B$7+$B$8^2))*$B$9*(1-$B$10))</f>
        <v>3829.59011695254</v>
      </c>
      <c r="P453" s="14" t="n">
        <f aca="true">$B$16+NORMINV(RAND(),0,SQRT($B$13*($B$7+$B$8^2))*$B$9*(1-$B$10))</f>
        <v>4277.98672429185</v>
      </c>
      <c r="Q453" s="14" t="n">
        <f aca="true">$B$16+NORMINV(RAND(),0,SQRT($B$13*($B$7+$B$8^2))*$B$9*(1-$B$10))</f>
        <v>4527.72883073211</v>
      </c>
      <c r="R453" s="14" t="n">
        <f aca="false">$B$4-13*($B$5+$B$6)/30-IF($B$11&lt;=13,$B$12,0)+0</f>
        <v>8876.66666666667</v>
      </c>
      <c r="S453" s="14" t="n">
        <f aca="false">$B$4-27*($B$5+$B$6)/30-IF($B$11&lt;=27,$B$12,0)+L453</f>
        <v>10512.7638321556</v>
      </c>
      <c r="T453" s="14" t="n">
        <f aca="false">$B$4-41*($B$5+$B$6)/30-IF($B$11&lt;=41,$B$12,0)+L453+M453</f>
        <v>1344.81199533218</v>
      </c>
      <c r="U453" s="14" t="n">
        <f aca="false">$B$4-55*($B$5+$B$6)/30-IF($B$11&lt;=55,$B$12,0)+L453+M453+N453</f>
        <v>3424.1856329839</v>
      </c>
      <c r="V453" s="14" t="n">
        <f aca="false">$B$4-69*($B$5+$B$6)/30-IF($B$11&lt;=69,$B$12,0)+L453+M453+N453+O453</f>
        <v>4967.10908326977</v>
      </c>
      <c r="W453" s="14" t="n">
        <f aca="false">$B$4-83*($B$5+$B$6)/30-IF($B$11&lt;=83,$B$12,0)+L453+M453+N453+O453+P453</f>
        <v>6958.42914089496</v>
      </c>
      <c r="X453" s="14" t="n">
        <f aca="false">$B$4-90*($B$5+$B$6)/30-IF($B$11&lt;=90,$B$12,0)+L453+M453+N453+O453+P453+Q453</f>
        <v>10342.8246382937</v>
      </c>
      <c r="AA453" s="14" t="n">
        <f aca="false">MIN(R453:X453)</f>
        <v>1344.81199533218</v>
      </c>
    </row>
    <row r="454" customFormat="false" ht="15" hidden="false" customHeight="false" outlineLevel="0" collapsed="false">
      <c r="K454" s="2" t="n">
        <v>449</v>
      </c>
      <c r="L454" s="14" t="n">
        <f aca="true">$B$16+NORMINV(RAND(),0,SQRT($B$13*($B$7+$B$8^2))*$B$9*(1-$B$10))</f>
        <v>4226.43191716752</v>
      </c>
      <c r="M454" s="14" t="n">
        <f aca="true">$B$16+NORMINV(RAND(),0,SQRT($B$13*($B$7+$B$8^2))*$B$9*(1-$B$10))</f>
        <v>3866.69213970497</v>
      </c>
      <c r="N454" s="14" t="n">
        <f aca="true">$B$16+NORMINV(RAND(),0,SQRT($B$13*($B$7+$B$8^2))*$B$9*(1-$B$10))</f>
        <v>4352.40281091106</v>
      </c>
      <c r="O454" s="14" t="n">
        <f aca="true">$B$16+NORMINV(RAND(),0,SQRT($B$13*($B$7+$B$8^2))*$B$9*(1-$B$10))</f>
        <v>3937.77707442782</v>
      </c>
      <c r="P454" s="14" t="n">
        <f aca="true">$B$16+NORMINV(RAND(),0,SQRT($B$13*($B$7+$B$8^2))*$B$9*(1-$B$10))</f>
        <v>4730.85110885626</v>
      </c>
      <c r="Q454" s="14" t="n">
        <f aca="true">$B$16+NORMINV(RAND(),0,SQRT($B$13*($B$7+$B$8^2))*$B$9*(1-$B$10))</f>
        <v>4439.4254447679</v>
      </c>
      <c r="R454" s="14" t="n">
        <f aca="false">$B$4-13*($B$5+$B$6)/30-IF($B$11&lt;=13,$B$12,0)+0</f>
        <v>8876.66666666667</v>
      </c>
      <c r="S454" s="14" t="n">
        <f aca="false">$B$4-27*($B$5+$B$6)/30-IF($B$11&lt;=27,$B$12,0)+L454</f>
        <v>10816.4319171675</v>
      </c>
      <c r="T454" s="14" t="n">
        <f aca="false">$B$4-41*($B$5+$B$6)/30-IF($B$11&lt;=41,$B$12,0)+L454+M454</f>
        <v>1211.65739020582</v>
      </c>
      <c r="U454" s="14" t="n">
        <f aca="false">$B$4-55*($B$5+$B$6)/30-IF($B$11&lt;=55,$B$12,0)+L454+M454+N454</f>
        <v>3277.39353445022</v>
      </c>
      <c r="V454" s="14" t="n">
        <f aca="false">$B$4-69*($B$5+$B$6)/30-IF($B$11&lt;=69,$B$12,0)+L454+M454+N454+O454</f>
        <v>4928.50394221137</v>
      </c>
      <c r="W454" s="14" t="n">
        <f aca="false">$B$4-83*($B$5+$B$6)/30-IF($B$11&lt;=83,$B$12,0)+L454+M454+N454+O454+P454</f>
        <v>7372.68838440097</v>
      </c>
      <c r="X454" s="14" t="n">
        <f aca="false">$B$4-90*($B$5+$B$6)/30-IF($B$11&lt;=90,$B$12,0)+L454+M454+N454+O454+P454+Q454</f>
        <v>10668.7804958355</v>
      </c>
      <c r="AA454" s="14" t="n">
        <f aca="false">MIN(R454:X454)</f>
        <v>1211.65739020582</v>
      </c>
    </row>
    <row r="455" customFormat="false" ht="15" hidden="false" customHeight="false" outlineLevel="0" collapsed="false">
      <c r="K455" s="2" t="n">
        <v>450</v>
      </c>
      <c r="L455" s="14" t="n">
        <f aca="true">$B$16+NORMINV(RAND(),0,SQRT($B$13*($B$7+$B$8^2))*$B$9*(1-$B$10))</f>
        <v>4092.98846861776</v>
      </c>
      <c r="M455" s="14" t="n">
        <f aca="true">$B$16+NORMINV(RAND(),0,SQRT($B$13*($B$7+$B$8^2))*$B$9*(1-$B$10))</f>
        <v>4391.29211998058</v>
      </c>
      <c r="N455" s="14" t="n">
        <f aca="true">$B$16+NORMINV(RAND(),0,SQRT($B$13*($B$7+$B$8^2))*$B$9*(1-$B$10))</f>
        <v>4275.92760312813</v>
      </c>
      <c r="O455" s="14" t="n">
        <f aca="true">$B$16+NORMINV(RAND(),0,SQRT($B$13*($B$7+$B$8^2))*$B$9*(1-$B$10))</f>
        <v>3175.28432525631</v>
      </c>
      <c r="P455" s="14" t="n">
        <f aca="true">$B$16+NORMINV(RAND(),0,SQRT($B$13*($B$7+$B$8^2))*$B$9*(1-$B$10))</f>
        <v>4110.55396240791</v>
      </c>
      <c r="Q455" s="14" t="n">
        <f aca="true">$B$16+NORMINV(RAND(),0,SQRT($B$13*($B$7+$B$8^2))*$B$9*(1-$B$10))</f>
        <v>3862.18639333852</v>
      </c>
      <c r="R455" s="14" t="n">
        <f aca="false">$B$4-13*($B$5+$B$6)/30-IF($B$11&lt;=13,$B$12,0)+0</f>
        <v>8876.66666666667</v>
      </c>
      <c r="S455" s="14" t="n">
        <f aca="false">$B$4-27*($B$5+$B$6)/30-IF($B$11&lt;=27,$B$12,0)+L455</f>
        <v>10682.9884686178</v>
      </c>
      <c r="T455" s="14" t="n">
        <f aca="false">$B$4-41*($B$5+$B$6)/30-IF($B$11&lt;=41,$B$12,0)+L455+M455</f>
        <v>1602.81392193167</v>
      </c>
      <c r="U455" s="14" t="n">
        <f aca="false">$B$4-55*($B$5+$B$6)/30-IF($B$11&lt;=55,$B$12,0)+L455+M455+N455</f>
        <v>3592.07485839313</v>
      </c>
      <c r="V455" s="14" t="n">
        <f aca="false">$B$4-69*($B$5+$B$6)/30-IF($B$11&lt;=69,$B$12,0)+L455+M455+N455+O455</f>
        <v>4480.69251698277</v>
      </c>
      <c r="W455" s="14" t="n">
        <f aca="false">$B$4-83*($B$5+$B$6)/30-IF($B$11&lt;=83,$B$12,0)+L455+M455+N455+O455+P455</f>
        <v>6304.57981272401</v>
      </c>
      <c r="X455" s="14" t="n">
        <f aca="false">$B$4-90*($B$5+$B$6)/30-IF($B$11&lt;=90,$B$12,0)+L455+M455+N455+O455+P455+Q455</f>
        <v>9023.43287272919</v>
      </c>
      <c r="AA455" s="14" t="n">
        <f aca="false">MIN(R455:X455)</f>
        <v>1602.81392193167</v>
      </c>
    </row>
    <row r="456" customFormat="false" ht="15" hidden="false" customHeight="false" outlineLevel="0" collapsed="false">
      <c r="K456" s="2" t="n">
        <v>451</v>
      </c>
      <c r="L456" s="14" t="n">
        <f aca="true">$B$16+NORMINV(RAND(),0,SQRT($B$13*($B$7+$B$8^2))*$B$9*(1-$B$10))</f>
        <v>3734.47111474756</v>
      </c>
      <c r="M456" s="14" t="n">
        <f aca="true">$B$16+NORMINV(RAND(),0,SQRT($B$13*($B$7+$B$8^2))*$B$9*(1-$B$10))</f>
        <v>4396.17163279061</v>
      </c>
      <c r="N456" s="14" t="n">
        <f aca="true">$B$16+NORMINV(RAND(),0,SQRT($B$13*($B$7+$B$8^2))*$B$9*(1-$B$10))</f>
        <v>4210.77115498489</v>
      </c>
      <c r="O456" s="14" t="n">
        <f aca="true">$B$16+NORMINV(RAND(),0,SQRT($B$13*($B$7+$B$8^2))*$B$9*(1-$B$10))</f>
        <v>3862.64922474193</v>
      </c>
      <c r="P456" s="14" t="n">
        <f aca="true">$B$16+NORMINV(RAND(),0,SQRT($B$13*($B$7+$B$8^2))*$B$9*(1-$B$10))</f>
        <v>3864.55226438373</v>
      </c>
      <c r="Q456" s="14" t="n">
        <f aca="true">$B$16+NORMINV(RAND(),0,SQRT($B$13*($B$7+$B$8^2))*$B$9*(1-$B$10))</f>
        <v>4572.56864294119</v>
      </c>
      <c r="R456" s="14" t="n">
        <f aca="false">$B$4-13*($B$5+$B$6)/30-IF($B$11&lt;=13,$B$12,0)+0</f>
        <v>8876.66666666667</v>
      </c>
      <c r="S456" s="14" t="n">
        <f aca="false">$B$4-27*($B$5+$B$6)/30-IF($B$11&lt;=27,$B$12,0)+L456</f>
        <v>10324.4711147476</v>
      </c>
      <c r="T456" s="14" t="n">
        <f aca="false">$B$4-41*($B$5+$B$6)/30-IF($B$11&lt;=41,$B$12,0)+L456+M456</f>
        <v>1249.17608087151</v>
      </c>
      <c r="U456" s="14" t="n">
        <f aca="false">$B$4-55*($B$5+$B$6)/30-IF($B$11&lt;=55,$B$12,0)+L456+M456+N456</f>
        <v>3173.28056918973</v>
      </c>
      <c r="V456" s="14" t="n">
        <f aca="false">$B$4-69*($B$5+$B$6)/30-IF($B$11&lt;=69,$B$12,0)+L456+M456+N456+O456</f>
        <v>4749.263127265</v>
      </c>
      <c r="W456" s="14" t="n">
        <f aca="false">$B$4-83*($B$5+$B$6)/30-IF($B$11&lt;=83,$B$12,0)+L456+M456+N456+O456+P456</f>
        <v>6327.14872498206</v>
      </c>
      <c r="X456" s="14" t="n">
        <f aca="false">$B$4-90*($B$5+$B$6)/30-IF($B$11&lt;=90,$B$12,0)+L456+M456+N456+O456+P456+Q456</f>
        <v>9756.38403458992</v>
      </c>
      <c r="AA456" s="14" t="n">
        <f aca="false">MIN(R456:X456)</f>
        <v>1249.17608087151</v>
      </c>
    </row>
    <row r="457" customFormat="false" ht="15" hidden="false" customHeight="false" outlineLevel="0" collapsed="false">
      <c r="K457" s="2" t="n">
        <v>452</v>
      </c>
      <c r="L457" s="14" t="n">
        <f aca="true">$B$16+NORMINV(RAND(),0,SQRT($B$13*($B$7+$B$8^2))*$B$9*(1-$B$10))</f>
        <v>4458.12519319699</v>
      </c>
      <c r="M457" s="14" t="n">
        <f aca="true">$B$16+NORMINV(RAND(),0,SQRT($B$13*($B$7+$B$8^2))*$B$9*(1-$B$10))</f>
        <v>3957.8692037756</v>
      </c>
      <c r="N457" s="14" t="n">
        <f aca="true">$B$16+NORMINV(RAND(),0,SQRT($B$13*($B$7+$B$8^2))*$B$9*(1-$B$10))</f>
        <v>4265.19898593868</v>
      </c>
      <c r="O457" s="14" t="n">
        <f aca="true">$B$16+NORMINV(RAND(),0,SQRT($B$13*($B$7+$B$8^2))*$B$9*(1-$B$10))</f>
        <v>3830.06378395391</v>
      </c>
      <c r="P457" s="14" t="n">
        <f aca="true">$B$16+NORMINV(RAND(),0,SQRT($B$13*($B$7+$B$8^2))*$B$9*(1-$B$10))</f>
        <v>3998.1941226404</v>
      </c>
      <c r="Q457" s="14" t="n">
        <f aca="true">$B$16+NORMINV(RAND(),0,SQRT($B$13*($B$7+$B$8^2))*$B$9*(1-$B$10))</f>
        <v>3701.42031329565</v>
      </c>
      <c r="R457" s="14" t="n">
        <f aca="false">$B$4-13*($B$5+$B$6)/30-IF($B$11&lt;=13,$B$12,0)+0</f>
        <v>8876.66666666667</v>
      </c>
      <c r="S457" s="14" t="n">
        <f aca="false">$B$4-27*($B$5+$B$6)/30-IF($B$11&lt;=27,$B$12,0)+L457</f>
        <v>11048.125193197</v>
      </c>
      <c r="T457" s="14" t="n">
        <f aca="false">$B$4-41*($B$5+$B$6)/30-IF($B$11&lt;=41,$B$12,0)+L457+M457</f>
        <v>1534.52773030593</v>
      </c>
      <c r="U457" s="14" t="n">
        <f aca="false">$B$4-55*($B$5+$B$6)/30-IF($B$11&lt;=55,$B$12,0)+L457+M457+N457</f>
        <v>3513.06004957794</v>
      </c>
      <c r="V457" s="14" t="n">
        <f aca="false">$B$4-69*($B$5+$B$6)/30-IF($B$11&lt;=69,$B$12,0)+L457+M457+N457+O457</f>
        <v>5056.45716686518</v>
      </c>
      <c r="W457" s="14" t="n">
        <f aca="false">$B$4-83*($B$5+$B$6)/30-IF($B$11&lt;=83,$B$12,0)+L457+M457+N457+O457+P457</f>
        <v>6767.98462283891</v>
      </c>
      <c r="X457" s="14" t="n">
        <f aca="false">$B$4-90*($B$5+$B$6)/30-IF($B$11&lt;=90,$B$12,0)+L457+M457+N457+O457+P457+Q457</f>
        <v>9326.07160280123</v>
      </c>
      <c r="AA457" s="14" t="n">
        <f aca="false">MIN(R457:X457)</f>
        <v>1534.52773030593</v>
      </c>
    </row>
    <row r="458" customFormat="false" ht="15" hidden="false" customHeight="false" outlineLevel="0" collapsed="false">
      <c r="K458" s="2" t="n">
        <v>453</v>
      </c>
      <c r="L458" s="14" t="n">
        <f aca="true">$B$16+NORMINV(RAND(),0,SQRT($B$13*($B$7+$B$8^2))*$B$9*(1-$B$10))</f>
        <v>3925.09764663708</v>
      </c>
      <c r="M458" s="14" t="n">
        <f aca="true">$B$16+NORMINV(RAND(),0,SQRT($B$13*($B$7+$B$8^2))*$B$9*(1-$B$10))</f>
        <v>3969.32308593628</v>
      </c>
      <c r="N458" s="14" t="n">
        <f aca="true">$B$16+NORMINV(RAND(),0,SQRT($B$13*($B$7+$B$8^2))*$B$9*(1-$B$10))</f>
        <v>3776.04220484914</v>
      </c>
      <c r="O458" s="14" t="n">
        <f aca="true">$B$16+NORMINV(RAND(),0,SQRT($B$13*($B$7+$B$8^2))*$B$9*(1-$B$10))</f>
        <v>3823.48308360804</v>
      </c>
      <c r="P458" s="14" t="n">
        <f aca="true">$B$16+NORMINV(RAND(),0,SQRT($B$13*($B$7+$B$8^2))*$B$9*(1-$B$10))</f>
        <v>3813.89869120622</v>
      </c>
      <c r="Q458" s="14" t="n">
        <f aca="true">$B$16+NORMINV(RAND(),0,SQRT($B$13*($B$7+$B$8^2))*$B$9*(1-$B$10))</f>
        <v>4031.70546737136</v>
      </c>
      <c r="R458" s="14" t="n">
        <f aca="false">$B$4-13*($B$5+$B$6)/30-IF($B$11&lt;=13,$B$12,0)+0</f>
        <v>8876.66666666667</v>
      </c>
      <c r="S458" s="14" t="n">
        <f aca="false">$B$4-27*($B$5+$B$6)/30-IF($B$11&lt;=27,$B$12,0)+L458</f>
        <v>10515.0976466371</v>
      </c>
      <c r="T458" s="14" t="n">
        <f aca="false">$B$4-41*($B$5+$B$6)/30-IF($B$11&lt;=41,$B$12,0)+L458+M458</f>
        <v>1012.95406590669</v>
      </c>
      <c r="U458" s="14" t="n">
        <f aca="false">$B$4-55*($B$5+$B$6)/30-IF($B$11&lt;=55,$B$12,0)+L458+M458+N458</f>
        <v>2502.32960408917</v>
      </c>
      <c r="V458" s="14" t="n">
        <f aca="false">$B$4-69*($B$5+$B$6)/30-IF($B$11&lt;=69,$B$12,0)+L458+M458+N458+O458</f>
        <v>4039.14602103054</v>
      </c>
      <c r="W458" s="14" t="n">
        <f aca="false">$B$4-83*($B$5+$B$6)/30-IF($B$11&lt;=83,$B$12,0)+L458+M458+N458+O458+P458</f>
        <v>5566.37804557009</v>
      </c>
      <c r="X458" s="14" t="n">
        <f aca="false">$B$4-90*($B$5+$B$6)/30-IF($B$11&lt;=90,$B$12,0)+L458+M458+N458+O458+P458+Q458</f>
        <v>8454.75017960812</v>
      </c>
      <c r="AA458" s="14" t="n">
        <f aca="false">MIN(R458:X458)</f>
        <v>1012.95406590669</v>
      </c>
    </row>
    <row r="459" customFormat="false" ht="15" hidden="false" customHeight="false" outlineLevel="0" collapsed="false">
      <c r="K459" s="2" t="n">
        <v>454</v>
      </c>
      <c r="L459" s="14" t="n">
        <f aca="true">$B$16+NORMINV(RAND(),0,SQRT($B$13*($B$7+$B$8^2))*$B$9*(1-$B$10))</f>
        <v>4097.48209652631</v>
      </c>
      <c r="M459" s="14" t="n">
        <f aca="true">$B$16+NORMINV(RAND(),0,SQRT($B$13*($B$7+$B$8^2))*$B$9*(1-$B$10))</f>
        <v>4153.68578538445</v>
      </c>
      <c r="N459" s="14" t="n">
        <f aca="true">$B$16+NORMINV(RAND(),0,SQRT($B$13*($B$7+$B$8^2))*$B$9*(1-$B$10))</f>
        <v>4681.04220382989</v>
      </c>
      <c r="O459" s="14" t="n">
        <f aca="true">$B$16+NORMINV(RAND(),0,SQRT($B$13*($B$7+$B$8^2))*$B$9*(1-$B$10))</f>
        <v>3788.18070596124</v>
      </c>
      <c r="P459" s="14" t="n">
        <f aca="true">$B$16+NORMINV(RAND(),0,SQRT($B$13*($B$7+$B$8^2))*$B$9*(1-$B$10))</f>
        <v>4325.43058764349</v>
      </c>
      <c r="Q459" s="14" t="n">
        <f aca="true">$B$16+NORMINV(RAND(),0,SQRT($B$13*($B$7+$B$8^2))*$B$9*(1-$B$10))</f>
        <v>4571.99312309599</v>
      </c>
      <c r="R459" s="14" t="n">
        <f aca="false">$B$4-13*($B$5+$B$6)/30-IF($B$11&lt;=13,$B$12,0)+0</f>
        <v>8876.66666666667</v>
      </c>
      <c r="S459" s="14" t="n">
        <f aca="false">$B$4-27*($B$5+$B$6)/30-IF($B$11&lt;=27,$B$12,0)+L459</f>
        <v>10687.4820965263</v>
      </c>
      <c r="T459" s="14" t="n">
        <f aca="false">$B$4-41*($B$5+$B$6)/30-IF($B$11&lt;=41,$B$12,0)+L459+M459</f>
        <v>1369.70121524409</v>
      </c>
      <c r="U459" s="14" t="n">
        <f aca="false">$B$4-55*($B$5+$B$6)/30-IF($B$11&lt;=55,$B$12,0)+L459+M459+N459</f>
        <v>3764.07675240731</v>
      </c>
      <c r="V459" s="14" t="n">
        <f aca="false">$B$4-69*($B$5+$B$6)/30-IF($B$11&lt;=69,$B$12,0)+L459+M459+N459+O459</f>
        <v>5265.59079170188</v>
      </c>
      <c r="W459" s="14" t="n">
        <f aca="false">$B$4-83*($B$5+$B$6)/30-IF($B$11&lt;=83,$B$12,0)+L459+M459+N459+O459+P459</f>
        <v>7304.35471267871</v>
      </c>
      <c r="X459" s="14" t="n">
        <f aca="false">$B$4-90*($B$5+$B$6)/30-IF($B$11&lt;=90,$B$12,0)+L459+M459+N459+O459+P459+Q459</f>
        <v>10733.0145024414</v>
      </c>
      <c r="AA459" s="14" t="n">
        <f aca="false">MIN(R459:X459)</f>
        <v>1369.70121524409</v>
      </c>
    </row>
    <row r="460" customFormat="false" ht="15" hidden="false" customHeight="false" outlineLevel="0" collapsed="false">
      <c r="K460" s="2" t="n">
        <v>455</v>
      </c>
      <c r="L460" s="14" t="n">
        <f aca="true">$B$16+NORMINV(RAND(),0,SQRT($B$13*($B$7+$B$8^2))*$B$9*(1-$B$10))</f>
        <v>4164.42349415272</v>
      </c>
      <c r="M460" s="14" t="n">
        <f aca="true">$B$16+NORMINV(RAND(),0,SQRT($B$13*($B$7+$B$8^2))*$B$9*(1-$B$10))</f>
        <v>4568.67398567567</v>
      </c>
      <c r="N460" s="14" t="n">
        <f aca="true">$B$16+NORMINV(RAND(),0,SQRT($B$13*($B$7+$B$8^2))*$B$9*(1-$B$10))</f>
        <v>4138.83516509489</v>
      </c>
      <c r="O460" s="14" t="n">
        <f aca="true">$B$16+NORMINV(RAND(),0,SQRT($B$13*($B$7+$B$8^2))*$B$9*(1-$B$10))</f>
        <v>4068.96928115051</v>
      </c>
      <c r="P460" s="14" t="n">
        <f aca="true">$B$16+NORMINV(RAND(),0,SQRT($B$13*($B$7+$B$8^2))*$B$9*(1-$B$10))</f>
        <v>3247.19959676371</v>
      </c>
      <c r="Q460" s="14" t="n">
        <f aca="true">$B$16+NORMINV(RAND(),0,SQRT($B$13*($B$7+$B$8^2))*$B$9*(1-$B$10))</f>
        <v>3929.73898810604</v>
      </c>
      <c r="R460" s="14" t="n">
        <f aca="false">$B$4-13*($B$5+$B$6)/30-IF($B$11&lt;=13,$B$12,0)+0</f>
        <v>8876.66666666667</v>
      </c>
      <c r="S460" s="14" t="n">
        <f aca="false">$B$4-27*($B$5+$B$6)/30-IF($B$11&lt;=27,$B$12,0)+L460</f>
        <v>10754.4234941527</v>
      </c>
      <c r="T460" s="14" t="n">
        <f aca="false">$B$4-41*($B$5+$B$6)/30-IF($B$11&lt;=41,$B$12,0)+L460+M460</f>
        <v>1851.63081316172</v>
      </c>
      <c r="U460" s="14" t="n">
        <f aca="false">$B$4-55*($B$5+$B$6)/30-IF($B$11&lt;=55,$B$12,0)+L460+M460+N460</f>
        <v>3703.79931158994</v>
      </c>
      <c r="V460" s="14" t="n">
        <f aca="false">$B$4-69*($B$5+$B$6)/30-IF($B$11&lt;=69,$B$12,0)+L460+M460+N460+O460</f>
        <v>5486.10192607379</v>
      </c>
      <c r="W460" s="14" t="n">
        <f aca="false">$B$4-83*($B$5+$B$6)/30-IF($B$11&lt;=83,$B$12,0)+L460+M460+N460+O460+P460</f>
        <v>6446.63485617083</v>
      </c>
      <c r="X460" s="14" t="n">
        <f aca="false">$B$4-90*($B$5+$B$6)/30-IF($B$11&lt;=90,$B$12,0)+L460+M460+N460+O460+P460+Q460</f>
        <v>9233.04051094354</v>
      </c>
      <c r="AA460" s="14" t="n">
        <f aca="false">MIN(R460:X460)</f>
        <v>1851.63081316172</v>
      </c>
    </row>
    <row r="461" customFormat="false" ht="15" hidden="false" customHeight="false" outlineLevel="0" collapsed="false">
      <c r="K461" s="2" t="n">
        <v>456</v>
      </c>
      <c r="L461" s="14" t="n">
        <f aca="true">$B$16+NORMINV(RAND(),0,SQRT($B$13*($B$7+$B$8^2))*$B$9*(1-$B$10))</f>
        <v>4662.09808423526</v>
      </c>
      <c r="M461" s="14" t="n">
        <f aca="true">$B$16+NORMINV(RAND(),0,SQRT($B$13*($B$7+$B$8^2))*$B$9*(1-$B$10))</f>
        <v>3892.4642984471</v>
      </c>
      <c r="N461" s="14" t="n">
        <f aca="true">$B$16+NORMINV(RAND(),0,SQRT($B$13*($B$7+$B$8^2))*$B$9*(1-$B$10))</f>
        <v>4482.8668240616</v>
      </c>
      <c r="O461" s="14" t="n">
        <f aca="true">$B$16+NORMINV(RAND(),0,SQRT($B$13*($B$7+$B$8^2))*$B$9*(1-$B$10))</f>
        <v>4458.27809856679</v>
      </c>
      <c r="P461" s="14" t="n">
        <f aca="true">$B$16+NORMINV(RAND(),0,SQRT($B$13*($B$7+$B$8^2))*$B$9*(1-$B$10))</f>
        <v>4388.59702678668</v>
      </c>
      <c r="Q461" s="14" t="n">
        <f aca="true">$B$16+NORMINV(RAND(),0,SQRT($B$13*($B$7+$B$8^2))*$B$9*(1-$B$10))</f>
        <v>4382.15874554355</v>
      </c>
      <c r="R461" s="14" t="n">
        <f aca="false">$B$4-13*($B$5+$B$6)/30-IF($B$11&lt;=13,$B$12,0)+0</f>
        <v>8876.66666666667</v>
      </c>
      <c r="S461" s="14" t="n">
        <f aca="false">$B$4-27*($B$5+$B$6)/30-IF($B$11&lt;=27,$B$12,0)+L461</f>
        <v>11252.0980842353</v>
      </c>
      <c r="T461" s="14" t="n">
        <f aca="false">$B$4-41*($B$5+$B$6)/30-IF($B$11&lt;=41,$B$12,0)+L461+M461</f>
        <v>1673.09571601569</v>
      </c>
      <c r="U461" s="14" t="n">
        <f aca="false">$B$4-55*($B$5+$B$6)/30-IF($B$11&lt;=55,$B$12,0)+L461+M461+N461</f>
        <v>3869.29587341062</v>
      </c>
      <c r="V461" s="14" t="n">
        <f aca="false">$B$4-69*($B$5+$B$6)/30-IF($B$11&lt;=69,$B$12,0)+L461+M461+N461+O461</f>
        <v>6040.90730531075</v>
      </c>
      <c r="W461" s="14" t="n">
        <f aca="false">$B$4-83*($B$5+$B$6)/30-IF($B$11&lt;=83,$B$12,0)+L461+M461+N461+O461+P461</f>
        <v>8142.83766543076</v>
      </c>
      <c r="X461" s="14" t="n">
        <f aca="false">$B$4-90*($B$5+$B$6)/30-IF($B$11&lt;=90,$B$12,0)+L461+M461+N461+O461+P461+Q461</f>
        <v>11381.663077641</v>
      </c>
      <c r="AA461" s="14" t="n">
        <f aca="false">MIN(R461:X461)</f>
        <v>1673.09571601569</v>
      </c>
    </row>
    <row r="462" customFormat="false" ht="15" hidden="false" customHeight="false" outlineLevel="0" collapsed="false">
      <c r="K462" s="2" t="n">
        <v>457</v>
      </c>
      <c r="L462" s="14" t="n">
        <f aca="true">$B$16+NORMINV(RAND(),0,SQRT($B$13*($B$7+$B$8^2))*$B$9*(1-$B$10))</f>
        <v>4092.75139084761</v>
      </c>
      <c r="M462" s="14" t="n">
        <f aca="true">$B$16+NORMINV(RAND(),0,SQRT($B$13*($B$7+$B$8^2))*$B$9*(1-$B$10))</f>
        <v>3773.74238785839</v>
      </c>
      <c r="N462" s="14" t="n">
        <f aca="true">$B$16+NORMINV(RAND(),0,SQRT($B$13*($B$7+$B$8^2))*$B$9*(1-$B$10))</f>
        <v>3436.40382059565</v>
      </c>
      <c r="O462" s="14" t="n">
        <f aca="true">$B$16+NORMINV(RAND(),0,SQRT($B$13*($B$7+$B$8^2))*$B$9*(1-$B$10))</f>
        <v>4063.79522543565</v>
      </c>
      <c r="P462" s="14" t="n">
        <f aca="true">$B$16+NORMINV(RAND(),0,SQRT($B$13*($B$7+$B$8^2))*$B$9*(1-$B$10))</f>
        <v>3705.36241018743</v>
      </c>
      <c r="Q462" s="14" t="n">
        <f aca="true">$B$16+NORMINV(RAND(),0,SQRT($B$13*($B$7+$B$8^2))*$B$9*(1-$B$10))</f>
        <v>4102.40043590136</v>
      </c>
      <c r="R462" s="14" t="n">
        <f aca="false">$B$4-13*($B$5+$B$6)/30-IF($B$11&lt;=13,$B$12,0)+0</f>
        <v>8876.66666666667</v>
      </c>
      <c r="S462" s="14" t="n">
        <f aca="false">$B$4-27*($B$5+$B$6)/30-IF($B$11&lt;=27,$B$12,0)+L462</f>
        <v>10682.7513908476</v>
      </c>
      <c r="T462" s="14" t="n">
        <f aca="false">$B$4-41*($B$5+$B$6)/30-IF($B$11&lt;=41,$B$12,0)+L462+M462</f>
        <v>985.02711203933</v>
      </c>
      <c r="U462" s="14" t="n">
        <f aca="false">$B$4-55*($B$5+$B$6)/30-IF($B$11&lt;=55,$B$12,0)+L462+M462+N462</f>
        <v>2134.76426596832</v>
      </c>
      <c r="V462" s="14" t="n">
        <f aca="false">$B$4-69*($B$5+$B$6)/30-IF($B$11&lt;=69,$B$12,0)+L462+M462+N462+O462</f>
        <v>3911.8928247373</v>
      </c>
      <c r="W462" s="14" t="n">
        <f aca="false">$B$4-83*($B$5+$B$6)/30-IF($B$11&lt;=83,$B$12,0)+L462+M462+N462+O462+P462</f>
        <v>5330.58856825806</v>
      </c>
      <c r="X462" s="14" t="n">
        <f aca="false">$B$4-90*($B$5+$B$6)/30-IF($B$11&lt;=90,$B$12,0)+L462+M462+N462+O462+P462+Q462</f>
        <v>8289.65567082609</v>
      </c>
      <c r="AA462" s="14" t="n">
        <f aca="false">MIN(R462:X462)</f>
        <v>985.02711203933</v>
      </c>
    </row>
    <row r="463" customFormat="false" ht="15" hidden="false" customHeight="false" outlineLevel="0" collapsed="false">
      <c r="K463" s="2" t="n">
        <v>458</v>
      </c>
      <c r="L463" s="14" t="n">
        <f aca="true">$B$16+NORMINV(RAND(),0,SQRT($B$13*($B$7+$B$8^2))*$B$9*(1-$B$10))</f>
        <v>4115.86603428823</v>
      </c>
      <c r="M463" s="14" t="n">
        <f aca="true">$B$16+NORMINV(RAND(),0,SQRT($B$13*($B$7+$B$8^2))*$B$9*(1-$B$10))</f>
        <v>3979.67819136853</v>
      </c>
      <c r="N463" s="14" t="n">
        <f aca="true">$B$16+NORMINV(RAND(),0,SQRT($B$13*($B$7+$B$8^2))*$B$9*(1-$B$10))</f>
        <v>3667.28802113679</v>
      </c>
      <c r="O463" s="14" t="n">
        <f aca="true">$B$16+NORMINV(RAND(),0,SQRT($B$13*($B$7+$B$8^2))*$B$9*(1-$B$10))</f>
        <v>3953.62340656431</v>
      </c>
      <c r="P463" s="14" t="n">
        <f aca="true">$B$16+NORMINV(RAND(),0,SQRT($B$13*($B$7+$B$8^2))*$B$9*(1-$B$10))</f>
        <v>4344.57762839463</v>
      </c>
      <c r="Q463" s="14" t="n">
        <f aca="true">$B$16+NORMINV(RAND(),0,SQRT($B$13*($B$7+$B$8^2))*$B$9*(1-$B$10))</f>
        <v>3814.72232337332</v>
      </c>
      <c r="R463" s="14" t="n">
        <f aca="false">$B$4-13*($B$5+$B$6)/30-IF($B$11&lt;=13,$B$12,0)+0</f>
        <v>8876.66666666667</v>
      </c>
      <c r="S463" s="14" t="n">
        <f aca="false">$B$4-27*($B$5+$B$6)/30-IF($B$11&lt;=27,$B$12,0)+L463</f>
        <v>10705.8660342882</v>
      </c>
      <c r="T463" s="14" t="n">
        <f aca="false">$B$4-41*($B$5+$B$6)/30-IF($B$11&lt;=41,$B$12,0)+L463+M463</f>
        <v>1214.07755899009</v>
      </c>
      <c r="U463" s="14" t="n">
        <f aca="false">$B$4-55*($B$5+$B$6)/30-IF($B$11&lt;=55,$B$12,0)+L463+M463+N463</f>
        <v>2594.69891346022</v>
      </c>
      <c r="V463" s="14" t="n">
        <f aca="false">$B$4-69*($B$5+$B$6)/30-IF($B$11&lt;=69,$B$12,0)+L463+M463+N463+O463</f>
        <v>4261.65565335786</v>
      </c>
      <c r="W463" s="14" t="n">
        <f aca="false">$B$4-83*($B$5+$B$6)/30-IF($B$11&lt;=83,$B$12,0)+L463+M463+N463+O463+P463</f>
        <v>6319.56661508583</v>
      </c>
      <c r="X463" s="14" t="n">
        <f aca="false">$B$4-90*($B$5+$B$6)/30-IF($B$11&lt;=90,$B$12,0)+L463+M463+N463+O463+P463+Q463</f>
        <v>8990.95560512582</v>
      </c>
      <c r="AA463" s="14" t="n">
        <f aca="false">MIN(R463:X463)</f>
        <v>1214.07755899009</v>
      </c>
    </row>
    <row r="464" customFormat="false" ht="15" hidden="false" customHeight="false" outlineLevel="0" collapsed="false">
      <c r="K464" s="2" t="n">
        <v>459</v>
      </c>
      <c r="L464" s="14" t="n">
        <f aca="true">$B$16+NORMINV(RAND(),0,SQRT($B$13*($B$7+$B$8^2))*$B$9*(1-$B$10))</f>
        <v>4056.71992050251</v>
      </c>
      <c r="M464" s="14" t="n">
        <f aca="true">$B$16+NORMINV(RAND(),0,SQRT($B$13*($B$7+$B$8^2))*$B$9*(1-$B$10))</f>
        <v>4252.31317026658</v>
      </c>
      <c r="N464" s="14" t="n">
        <f aca="true">$B$16+NORMINV(RAND(),0,SQRT($B$13*($B$7+$B$8^2))*$B$9*(1-$B$10))</f>
        <v>4218.40082593686</v>
      </c>
      <c r="O464" s="14" t="n">
        <f aca="true">$B$16+NORMINV(RAND(),0,SQRT($B$13*($B$7+$B$8^2))*$B$9*(1-$B$10))</f>
        <v>3901.87612266656</v>
      </c>
      <c r="P464" s="14" t="n">
        <f aca="true">$B$16+NORMINV(RAND(),0,SQRT($B$13*($B$7+$B$8^2))*$B$9*(1-$B$10))</f>
        <v>4466.51554070032</v>
      </c>
      <c r="Q464" s="14" t="n">
        <f aca="true">$B$16+NORMINV(RAND(),0,SQRT($B$13*($B$7+$B$8^2))*$B$9*(1-$B$10))</f>
        <v>4120.41139339543</v>
      </c>
      <c r="R464" s="14" t="n">
        <f aca="false">$B$4-13*($B$5+$B$6)/30-IF($B$11&lt;=13,$B$12,0)+0</f>
        <v>8876.66666666667</v>
      </c>
      <c r="S464" s="14" t="n">
        <f aca="false">$B$4-27*($B$5+$B$6)/30-IF($B$11&lt;=27,$B$12,0)+L464</f>
        <v>10646.7199205025</v>
      </c>
      <c r="T464" s="14" t="n">
        <f aca="false">$B$4-41*($B$5+$B$6)/30-IF($B$11&lt;=41,$B$12,0)+L464+M464</f>
        <v>1427.56642410242</v>
      </c>
      <c r="U464" s="14" t="n">
        <f aca="false">$B$4-55*($B$5+$B$6)/30-IF($B$11&lt;=55,$B$12,0)+L464+M464+N464</f>
        <v>3359.30058337261</v>
      </c>
      <c r="V464" s="14" t="n">
        <f aca="false">$B$4-69*($B$5+$B$6)/30-IF($B$11&lt;=69,$B$12,0)+L464+M464+N464+O464</f>
        <v>4974.5100393725</v>
      </c>
      <c r="W464" s="14" t="n">
        <f aca="false">$B$4-83*($B$5+$B$6)/30-IF($B$11&lt;=83,$B$12,0)+L464+M464+N464+O464+P464</f>
        <v>7154.35891340616</v>
      </c>
      <c r="X464" s="14" t="n">
        <f aca="false">$B$4-90*($B$5+$B$6)/30-IF($B$11&lt;=90,$B$12,0)+L464+M464+N464+O464+P464+Q464</f>
        <v>10131.4369734682</v>
      </c>
      <c r="AA464" s="14" t="n">
        <f aca="false">MIN(R464:X464)</f>
        <v>1427.56642410242</v>
      </c>
    </row>
    <row r="465" customFormat="false" ht="15" hidden="false" customHeight="false" outlineLevel="0" collapsed="false">
      <c r="K465" s="2" t="n">
        <v>460</v>
      </c>
      <c r="L465" s="14" t="n">
        <f aca="true">$B$16+NORMINV(RAND(),0,SQRT($B$13*($B$7+$B$8^2))*$B$9*(1-$B$10))</f>
        <v>3180.57739382552</v>
      </c>
      <c r="M465" s="14" t="n">
        <f aca="true">$B$16+NORMINV(RAND(),0,SQRT($B$13*($B$7+$B$8^2))*$B$9*(1-$B$10))</f>
        <v>4646.80195343737</v>
      </c>
      <c r="N465" s="14" t="n">
        <f aca="true">$B$16+NORMINV(RAND(),0,SQRT($B$13*($B$7+$B$8^2))*$B$9*(1-$B$10))</f>
        <v>4076.55843778256</v>
      </c>
      <c r="O465" s="14" t="n">
        <f aca="true">$B$16+NORMINV(RAND(),0,SQRT($B$13*($B$7+$B$8^2))*$B$9*(1-$B$10))</f>
        <v>4158.04423629898</v>
      </c>
      <c r="P465" s="14" t="n">
        <f aca="true">$B$16+NORMINV(RAND(),0,SQRT($B$13*($B$7+$B$8^2))*$B$9*(1-$B$10))</f>
        <v>3423.54420112319</v>
      </c>
      <c r="Q465" s="14" t="n">
        <f aca="true">$B$16+NORMINV(RAND(),0,SQRT($B$13*($B$7+$B$8^2))*$B$9*(1-$B$10))</f>
        <v>4172.88554517545</v>
      </c>
      <c r="R465" s="14" t="n">
        <f aca="false">$B$4-13*($B$5+$B$6)/30-IF($B$11&lt;=13,$B$12,0)+0</f>
        <v>8876.66666666667</v>
      </c>
      <c r="S465" s="14" t="n">
        <f aca="false">$B$4-27*($B$5+$B$6)/30-IF($B$11&lt;=27,$B$12,0)+L465</f>
        <v>9770.57739382552</v>
      </c>
      <c r="T465" s="14" t="n">
        <f aca="false">$B$4-41*($B$5+$B$6)/30-IF($B$11&lt;=41,$B$12,0)+L465+M465</f>
        <v>945.912680596215</v>
      </c>
      <c r="U465" s="14" t="n">
        <f aca="false">$B$4-55*($B$5+$B$6)/30-IF($B$11&lt;=55,$B$12,0)+L465+M465+N465</f>
        <v>2735.80445171211</v>
      </c>
      <c r="V465" s="14" t="n">
        <f aca="false">$B$4-69*($B$5+$B$6)/30-IF($B$11&lt;=69,$B$12,0)+L465+M465+N465+O465</f>
        <v>4607.18202134442</v>
      </c>
      <c r="W465" s="14" t="n">
        <f aca="false">$B$4-83*($B$5+$B$6)/30-IF($B$11&lt;=83,$B$12,0)+L465+M465+N465+O465+P465</f>
        <v>5744.05955580094</v>
      </c>
      <c r="X465" s="14" t="n">
        <f aca="false">$B$4-90*($B$5+$B$6)/30-IF($B$11&lt;=90,$B$12,0)+L465+M465+N465+O465+P465+Q465</f>
        <v>8773.61176764306</v>
      </c>
      <c r="AA465" s="14" t="n">
        <f aca="false">MIN(R465:X465)</f>
        <v>945.912680596215</v>
      </c>
    </row>
    <row r="466" customFormat="false" ht="15" hidden="false" customHeight="false" outlineLevel="0" collapsed="false">
      <c r="K466" s="2" t="n">
        <v>461</v>
      </c>
      <c r="L466" s="14" t="n">
        <f aca="true">$B$16+NORMINV(RAND(),0,SQRT($B$13*($B$7+$B$8^2))*$B$9*(1-$B$10))</f>
        <v>4166.40962180153</v>
      </c>
      <c r="M466" s="14" t="n">
        <f aca="true">$B$16+NORMINV(RAND(),0,SQRT($B$13*($B$7+$B$8^2))*$B$9*(1-$B$10))</f>
        <v>3740.46115943532</v>
      </c>
      <c r="N466" s="14" t="n">
        <f aca="true">$B$16+NORMINV(RAND(),0,SQRT($B$13*($B$7+$B$8^2))*$B$9*(1-$B$10))</f>
        <v>3775.63089162858</v>
      </c>
      <c r="O466" s="14" t="n">
        <f aca="true">$B$16+NORMINV(RAND(),0,SQRT($B$13*($B$7+$B$8^2))*$B$9*(1-$B$10))</f>
        <v>4377.16151774934</v>
      </c>
      <c r="P466" s="14" t="n">
        <f aca="true">$B$16+NORMINV(RAND(),0,SQRT($B$13*($B$7+$B$8^2))*$B$9*(1-$B$10))</f>
        <v>3567.54236083159</v>
      </c>
      <c r="Q466" s="14" t="n">
        <f aca="true">$B$16+NORMINV(RAND(),0,SQRT($B$13*($B$7+$B$8^2))*$B$9*(1-$B$10))</f>
        <v>3812.22587221409</v>
      </c>
      <c r="R466" s="14" t="n">
        <f aca="false">$B$4-13*($B$5+$B$6)/30-IF($B$11&lt;=13,$B$12,0)+0</f>
        <v>8876.66666666667</v>
      </c>
      <c r="S466" s="14" t="n">
        <f aca="false">$B$4-27*($B$5+$B$6)/30-IF($B$11&lt;=27,$B$12,0)+L466</f>
        <v>10756.4096218015</v>
      </c>
      <c r="T466" s="14" t="n">
        <f aca="false">$B$4-41*($B$5+$B$6)/30-IF($B$11&lt;=41,$B$12,0)+L466+M466</f>
        <v>1025.40411457018</v>
      </c>
      <c r="U466" s="14" t="n">
        <f aca="false">$B$4-55*($B$5+$B$6)/30-IF($B$11&lt;=55,$B$12,0)+L466+M466+N466</f>
        <v>2514.3683395321</v>
      </c>
      <c r="V466" s="14" t="n">
        <f aca="false">$B$4-69*($B$5+$B$6)/30-IF($B$11&lt;=69,$B$12,0)+L466+M466+N466+O466</f>
        <v>4604.86319061477</v>
      </c>
      <c r="W466" s="14" t="n">
        <f aca="false">$B$4-83*($B$5+$B$6)/30-IF($B$11&lt;=83,$B$12,0)+L466+M466+N466+O466+P466</f>
        <v>5885.7388847797</v>
      </c>
      <c r="X466" s="14" t="n">
        <f aca="false">$B$4-90*($B$5+$B$6)/30-IF($B$11&lt;=90,$B$12,0)+L466+M466+N466+O466+P466+Q466</f>
        <v>8554.63142366046</v>
      </c>
      <c r="AA466" s="14" t="n">
        <f aca="false">MIN(R466:X466)</f>
        <v>1025.40411457018</v>
      </c>
    </row>
    <row r="467" customFormat="false" ht="15" hidden="false" customHeight="false" outlineLevel="0" collapsed="false">
      <c r="K467" s="2" t="n">
        <v>462</v>
      </c>
      <c r="L467" s="14" t="n">
        <f aca="true">$B$16+NORMINV(RAND(),0,SQRT($B$13*($B$7+$B$8^2))*$B$9*(1-$B$10))</f>
        <v>4319.0051371363</v>
      </c>
      <c r="M467" s="14" t="n">
        <f aca="true">$B$16+NORMINV(RAND(),0,SQRT($B$13*($B$7+$B$8^2))*$B$9*(1-$B$10))</f>
        <v>4131.07683060728</v>
      </c>
      <c r="N467" s="14" t="n">
        <f aca="true">$B$16+NORMINV(RAND(),0,SQRT($B$13*($B$7+$B$8^2))*$B$9*(1-$B$10))</f>
        <v>4000.36015680728</v>
      </c>
      <c r="O467" s="14" t="n">
        <f aca="true">$B$16+NORMINV(RAND(),0,SQRT($B$13*($B$7+$B$8^2))*$B$9*(1-$B$10))</f>
        <v>4299.46270680069</v>
      </c>
      <c r="P467" s="14" t="n">
        <f aca="true">$B$16+NORMINV(RAND(),0,SQRT($B$13*($B$7+$B$8^2))*$B$9*(1-$B$10))</f>
        <v>4512.82818386119</v>
      </c>
      <c r="Q467" s="14" t="n">
        <f aca="true">$B$16+NORMINV(RAND(),0,SQRT($B$13*($B$7+$B$8^2))*$B$9*(1-$B$10))</f>
        <v>4140.03503502791</v>
      </c>
      <c r="R467" s="14" t="n">
        <f aca="false">$B$4-13*($B$5+$B$6)/30-IF($B$11&lt;=13,$B$12,0)+0</f>
        <v>8876.66666666667</v>
      </c>
      <c r="S467" s="14" t="n">
        <f aca="false">$B$4-27*($B$5+$B$6)/30-IF($B$11&lt;=27,$B$12,0)+L467</f>
        <v>10909.0051371363</v>
      </c>
      <c r="T467" s="14" t="n">
        <f aca="false">$B$4-41*($B$5+$B$6)/30-IF($B$11&lt;=41,$B$12,0)+L467+M467</f>
        <v>1568.61530107691</v>
      </c>
      <c r="U467" s="14" t="n">
        <f aca="false">$B$4-55*($B$5+$B$6)/30-IF($B$11&lt;=55,$B$12,0)+L467+M467+N467</f>
        <v>3282.30879121752</v>
      </c>
      <c r="V467" s="14" t="n">
        <f aca="false">$B$4-69*($B$5+$B$6)/30-IF($B$11&lt;=69,$B$12,0)+L467+M467+N467+O467</f>
        <v>5295.10483135155</v>
      </c>
      <c r="W467" s="14" t="n">
        <f aca="false">$B$4-83*($B$5+$B$6)/30-IF($B$11&lt;=83,$B$12,0)+L467+M467+N467+O467+P467</f>
        <v>7521.26634854607</v>
      </c>
      <c r="X467" s="14" t="n">
        <f aca="false">$B$4-90*($B$5+$B$6)/30-IF($B$11&lt;=90,$B$12,0)+L467+M467+N467+O467+P467+Q467</f>
        <v>10517.9680502406</v>
      </c>
      <c r="AA467" s="14" t="n">
        <f aca="false">MIN(R467:X467)</f>
        <v>1568.61530107691</v>
      </c>
    </row>
    <row r="468" customFormat="false" ht="15" hidden="false" customHeight="false" outlineLevel="0" collapsed="false">
      <c r="K468" s="2" t="n">
        <v>463</v>
      </c>
      <c r="L468" s="14" t="n">
        <f aca="true">$B$16+NORMINV(RAND(),0,SQRT($B$13*($B$7+$B$8^2))*$B$9*(1-$B$10))</f>
        <v>3861.63137504117</v>
      </c>
      <c r="M468" s="14" t="n">
        <f aca="true">$B$16+NORMINV(RAND(),0,SQRT($B$13*($B$7+$B$8^2))*$B$9*(1-$B$10))</f>
        <v>4164.88390255826</v>
      </c>
      <c r="N468" s="14" t="n">
        <f aca="true">$B$16+NORMINV(RAND(),0,SQRT($B$13*($B$7+$B$8^2))*$B$9*(1-$B$10))</f>
        <v>4459.71249215799</v>
      </c>
      <c r="O468" s="14" t="n">
        <f aca="true">$B$16+NORMINV(RAND(),0,SQRT($B$13*($B$7+$B$8^2))*$B$9*(1-$B$10))</f>
        <v>3815.86994702039</v>
      </c>
      <c r="P468" s="14" t="n">
        <f aca="true">$B$16+NORMINV(RAND(),0,SQRT($B$13*($B$7+$B$8^2))*$B$9*(1-$B$10))</f>
        <v>4478.63773928543</v>
      </c>
      <c r="Q468" s="14" t="n">
        <f aca="true">$B$16+NORMINV(RAND(),0,SQRT($B$13*($B$7+$B$8^2))*$B$9*(1-$B$10))</f>
        <v>3762.58107081453</v>
      </c>
      <c r="R468" s="14" t="n">
        <f aca="false">$B$4-13*($B$5+$B$6)/30-IF($B$11&lt;=13,$B$12,0)+0</f>
        <v>8876.66666666667</v>
      </c>
      <c r="S468" s="14" t="n">
        <f aca="false">$B$4-27*($B$5+$B$6)/30-IF($B$11&lt;=27,$B$12,0)+L468</f>
        <v>10451.6313750412</v>
      </c>
      <c r="T468" s="14" t="n">
        <f aca="false">$B$4-41*($B$5+$B$6)/30-IF($B$11&lt;=41,$B$12,0)+L468+M468</f>
        <v>1145.04861093277</v>
      </c>
      <c r="U468" s="14" t="n">
        <f aca="false">$B$4-55*($B$5+$B$6)/30-IF($B$11&lt;=55,$B$12,0)+L468+M468+N468</f>
        <v>3318.09443642409</v>
      </c>
      <c r="V468" s="14" t="n">
        <f aca="false">$B$4-69*($B$5+$B$6)/30-IF($B$11&lt;=69,$B$12,0)+L468+M468+N468+O468</f>
        <v>4847.29771677782</v>
      </c>
      <c r="W468" s="14" t="n">
        <f aca="false">$B$4-83*($B$5+$B$6)/30-IF($B$11&lt;=83,$B$12,0)+L468+M468+N468+O468+P468</f>
        <v>7039.26878939658</v>
      </c>
      <c r="X468" s="14" t="n">
        <f aca="false">$B$4-90*($B$5+$B$6)/30-IF($B$11&lt;=90,$B$12,0)+L468+M468+N468+O468+P468+Q468</f>
        <v>9658.51652687778</v>
      </c>
      <c r="AA468" s="14" t="n">
        <f aca="false">MIN(R468:X468)</f>
        <v>1145.04861093277</v>
      </c>
    </row>
    <row r="469" customFormat="false" ht="15" hidden="false" customHeight="false" outlineLevel="0" collapsed="false">
      <c r="K469" s="2" t="n">
        <v>464</v>
      </c>
      <c r="L469" s="14" t="n">
        <f aca="true">$B$16+NORMINV(RAND(),0,SQRT($B$13*($B$7+$B$8^2))*$B$9*(1-$B$10))</f>
        <v>3974.23963358499</v>
      </c>
      <c r="M469" s="14" t="n">
        <f aca="true">$B$16+NORMINV(RAND(),0,SQRT($B$13*($B$7+$B$8^2))*$B$9*(1-$B$10))</f>
        <v>4125.03875076204</v>
      </c>
      <c r="N469" s="14" t="n">
        <f aca="true">$B$16+NORMINV(RAND(),0,SQRT($B$13*($B$7+$B$8^2))*$B$9*(1-$B$10))</f>
        <v>4575.70017264512</v>
      </c>
      <c r="O469" s="14" t="n">
        <f aca="true">$B$16+NORMINV(RAND(),0,SQRT($B$13*($B$7+$B$8^2))*$B$9*(1-$B$10))</f>
        <v>3902.09672396114</v>
      </c>
      <c r="P469" s="14" t="n">
        <f aca="true">$B$16+NORMINV(RAND(),0,SQRT($B$13*($B$7+$B$8^2))*$B$9*(1-$B$10))</f>
        <v>4164.06122038454</v>
      </c>
      <c r="Q469" s="14" t="n">
        <f aca="true">$B$16+NORMINV(RAND(),0,SQRT($B$13*($B$7+$B$8^2))*$B$9*(1-$B$10))</f>
        <v>3751.07718310095</v>
      </c>
      <c r="R469" s="14" t="n">
        <f aca="false">$B$4-13*($B$5+$B$6)/30-IF($B$11&lt;=13,$B$12,0)+0</f>
        <v>8876.66666666667</v>
      </c>
      <c r="S469" s="14" t="n">
        <f aca="false">$B$4-27*($B$5+$B$6)/30-IF($B$11&lt;=27,$B$12,0)+L469</f>
        <v>10564.239633585</v>
      </c>
      <c r="T469" s="14" t="n">
        <f aca="false">$B$4-41*($B$5+$B$6)/30-IF($B$11&lt;=41,$B$12,0)+L469+M469</f>
        <v>1217.81171768037</v>
      </c>
      <c r="U469" s="14" t="n">
        <f aca="false">$B$4-55*($B$5+$B$6)/30-IF($B$11&lt;=55,$B$12,0)+L469+M469+N469</f>
        <v>3506.84522365882</v>
      </c>
      <c r="V469" s="14" t="n">
        <f aca="false">$B$4-69*($B$5+$B$6)/30-IF($B$11&lt;=69,$B$12,0)+L469+M469+N469+O469</f>
        <v>5122.27528095329</v>
      </c>
      <c r="W469" s="14" t="n">
        <f aca="false">$B$4-83*($B$5+$B$6)/30-IF($B$11&lt;=83,$B$12,0)+L469+M469+N469+O469+P469</f>
        <v>6999.66983467116</v>
      </c>
      <c r="X469" s="14" t="n">
        <f aca="false">$B$4-90*($B$5+$B$6)/30-IF($B$11&lt;=90,$B$12,0)+L469+M469+N469+O469+P469+Q469</f>
        <v>9607.41368443878</v>
      </c>
      <c r="AA469" s="14" t="n">
        <f aca="false">MIN(R469:X469)</f>
        <v>1217.81171768037</v>
      </c>
    </row>
    <row r="470" customFormat="false" ht="15" hidden="false" customHeight="false" outlineLevel="0" collapsed="false">
      <c r="K470" s="2" t="n">
        <v>465</v>
      </c>
      <c r="L470" s="14" t="n">
        <f aca="true">$B$16+NORMINV(RAND(),0,SQRT($B$13*($B$7+$B$8^2))*$B$9*(1-$B$10))</f>
        <v>4036.98364916665</v>
      </c>
      <c r="M470" s="14" t="n">
        <f aca="true">$B$16+NORMINV(RAND(),0,SQRT($B$13*($B$7+$B$8^2))*$B$9*(1-$B$10))</f>
        <v>3601.3267446704</v>
      </c>
      <c r="N470" s="14" t="n">
        <f aca="true">$B$16+NORMINV(RAND(),0,SQRT($B$13*($B$7+$B$8^2))*$B$9*(1-$B$10))</f>
        <v>3700.52915790314</v>
      </c>
      <c r="O470" s="14" t="n">
        <f aca="true">$B$16+NORMINV(RAND(),0,SQRT($B$13*($B$7+$B$8^2))*$B$9*(1-$B$10))</f>
        <v>4137.77437078771</v>
      </c>
      <c r="P470" s="14" t="n">
        <f aca="true">$B$16+NORMINV(RAND(),0,SQRT($B$13*($B$7+$B$8^2))*$B$9*(1-$B$10))</f>
        <v>4262.03889130898</v>
      </c>
      <c r="Q470" s="14" t="n">
        <f aca="true">$B$16+NORMINV(RAND(),0,SQRT($B$13*($B$7+$B$8^2))*$B$9*(1-$B$10))</f>
        <v>3953.14000152704</v>
      </c>
      <c r="R470" s="14" t="n">
        <f aca="false">$B$4-13*($B$5+$B$6)/30-IF($B$11&lt;=13,$B$12,0)+0</f>
        <v>8876.66666666667</v>
      </c>
      <c r="S470" s="14" t="n">
        <f aca="false">$B$4-27*($B$5+$B$6)/30-IF($B$11&lt;=27,$B$12,0)+L470</f>
        <v>10626.9836491667</v>
      </c>
      <c r="T470" s="14" t="n">
        <f aca="false">$B$4-41*($B$5+$B$6)/30-IF($B$11&lt;=41,$B$12,0)+L470+M470</f>
        <v>756.843727170382</v>
      </c>
      <c r="U470" s="14" t="n">
        <f aca="false">$B$4-55*($B$5+$B$6)/30-IF($B$11&lt;=55,$B$12,0)+L470+M470+N470</f>
        <v>2170.70621840685</v>
      </c>
      <c r="V470" s="14" t="n">
        <f aca="false">$B$4-69*($B$5+$B$6)/30-IF($B$11&lt;=69,$B$12,0)+L470+M470+N470+O470</f>
        <v>4021.8139225279</v>
      </c>
      <c r="W470" s="14" t="n">
        <f aca="false">$B$4-83*($B$5+$B$6)/30-IF($B$11&lt;=83,$B$12,0)+L470+M470+N470+O470+P470</f>
        <v>5997.18614717022</v>
      </c>
      <c r="X470" s="14" t="n">
        <f aca="false">$B$4-90*($B$5+$B$6)/30-IF($B$11&lt;=90,$B$12,0)+L470+M470+N470+O470+P470+Q470</f>
        <v>8806.99281536393</v>
      </c>
      <c r="AA470" s="14" t="n">
        <f aca="false">MIN(R470:X470)</f>
        <v>756.843727170382</v>
      </c>
    </row>
    <row r="471" customFormat="false" ht="15" hidden="false" customHeight="false" outlineLevel="0" collapsed="false">
      <c r="K471" s="2" t="n">
        <v>466</v>
      </c>
      <c r="L471" s="14" t="n">
        <f aca="true">$B$16+NORMINV(RAND(),0,SQRT($B$13*($B$7+$B$8^2))*$B$9*(1-$B$10))</f>
        <v>3848.53462743756</v>
      </c>
      <c r="M471" s="14" t="n">
        <f aca="true">$B$16+NORMINV(RAND(),0,SQRT($B$13*($B$7+$B$8^2))*$B$9*(1-$B$10))</f>
        <v>4607.54643716505</v>
      </c>
      <c r="N471" s="14" t="n">
        <f aca="true">$B$16+NORMINV(RAND(),0,SQRT($B$13*($B$7+$B$8^2))*$B$9*(1-$B$10))</f>
        <v>4092.26894428935</v>
      </c>
      <c r="O471" s="14" t="n">
        <f aca="true">$B$16+NORMINV(RAND(),0,SQRT($B$13*($B$7+$B$8^2))*$B$9*(1-$B$10))</f>
        <v>4269.83563421714</v>
      </c>
      <c r="P471" s="14" t="n">
        <f aca="true">$B$16+NORMINV(RAND(),0,SQRT($B$13*($B$7+$B$8^2))*$B$9*(1-$B$10))</f>
        <v>4082.38456107983</v>
      </c>
      <c r="Q471" s="14" t="n">
        <f aca="true">$B$16+NORMINV(RAND(),0,SQRT($B$13*($B$7+$B$8^2))*$B$9*(1-$B$10))</f>
        <v>4559.34850509555</v>
      </c>
      <c r="R471" s="14" t="n">
        <f aca="false">$B$4-13*($B$5+$B$6)/30-IF($B$11&lt;=13,$B$12,0)+0</f>
        <v>8876.66666666667</v>
      </c>
      <c r="S471" s="14" t="n">
        <f aca="false">$B$4-27*($B$5+$B$6)/30-IF($B$11&lt;=27,$B$12,0)+L471</f>
        <v>10438.5346274376</v>
      </c>
      <c r="T471" s="14" t="n">
        <f aca="false">$B$4-41*($B$5+$B$6)/30-IF($B$11&lt;=41,$B$12,0)+L471+M471</f>
        <v>1574.61439793595</v>
      </c>
      <c r="U471" s="14" t="n">
        <f aca="false">$B$4-55*($B$5+$B$6)/30-IF($B$11&lt;=55,$B$12,0)+L471+M471+N471</f>
        <v>3380.21667555862</v>
      </c>
      <c r="V471" s="14" t="n">
        <f aca="false">$B$4-69*($B$5+$B$6)/30-IF($B$11&lt;=69,$B$12,0)+L471+M471+N471+O471</f>
        <v>5363.3856431091</v>
      </c>
      <c r="W471" s="14" t="n">
        <f aca="false">$B$4-83*($B$5+$B$6)/30-IF($B$11&lt;=83,$B$12,0)+L471+M471+N471+O471+P471</f>
        <v>7159.10353752226</v>
      </c>
      <c r="X471" s="14" t="n">
        <f aca="false">$B$4-90*($B$5+$B$6)/30-IF($B$11&lt;=90,$B$12,0)+L471+M471+N471+O471+P471+Q471</f>
        <v>10575.1187092845</v>
      </c>
      <c r="AA471" s="14" t="n">
        <f aca="false">MIN(R471:X471)</f>
        <v>1574.61439793595</v>
      </c>
    </row>
    <row r="472" customFormat="false" ht="15" hidden="false" customHeight="false" outlineLevel="0" collapsed="false">
      <c r="K472" s="2" t="n">
        <v>467</v>
      </c>
      <c r="L472" s="14" t="n">
        <f aca="true">$B$16+NORMINV(RAND(),0,SQRT($B$13*($B$7+$B$8^2))*$B$9*(1-$B$10))</f>
        <v>3733.54651226077</v>
      </c>
      <c r="M472" s="14" t="n">
        <f aca="true">$B$16+NORMINV(RAND(),0,SQRT($B$13*($B$7+$B$8^2))*$B$9*(1-$B$10))</f>
        <v>3653.79266825818</v>
      </c>
      <c r="N472" s="14" t="n">
        <f aca="true">$B$16+NORMINV(RAND(),0,SQRT($B$13*($B$7+$B$8^2))*$B$9*(1-$B$10))</f>
        <v>4176.19194849893</v>
      </c>
      <c r="O472" s="14" t="n">
        <f aca="true">$B$16+NORMINV(RAND(),0,SQRT($B$13*($B$7+$B$8^2))*$B$9*(1-$B$10))</f>
        <v>3464.29292316458</v>
      </c>
      <c r="P472" s="14" t="n">
        <f aca="true">$B$16+NORMINV(RAND(),0,SQRT($B$13*($B$7+$B$8^2))*$B$9*(1-$B$10))</f>
        <v>3488.45011717223</v>
      </c>
      <c r="Q472" s="14" t="n">
        <f aca="true">$B$16+NORMINV(RAND(),0,SQRT($B$13*($B$7+$B$8^2))*$B$9*(1-$B$10))</f>
        <v>4350.20384840631</v>
      </c>
      <c r="R472" s="14" t="n">
        <f aca="false">$B$4-13*($B$5+$B$6)/30-IF($B$11&lt;=13,$B$12,0)+0</f>
        <v>8876.66666666667</v>
      </c>
      <c r="S472" s="14" t="n">
        <f aca="false">$B$4-27*($B$5+$B$6)/30-IF($B$11&lt;=27,$B$12,0)+L472</f>
        <v>10323.5465122608</v>
      </c>
      <c r="T472" s="14" t="n">
        <f aca="false">$B$4-41*($B$5+$B$6)/30-IF($B$11&lt;=41,$B$12,0)+L472+M472</f>
        <v>505.872513852289</v>
      </c>
      <c r="U472" s="14" t="n">
        <f aca="false">$B$4-55*($B$5+$B$6)/30-IF($B$11&lt;=55,$B$12,0)+L472+M472+N472</f>
        <v>2395.39779568456</v>
      </c>
      <c r="V472" s="14" t="n">
        <f aca="false">$B$4-69*($B$5+$B$6)/30-IF($B$11&lt;=69,$B$12,0)+L472+M472+N472+O472</f>
        <v>3573.02405218247</v>
      </c>
      <c r="W472" s="14" t="n">
        <f aca="false">$B$4-83*($B$5+$B$6)/30-IF($B$11&lt;=83,$B$12,0)+L472+M472+N472+O472+P472</f>
        <v>4774.80750268803</v>
      </c>
      <c r="X472" s="14" t="n">
        <f aca="false">$B$4-90*($B$5+$B$6)/30-IF($B$11&lt;=90,$B$12,0)+L472+M472+N472+O472+P472+Q472</f>
        <v>7981.67801776101</v>
      </c>
      <c r="AA472" s="14" t="n">
        <f aca="false">MIN(R472:X472)</f>
        <v>505.872513852289</v>
      </c>
    </row>
    <row r="473" customFormat="false" ht="15" hidden="false" customHeight="false" outlineLevel="0" collapsed="false">
      <c r="K473" s="2" t="n">
        <v>468</v>
      </c>
      <c r="L473" s="14" t="n">
        <f aca="true">$B$16+NORMINV(RAND(),0,SQRT($B$13*($B$7+$B$8^2))*$B$9*(1-$B$10))</f>
        <v>3775.63202290969</v>
      </c>
      <c r="M473" s="14" t="n">
        <f aca="true">$B$16+NORMINV(RAND(),0,SQRT($B$13*($B$7+$B$8^2))*$B$9*(1-$B$10))</f>
        <v>3547.47566883932</v>
      </c>
      <c r="N473" s="14" t="n">
        <f aca="true">$B$16+NORMINV(RAND(),0,SQRT($B$13*($B$7+$B$8^2))*$B$9*(1-$B$10))</f>
        <v>4149.93074931168</v>
      </c>
      <c r="O473" s="14" t="n">
        <f aca="true">$B$16+NORMINV(RAND(),0,SQRT($B$13*($B$7+$B$8^2))*$B$9*(1-$B$10))</f>
        <v>3901.18097395613</v>
      </c>
      <c r="P473" s="14" t="n">
        <f aca="true">$B$16+NORMINV(RAND(),0,SQRT($B$13*($B$7+$B$8^2))*$B$9*(1-$B$10))</f>
        <v>4160.85704537703</v>
      </c>
      <c r="Q473" s="14" t="n">
        <f aca="true">$B$16+NORMINV(RAND(),0,SQRT($B$13*($B$7+$B$8^2))*$B$9*(1-$B$10))</f>
        <v>4263.09201393645</v>
      </c>
      <c r="R473" s="14" t="n">
        <f aca="false">$B$4-13*($B$5+$B$6)/30-IF($B$11&lt;=13,$B$12,0)+0</f>
        <v>8876.66666666667</v>
      </c>
      <c r="S473" s="14" t="n">
        <f aca="false">$B$4-27*($B$5+$B$6)/30-IF($B$11&lt;=27,$B$12,0)+L473</f>
        <v>10365.6320229097</v>
      </c>
      <c r="T473" s="14" t="n">
        <f aca="false">$B$4-41*($B$5+$B$6)/30-IF($B$11&lt;=41,$B$12,0)+L473+M473</f>
        <v>441.641025082346</v>
      </c>
      <c r="U473" s="14" t="n">
        <f aca="false">$B$4-55*($B$5+$B$6)/30-IF($B$11&lt;=55,$B$12,0)+L473+M473+N473</f>
        <v>2304.90510772736</v>
      </c>
      <c r="V473" s="14" t="n">
        <f aca="false">$B$4-69*($B$5+$B$6)/30-IF($B$11&lt;=69,$B$12,0)+L473+M473+N473+O473</f>
        <v>3919.41941501682</v>
      </c>
      <c r="W473" s="14" t="n">
        <f aca="false">$B$4-83*($B$5+$B$6)/30-IF($B$11&lt;=83,$B$12,0)+L473+M473+N473+O473+P473</f>
        <v>5793.60979372719</v>
      </c>
      <c r="X473" s="14" t="n">
        <f aca="false">$B$4-90*($B$5+$B$6)/30-IF($B$11&lt;=90,$B$12,0)+L473+M473+N473+O473+P473+Q473</f>
        <v>8913.36847433031</v>
      </c>
      <c r="AA473" s="14" t="n">
        <f aca="false">MIN(R473:X473)</f>
        <v>441.641025082346</v>
      </c>
    </row>
    <row r="474" customFormat="false" ht="15" hidden="false" customHeight="false" outlineLevel="0" collapsed="false">
      <c r="K474" s="2" t="n">
        <v>469</v>
      </c>
      <c r="L474" s="14" t="n">
        <f aca="true">$B$16+NORMINV(RAND(),0,SQRT($B$13*($B$7+$B$8^2))*$B$9*(1-$B$10))</f>
        <v>4066.98913454706</v>
      </c>
      <c r="M474" s="14" t="n">
        <f aca="true">$B$16+NORMINV(RAND(),0,SQRT($B$13*($B$7+$B$8^2))*$B$9*(1-$B$10))</f>
        <v>3931.02315531508</v>
      </c>
      <c r="N474" s="14" t="n">
        <f aca="true">$B$16+NORMINV(RAND(),0,SQRT($B$13*($B$7+$B$8^2))*$B$9*(1-$B$10))</f>
        <v>4189.19411277434</v>
      </c>
      <c r="O474" s="14" t="n">
        <f aca="true">$B$16+NORMINV(RAND(),0,SQRT($B$13*($B$7+$B$8^2))*$B$9*(1-$B$10))</f>
        <v>3953.65118498439</v>
      </c>
      <c r="P474" s="14" t="n">
        <f aca="true">$B$16+NORMINV(RAND(),0,SQRT($B$13*($B$7+$B$8^2))*$B$9*(1-$B$10))</f>
        <v>4419.02547411743</v>
      </c>
      <c r="Q474" s="14" t="n">
        <f aca="true">$B$16+NORMINV(RAND(),0,SQRT($B$13*($B$7+$B$8^2))*$B$9*(1-$B$10))</f>
        <v>4203.89655872307</v>
      </c>
      <c r="R474" s="14" t="n">
        <f aca="false">$B$4-13*($B$5+$B$6)/30-IF($B$11&lt;=13,$B$12,0)+0</f>
        <v>8876.66666666667</v>
      </c>
      <c r="S474" s="14" t="n">
        <f aca="false">$B$4-27*($B$5+$B$6)/30-IF($B$11&lt;=27,$B$12,0)+L474</f>
        <v>10656.9891345471</v>
      </c>
      <c r="T474" s="14" t="n">
        <f aca="false">$B$4-41*($B$5+$B$6)/30-IF($B$11&lt;=41,$B$12,0)+L474+M474</f>
        <v>1116.54562319548</v>
      </c>
      <c r="U474" s="14" t="n">
        <f aca="false">$B$4-55*($B$5+$B$6)/30-IF($B$11&lt;=55,$B$12,0)+L474+M474+N474</f>
        <v>3019.07306930315</v>
      </c>
      <c r="V474" s="14" t="n">
        <f aca="false">$B$4-69*($B$5+$B$6)/30-IF($B$11&lt;=69,$B$12,0)+L474+M474+N474+O474</f>
        <v>4686.05758762087</v>
      </c>
      <c r="W474" s="14" t="n">
        <f aca="false">$B$4-83*($B$5+$B$6)/30-IF($B$11&lt;=83,$B$12,0)+L474+M474+N474+O474+P474</f>
        <v>6818.41639507163</v>
      </c>
      <c r="X474" s="14" t="n">
        <f aca="false">$B$4-90*($B$5+$B$6)/30-IF($B$11&lt;=90,$B$12,0)+L474+M474+N474+O474+P474+Q474</f>
        <v>9878.97962046137</v>
      </c>
      <c r="AA474" s="14" t="n">
        <f aca="false">MIN(R474:X474)</f>
        <v>1116.54562319548</v>
      </c>
    </row>
    <row r="475" customFormat="false" ht="15" hidden="false" customHeight="false" outlineLevel="0" collapsed="false">
      <c r="K475" s="2" t="n">
        <v>470</v>
      </c>
      <c r="L475" s="14" t="n">
        <f aca="true">$B$16+NORMINV(RAND(),0,SQRT($B$13*($B$7+$B$8^2))*$B$9*(1-$B$10))</f>
        <v>4262.8145757313</v>
      </c>
      <c r="M475" s="14" t="n">
        <f aca="true">$B$16+NORMINV(RAND(),0,SQRT($B$13*($B$7+$B$8^2))*$B$9*(1-$B$10))</f>
        <v>3879.13435955713</v>
      </c>
      <c r="N475" s="14" t="n">
        <f aca="true">$B$16+NORMINV(RAND(),0,SQRT($B$13*($B$7+$B$8^2))*$B$9*(1-$B$10))</f>
        <v>3884.20320042589</v>
      </c>
      <c r="O475" s="14" t="n">
        <f aca="true">$B$16+NORMINV(RAND(),0,SQRT($B$13*($B$7+$B$8^2))*$B$9*(1-$B$10))</f>
        <v>3898.24576474184</v>
      </c>
      <c r="P475" s="14" t="n">
        <f aca="true">$B$16+NORMINV(RAND(),0,SQRT($B$13*($B$7+$B$8^2))*$B$9*(1-$B$10))</f>
        <v>4060.22564040915</v>
      </c>
      <c r="Q475" s="14" t="n">
        <f aca="true">$B$16+NORMINV(RAND(),0,SQRT($B$13*($B$7+$B$8^2))*$B$9*(1-$B$10))</f>
        <v>3753.1113159746</v>
      </c>
      <c r="R475" s="14" t="n">
        <f aca="false">$B$4-13*($B$5+$B$6)/30-IF($B$11&lt;=13,$B$12,0)+0</f>
        <v>8876.66666666667</v>
      </c>
      <c r="S475" s="14" t="n">
        <f aca="false">$B$4-27*($B$5+$B$6)/30-IF($B$11&lt;=27,$B$12,0)+L475</f>
        <v>10852.8145757313</v>
      </c>
      <c r="T475" s="14" t="n">
        <f aca="false">$B$4-41*($B$5+$B$6)/30-IF($B$11&lt;=41,$B$12,0)+L475+M475</f>
        <v>1260.48226862176</v>
      </c>
      <c r="U475" s="14" t="n">
        <f aca="false">$B$4-55*($B$5+$B$6)/30-IF($B$11&lt;=55,$B$12,0)+L475+M475+N475</f>
        <v>2858.01880238098</v>
      </c>
      <c r="V475" s="14" t="n">
        <f aca="false">$B$4-69*($B$5+$B$6)/30-IF($B$11&lt;=69,$B$12,0)+L475+M475+N475+O475</f>
        <v>4469.59790045615</v>
      </c>
      <c r="W475" s="14" t="n">
        <f aca="false">$B$4-83*($B$5+$B$6)/30-IF($B$11&lt;=83,$B$12,0)+L475+M475+N475+O475+P475</f>
        <v>6243.15687419864</v>
      </c>
      <c r="X475" s="14" t="n">
        <f aca="false">$B$4-90*($B$5+$B$6)/30-IF($B$11&lt;=90,$B$12,0)+L475+M475+N475+O475+P475+Q475</f>
        <v>8852.93485683991</v>
      </c>
      <c r="AA475" s="14" t="n">
        <f aca="false">MIN(R475:X475)</f>
        <v>1260.48226862176</v>
      </c>
    </row>
    <row r="476" customFormat="false" ht="15" hidden="false" customHeight="false" outlineLevel="0" collapsed="false">
      <c r="K476" s="2" t="n">
        <v>471</v>
      </c>
      <c r="L476" s="14" t="n">
        <f aca="true">$B$16+NORMINV(RAND(),0,SQRT($B$13*($B$7+$B$8^2))*$B$9*(1-$B$10))</f>
        <v>4281.18775622817</v>
      </c>
      <c r="M476" s="14" t="n">
        <f aca="true">$B$16+NORMINV(RAND(),0,SQRT($B$13*($B$7+$B$8^2))*$B$9*(1-$B$10))</f>
        <v>4438.65537120531</v>
      </c>
      <c r="N476" s="14" t="n">
        <f aca="true">$B$16+NORMINV(RAND(),0,SQRT($B$13*($B$7+$B$8^2))*$B$9*(1-$B$10))</f>
        <v>4134.62172616675</v>
      </c>
      <c r="O476" s="14" t="n">
        <f aca="true">$B$16+NORMINV(RAND(),0,SQRT($B$13*($B$7+$B$8^2))*$B$9*(1-$B$10))</f>
        <v>3632.94523500151</v>
      </c>
      <c r="P476" s="14" t="n">
        <f aca="true">$B$16+NORMINV(RAND(),0,SQRT($B$13*($B$7+$B$8^2))*$B$9*(1-$B$10))</f>
        <v>3851.28746069446</v>
      </c>
      <c r="Q476" s="14" t="n">
        <f aca="true">$B$16+NORMINV(RAND(),0,SQRT($B$13*($B$7+$B$8^2))*$B$9*(1-$B$10))</f>
        <v>3475.09753659133</v>
      </c>
      <c r="R476" s="14" t="n">
        <f aca="false">$B$4-13*($B$5+$B$6)/30-IF($B$11&lt;=13,$B$12,0)+0</f>
        <v>8876.66666666667</v>
      </c>
      <c r="S476" s="14" t="n">
        <f aca="false">$B$4-27*($B$5+$B$6)/30-IF($B$11&lt;=27,$B$12,0)+L476</f>
        <v>10871.1877562282</v>
      </c>
      <c r="T476" s="14" t="n">
        <f aca="false">$B$4-41*($B$5+$B$6)/30-IF($B$11&lt;=41,$B$12,0)+L476+M476</f>
        <v>1838.37646076681</v>
      </c>
      <c r="U476" s="14" t="n">
        <f aca="false">$B$4-55*($B$5+$B$6)/30-IF($B$11&lt;=55,$B$12,0)+L476+M476+N476</f>
        <v>3686.33152026689</v>
      </c>
      <c r="V476" s="14" t="n">
        <f aca="false">$B$4-69*($B$5+$B$6)/30-IF($B$11&lt;=69,$B$12,0)+L476+M476+N476+O476</f>
        <v>5032.61008860174</v>
      </c>
      <c r="W476" s="14" t="n">
        <f aca="false">$B$4-83*($B$5+$B$6)/30-IF($B$11&lt;=83,$B$12,0)+L476+M476+N476+O476+P476</f>
        <v>6597.23088262953</v>
      </c>
      <c r="X476" s="14" t="n">
        <f aca="false">$B$4-90*($B$5+$B$6)/30-IF($B$11&lt;=90,$B$12,0)+L476+M476+N476+O476+P476+Q476</f>
        <v>8928.99508588753</v>
      </c>
      <c r="AA476" s="14" t="n">
        <f aca="false">MIN(R476:X476)</f>
        <v>1838.37646076681</v>
      </c>
    </row>
    <row r="477" customFormat="false" ht="15" hidden="false" customHeight="false" outlineLevel="0" collapsed="false">
      <c r="K477" s="2" t="n">
        <v>472</v>
      </c>
      <c r="L477" s="14" t="n">
        <f aca="true">$B$16+NORMINV(RAND(),0,SQRT($B$13*($B$7+$B$8^2))*$B$9*(1-$B$10))</f>
        <v>3518.36416846694</v>
      </c>
      <c r="M477" s="14" t="n">
        <f aca="true">$B$16+NORMINV(RAND(),0,SQRT($B$13*($B$7+$B$8^2))*$B$9*(1-$B$10))</f>
        <v>3827.83190652072</v>
      </c>
      <c r="N477" s="14" t="n">
        <f aca="true">$B$16+NORMINV(RAND(),0,SQRT($B$13*($B$7+$B$8^2))*$B$9*(1-$B$10))</f>
        <v>4334.52478250232</v>
      </c>
      <c r="O477" s="14" t="n">
        <f aca="true">$B$16+NORMINV(RAND(),0,SQRT($B$13*($B$7+$B$8^2))*$B$9*(1-$B$10))</f>
        <v>3947.24923351886</v>
      </c>
      <c r="P477" s="14" t="n">
        <f aca="true">$B$16+NORMINV(RAND(),0,SQRT($B$13*($B$7+$B$8^2))*$B$9*(1-$B$10))</f>
        <v>4130.93404119749</v>
      </c>
      <c r="Q477" s="14" t="n">
        <f aca="true">$B$16+NORMINV(RAND(),0,SQRT($B$13*($B$7+$B$8^2))*$B$9*(1-$B$10))</f>
        <v>3997.18654588147</v>
      </c>
      <c r="R477" s="14" t="n">
        <f aca="false">$B$4-13*($B$5+$B$6)/30-IF($B$11&lt;=13,$B$12,0)+0</f>
        <v>8876.66666666667</v>
      </c>
      <c r="S477" s="14" t="n">
        <f aca="false">$B$4-27*($B$5+$B$6)/30-IF($B$11&lt;=27,$B$12,0)+L477</f>
        <v>10108.3641684669</v>
      </c>
      <c r="T477" s="14" t="n">
        <f aca="false">$B$4-41*($B$5+$B$6)/30-IF($B$11&lt;=41,$B$12,0)+L477+M477</f>
        <v>464.729408320989</v>
      </c>
      <c r="U477" s="14" t="n">
        <f aca="false">$B$4-55*($B$5+$B$6)/30-IF($B$11&lt;=55,$B$12,0)+L477+M477+N477</f>
        <v>2512.58752415664</v>
      </c>
      <c r="V477" s="14" t="n">
        <f aca="false">$B$4-69*($B$5+$B$6)/30-IF($B$11&lt;=69,$B$12,0)+L477+M477+N477+O477</f>
        <v>4173.17009100884</v>
      </c>
      <c r="W477" s="14" t="n">
        <f aca="false">$B$4-83*($B$5+$B$6)/30-IF($B$11&lt;=83,$B$12,0)+L477+M477+N477+O477+P477</f>
        <v>6017.43746553966</v>
      </c>
      <c r="X477" s="14" t="n">
        <f aca="false">$B$4-90*($B$5+$B$6)/30-IF($B$11&lt;=90,$B$12,0)+L477+M477+N477+O477+P477+Q477</f>
        <v>8871.29067808779</v>
      </c>
      <c r="AA477" s="14" t="n">
        <f aca="false">MIN(R477:X477)</f>
        <v>464.729408320989</v>
      </c>
    </row>
    <row r="478" customFormat="false" ht="15" hidden="false" customHeight="false" outlineLevel="0" collapsed="false">
      <c r="K478" s="2" t="n">
        <v>473</v>
      </c>
      <c r="L478" s="14" t="n">
        <f aca="true">$B$16+NORMINV(RAND(),0,SQRT($B$13*($B$7+$B$8^2))*$B$9*(1-$B$10))</f>
        <v>4253.6552650914</v>
      </c>
      <c r="M478" s="14" t="n">
        <f aca="true">$B$16+NORMINV(RAND(),0,SQRT($B$13*($B$7+$B$8^2))*$B$9*(1-$B$10))</f>
        <v>3610.71699147095</v>
      </c>
      <c r="N478" s="14" t="n">
        <f aca="true">$B$16+NORMINV(RAND(),0,SQRT($B$13*($B$7+$B$8^2))*$B$9*(1-$B$10))</f>
        <v>4356.01369750397</v>
      </c>
      <c r="O478" s="14" t="n">
        <f aca="true">$B$16+NORMINV(RAND(),0,SQRT($B$13*($B$7+$B$8^2))*$B$9*(1-$B$10))</f>
        <v>3953.40459882838</v>
      </c>
      <c r="P478" s="14" t="n">
        <f aca="true">$B$16+NORMINV(RAND(),0,SQRT($B$13*($B$7+$B$8^2))*$B$9*(1-$B$10))</f>
        <v>3818.32721128336</v>
      </c>
      <c r="Q478" s="14" t="n">
        <f aca="true">$B$16+NORMINV(RAND(),0,SQRT($B$13*($B$7+$B$8^2))*$B$9*(1-$B$10))</f>
        <v>3726.93154423821</v>
      </c>
      <c r="R478" s="14" t="n">
        <f aca="false">$B$4-13*($B$5+$B$6)/30-IF($B$11&lt;=13,$B$12,0)+0</f>
        <v>8876.66666666667</v>
      </c>
      <c r="S478" s="14" t="n">
        <f aca="false">$B$4-27*($B$5+$B$6)/30-IF($B$11&lt;=27,$B$12,0)+L478</f>
        <v>10843.6552650914</v>
      </c>
      <c r="T478" s="14" t="n">
        <f aca="false">$B$4-41*($B$5+$B$6)/30-IF($B$11&lt;=41,$B$12,0)+L478+M478</f>
        <v>982.90558989568</v>
      </c>
      <c r="U478" s="14" t="n">
        <f aca="false">$B$4-55*($B$5+$B$6)/30-IF($B$11&lt;=55,$B$12,0)+L478+M478+N478</f>
        <v>3052.25262073299</v>
      </c>
      <c r="V478" s="14" t="n">
        <f aca="false">$B$4-69*($B$5+$B$6)/30-IF($B$11&lt;=69,$B$12,0)+L478+M478+N478+O478</f>
        <v>4718.9905528947</v>
      </c>
      <c r="W478" s="14" t="n">
        <f aca="false">$B$4-83*($B$5+$B$6)/30-IF($B$11&lt;=83,$B$12,0)+L478+M478+N478+O478+P478</f>
        <v>6250.6510975114</v>
      </c>
      <c r="X478" s="14" t="n">
        <f aca="false">$B$4-90*($B$5+$B$6)/30-IF($B$11&lt;=90,$B$12,0)+L478+M478+N478+O478+P478+Q478</f>
        <v>8834.24930841628</v>
      </c>
      <c r="AA478" s="14" t="n">
        <f aca="false">MIN(R478:X478)</f>
        <v>982.90558989568</v>
      </c>
    </row>
    <row r="479" customFormat="false" ht="15" hidden="false" customHeight="false" outlineLevel="0" collapsed="false">
      <c r="K479" s="2" t="n">
        <v>474</v>
      </c>
      <c r="L479" s="14" t="n">
        <f aca="true">$B$16+NORMINV(RAND(),0,SQRT($B$13*($B$7+$B$8^2))*$B$9*(1-$B$10))</f>
        <v>4000.06448562113</v>
      </c>
      <c r="M479" s="14" t="n">
        <f aca="true">$B$16+NORMINV(RAND(),0,SQRT($B$13*($B$7+$B$8^2))*$B$9*(1-$B$10))</f>
        <v>3982.1564752169</v>
      </c>
      <c r="N479" s="14" t="n">
        <f aca="true">$B$16+NORMINV(RAND(),0,SQRT($B$13*($B$7+$B$8^2))*$B$9*(1-$B$10))</f>
        <v>3791.27821718865</v>
      </c>
      <c r="O479" s="14" t="n">
        <f aca="true">$B$16+NORMINV(RAND(),0,SQRT($B$13*($B$7+$B$8^2))*$B$9*(1-$B$10))</f>
        <v>3676.83588668485</v>
      </c>
      <c r="P479" s="14" t="n">
        <f aca="true">$B$16+NORMINV(RAND(),0,SQRT($B$13*($B$7+$B$8^2))*$B$9*(1-$B$10))</f>
        <v>3823.6465364719</v>
      </c>
      <c r="Q479" s="14" t="n">
        <f aca="true">$B$16+NORMINV(RAND(),0,SQRT($B$13*($B$7+$B$8^2))*$B$9*(1-$B$10))</f>
        <v>4001.10795442637</v>
      </c>
      <c r="R479" s="14" t="n">
        <f aca="false">$B$4-13*($B$5+$B$6)/30-IF($B$11&lt;=13,$B$12,0)+0</f>
        <v>8876.66666666667</v>
      </c>
      <c r="S479" s="14" t="n">
        <f aca="false">$B$4-27*($B$5+$B$6)/30-IF($B$11&lt;=27,$B$12,0)+L479</f>
        <v>10590.0644856211</v>
      </c>
      <c r="T479" s="14" t="n">
        <f aca="false">$B$4-41*($B$5+$B$6)/30-IF($B$11&lt;=41,$B$12,0)+L479+M479</f>
        <v>1100.75429417136</v>
      </c>
      <c r="U479" s="14" t="n">
        <f aca="false">$B$4-55*($B$5+$B$6)/30-IF($B$11&lt;=55,$B$12,0)+L479+M479+N479</f>
        <v>2605.36584469335</v>
      </c>
      <c r="V479" s="14" t="n">
        <f aca="false">$B$4-69*($B$5+$B$6)/30-IF($B$11&lt;=69,$B$12,0)+L479+M479+N479+O479</f>
        <v>3995.53506471153</v>
      </c>
      <c r="W479" s="14" t="n">
        <f aca="false">$B$4-83*($B$5+$B$6)/30-IF($B$11&lt;=83,$B$12,0)+L479+M479+N479+O479+P479</f>
        <v>5532.51493451677</v>
      </c>
      <c r="X479" s="14" t="n">
        <f aca="false">$B$4-90*($B$5+$B$6)/30-IF($B$11&lt;=90,$B$12,0)+L479+M479+N479+O479+P479+Q479</f>
        <v>8390.2895556098</v>
      </c>
      <c r="AA479" s="14" t="n">
        <f aca="false">MIN(R479:X479)</f>
        <v>1100.75429417136</v>
      </c>
    </row>
    <row r="480" customFormat="false" ht="15" hidden="false" customHeight="false" outlineLevel="0" collapsed="false">
      <c r="K480" s="2" t="n">
        <v>475</v>
      </c>
      <c r="L480" s="14" t="n">
        <f aca="true">$B$16+NORMINV(RAND(),0,SQRT($B$13*($B$7+$B$8^2))*$B$9*(1-$B$10))</f>
        <v>4219.44818074919</v>
      </c>
      <c r="M480" s="14" t="n">
        <f aca="true">$B$16+NORMINV(RAND(),0,SQRT($B$13*($B$7+$B$8^2))*$B$9*(1-$B$10))</f>
        <v>4407.34156327877</v>
      </c>
      <c r="N480" s="14" t="n">
        <f aca="true">$B$16+NORMINV(RAND(),0,SQRT($B$13*($B$7+$B$8^2))*$B$9*(1-$B$10))</f>
        <v>4429.29745405696</v>
      </c>
      <c r="O480" s="14" t="n">
        <f aca="true">$B$16+NORMINV(RAND(),0,SQRT($B$13*($B$7+$B$8^2))*$B$9*(1-$B$10))</f>
        <v>4502.80704237973</v>
      </c>
      <c r="P480" s="14" t="n">
        <f aca="true">$B$16+NORMINV(RAND(),0,SQRT($B$13*($B$7+$B$8^2))*$B$9*(1-$B$10))</f>
        <v>3995.09048842944</v>
      </c>
      <c r="Q480" s="14" t="n">
        <f aca="true">$B$16+NORMINV(RAND(),0,SQRT($B$13*($B$7+$B$8^2))*$B$9*(1-$B$10))</f>
        <v>4240.77517358614</v>
      </c>
      <c r="R480" s="14" t="n">
        <f aca="false">$B$4-13*($B$5+$B$6)/30-IF($B$11&lt;=13,$B$12,0)+0</f>
        <v>8876.66666666667</v>
      </c>
      <c r="S480" s="14" t="n">
        <f aca="false">$B$4-27*($B$5+$B$6)/30-IF($B$11&lt;=27,$B$12,0)+L480</f>
        <v>10809.4481807492</v>
      </c>
      <c r="T480" s="14" t="n">
        <f aca="false">$B$4-41*($B$5+$B$6)/30-IF($B$11&lt;=41,$B$12,0)+L480+M480</f>
        <v>1745.32307736128</v>
      </c>
      <c r="U480" s="14" t="n">
        <f aca="false">$B$4-55*($B$5+$B$6)/30-IF($B$11&lt;=55,$B$12,0)+L480+M480+N480</f>
        <v>3887.95386475157</v>
      </c>
      <c r="V480" s="14" t="n">
        <f aca="false">$B$4-69*($B$5+$B$6)/30-IF($B$11&lt;=69,$B$12,0)+L480+M480+N480+O480</f>
        <v>6104.09424046464</v>
      </c>
      <c r="W480" s="14" t="n">
        <f aca="false">$B$4-83*($B$5+$B$6)/30-IF($B$11&lt;=83,$B$12,0)+L480+M480+N480+O480+P480</f>
        <v>7812.5180622274</v>
      </c>
      <c r="X480" s="14" t="n">
        <f aca="false">$B$4-90*($B$5+$B$6)/30-IF($B$11&lt;=90,$B$12,0)+L480+M480+N480+O480+P480+Q480</f>
        <v>10909.9599024802</v>
      </c>
      <c r="AA480" s="14" t="n">
        <f aca="false">MIN(R480:X480)</f>
        <v>1745.32307736128</v>
      </c>
    </row>
    <row r="481" customFormat="false" ht="15" hidden="false" customHeight="false" outlineLevel="0" collapsed="false">
      <c r="K481" s="2" t="n">
        <v>476</v>
      </c>
      <c r="L481" s="14" t="n">
        <f aca="true">$B$16+NORMINV(RAND(),0,SQRT($B$13*($B$7+$B$8^2))*$B$9*(1-$B$10))</f>
        <v>4259.91865653628</v>
      </c>
      <c r="M481" s="14" t="n">
        <f aca="true">$B$16+NORMINV(RAND(),0,SQRT($B$13*($B$7+$B$8^2))*$B$9*(1-$B$10))</f>
        <v>3953.51386520229</v>
      </c>
      <c r="N481" s="14" t="n">
        <f aca="true">$B$16+NORMINV(RAND(),0,SQRT($B$13*($B$7+$B$8^2))*$B$9*(1-$B$10))</f>
        <v>4074.93514654876</v>
      </c>
      <c r="O481" s="14" t="n">
        <f aca="true">$B$16+NORMINV(RAND(),0,SQRT($B$13*($B$7+$B$8^2))*$B$9*(1-$B$10))</f>
        <v>3719.39810050125</v>
      </c>
      <c r="P481" s="14" t="n">
        <f aca="true">$B$16+NORMINV(RAND(),0,SQRT($B$13*($B$7+$B$8^2))*$B$9*(1-$B$10))</f>
        <v>4089.3312105474</v>
      </c>
      <c r="Q481" s="14" t="n">
        <f aca="true">$B$16+NORMINV(RAND(),0,SQRT($B$13*($B$7+$B$8^2))*$B$9*(1-$B$10))</f>
        <v>3782.04705992908</v>
      </c>
      <c r="R481" s="14" t="n">
        <f aca="false">$B$4-13*($B$5+$B$6)/30-IF($B$11&lt;=13,$B$12,0)+0</f>
        <v>8876.66666666667</v>
      </c>
      <c r="S481" s="14" t="n">
        <f aca="false">$B$4-27*($B$5+$B$6)/30-IF($B$11&lt;=27,$B$12,0)+L481</f>
        <v>10849.9186565363</v>
      </c>
      <c r="T481" s="14" t="n">
        <f aca="false">$B$4-41*($B$5+$B$6)/30-IF($B$11&lt;=41,$B$12,0)+L481+M481</f>
        <v>1331.96585507191</v>
      </c>
      <c r="U481" s="14" t="n">
        <f aca="false">$B$4-55*($B$5+$B$6)/30-IF($B$11&lt;=55,$B$12,0)+L481+M481+N481</f>
        <v>3120.234334954</v>
      </c>
      <c r="V481" s="14" t="n">
        <f aca="false">$B$4-69*($B$5+$B$6)/30-IF($B$11&lt;=69,$B$12,0)+L481+M481+N481+O481</f>
        <v>4552.96576878858</v>
      </c>
      <c r="W481" s="14" t="n">
        <f aca="false">$B$4-83*($B$5+$B$6)/30-IF($B$11&lt;=83,$B$12,0)+L481+M481+N481+O481+P481</f>
        <v>6355.63031266931</v>
      </c>
      <c r="X481" s="14" t="n">
        <f aca="false">$B$4-90*($B$5+$B$6)/30-IF($B$11&lt;=90,$B$12,0)+L481+M481+N481+O481+P481+Q481</f>
        <v>8994.34403926506</v>
      </c>
      <c r="AA481" s="14" t="n">
        <f aca="false">MIN(R481:X481)</f>
        <v>1331.96585507191</v>
      </c>
    </row>
    <row r="482" customFormat="false" ht="15" hidden="false" customHeight="false" outlineLevel="0" collapsed="false">
      <c r="K482" s="2" t="n">
        <v>477</v>
      </c>
      <c r="L482" s="14" t="n">
        <f aca="true">$B$16+NORMINV(RAND(),0,SQRT($B$13*($B$7+$B$8^2))*$B$9*(1-$B$10))</f>
        <v>3899.57217559716</v>
      </c>
      <c r="M482" s="14" t="n">
        <f aca="true">$B$16+NORMINV(RAND(),0,SQRT($B$13*($B$7+$B$8^2))*$B$9*(1-$B$10))</f>
        <v>3290.78773481012</v>
      </c>
      <c r="N482" s="14" t="n">
        <f aca="true">$B$16+NORMINV(RAND(),0,SQRT($B$13*($B$7+$B$8^2))*$B$9*(1-$B$10))</f>
        <v>4347.50893895326</v>
      </c>
      <c r="O482" s="14" t="n">
        <f aca="true">$B$16+NORMINV(RAND(),0,SQRT($B$13*($B$7+$B$8^2))*$B$9*(1-$B$10))</f>
        <v>4092.73627765258</v>
      </c>
      <c r="P482" s="14" t="n">
        <f aca="true">$B$16+NORMINV(RAND(),0,SQRT($B$13*($B$7+$B$8^2))*$B$9*(1-$B$10))</f>
        <v>4154.45632062449</v>
      </c>
      <c r="Q482" s="14" t="n">
        <f aca="true">$B$16+NORMINV(RAND(),0,SQRT($B$13*($B$7+$B$8^2))*$B$9*(1-$B$10))</f>
        <v>3710.74903735527</v>
      </c>
      <c r="R482" s="14" t="n">
        <f aca="false">$B$4-13*($B$5+$B$6)/30-IF($B$11&lt;=13,$B$12,0)+0</f>
        <v>8876.66666666667</v>
      </c>
      <c r="S482" s="14" t="n">
        <f aca="false">$B$4-27*($B$5+$B$6)/30-IF($B$11&lt;=27,$B$12,0)+L482</f>
        <v>10489.5721755972</v>
      </c>
      <c r="T482" s="14" t="n">
        <f aca="false">$B$4-41*($B$5+$B$6)/30-IF($B$11&lt;=41,$B$12,0)+L482+M482</f>
        <v>308.893243740612</v>
      </c>
      <c r="U482" s="14" t="n">
        <f aca="false">$B$4-55*($B$5+$B$6)/30-IF($B$11&lt;=55,$B$12,0)+L482+M482+N482</f>
        <v>2369.7355160272</v>
      </c>
      <c r="V482" s="14" t="n">
        <f aca="false">$B$4-69*($B$5+$B$6)/30-IF($B$11&lt;=69,$B$12,0)+L482+M482+N482+O482</f>
        <v>4175.80512701311</v>
      </c>
      <c r="W482" s="14" t="n">
        <f aca="false">$B$4-83*($B$5+$B$6)/30-IF($B$11&lt;=83,$B$12,0)+L482+M482+N482+O482+P482</f>
        <v>6043.59478097093</v>
      </c>
      <c r="X482" s="14" t="n">
        <f aca="false">$B$4-90*($B$5+$B$6)/30-IF($B$11&lt;=90,$B$12,0)+L482+M482+N482+O482+P482+Q482</f>
        <v>8611.01048499287</v>
      </c>
      <c r="AA482" s="14" t="n">
        <f aca="false">MIN(R482:X482)</f>
        <v>308.893243740612</v>
      </c>
    </row>
    <row r="483" customFormat="false" ht="15" hidden="false" customHeight="false" outlineLevel="0" collapsed="false">
      <c r="K483" s="2" t="n">
        <v>478</v>
      </c>
      <c r="L483" s="14" t="n">
        <f aca="true">$B$16+NORMINV(RAND(),0,SQRT($B$13*($B$7+$B$8^2))*$B$9*(1-$B$10))</f>
        <v>4098.14845522354</v>
      </c>
      <c r="M483" s="14" t="n">
        <f aca="true">$B$16+NORMINV(RAND(),0,SQRT($B$13*($B$7+$B$8^2))*$B$9*(1-$B$10))</f>
        <v>3594.40578702692</v>
      </c>
      <c r="N483" s="14" t="n">
        <f aca="true">$B$16+NORMINV(RAND(),0,SQRT($B$13*($B$7+$B$8^2))*$B$9*(1-$B$10))</f>
        <v>3964.40059138612</v>
      </c>
      <c r="O483" s="14" t="n">
        <f aca="true">$B$16+NORMINV(RAND(),0,SQRT($B$13*($B$7+$B$8^2))*$B$9*(1-$B$10))</f>
        <v>4184.51350798581</v>
      </c>
      <c r="P483" s="14" t="n">
        <f aca="true">$B$16+NORMINV(RAND(),0,SQRT($B$13*($B$7+$B$8^2))*$B$9*(1-$B$10))</f>
        <v>3710.91207257978</v>
      </c>
      <c r="Q483" s="14" t="n">
        <f aca="true">$B$16+NORMINV(RAND(),0,SQRT($B$13*($B$7+$B$8^2))*$B$9*(1-$B$10))</f>
        <v>4032.87465407773</v>
      </c>
      <c r="R483" s="14" t="n">
        <f aca="false">$B$4-13*($B$5+$B$6)/30-IF($B$11&lt;=13,$B$12,0)+0</f>
        <v>8876.66666666667</v>
      </c>
      <c r="S483" s="14" t="n">
        <f aca="false">$B$4-27*($B$5+$B$6)/30-IF($B$11&lt;=27,$B$12,0)+L483</f>
        <v>10688.1484552235</v>
      </c>
      <c r="T483" s="14" t="n">
        <f aca="false">$B$4-41*($B$5+$B$6)/30-IF($B$11&lt;=41,$B$12,0)+L483+M483</f>
        <v>811.087575583794</v>
      </c>
      <c r="U483" s="14" t="n">
        <f aca="false">$B$4-55*($B$5+$B$6)/30-IF($B$11&lt;=55,$B$12,0)+L483+M483+N483</f>
        <v>2488.82150030324</v>
      </c>
      <c r="V483" s="14" t="n">
        <f aca="false">$B$4-69*($B$5+$B$6)/30-IF($B$11&lt;=69,$B$12,0)+L483+M483+N483+O483</f>
        <v>4386.66834162239</v>
      </c>
      <c r="W483" s="14" t="n">
        <f aca="false">$B$4-83*($B$5+$B$6)/30-IF($B$11&lt;=83,$B$12,0)+L483+M483+N483+O483+P483</f>
        <v>5810.9137475355</v>
      </c>
      <c r="X483" s="14" t="n">
        <f aca="false">$B$4-90*($B$5+$B$6)/30-IF($B$11&lt;=90,$B$12,0)+L483+M483+N483+O483+P483+Q483</f>
        <v>8700.45506827989</v>
      </c>
      <c r="AA483" s="14" t="n">
        <f aca="false">MIN(R483:X483)</f>
        <v>811.087575583794</v>
      </c>
    </row>
    <row r="484" customFormat="false" ht="15" hidden="false" customHeight="false" outlineLevel="0" collapsed="false">
      <c r="K484" s="2" t="n">
        <v>479</v>
      </c>
      <c r="L484" s="14" t="n">
        <f aca="true">$B$16+NORMINV(RAND(),0,SQRT($B$13*($B$7+$B$8^2))*$B$9*(1-$B$10))</f>
        <v>3720.61021414175</v>
      </c>
      <c r="M484" s="14" t="n">
        <f aca="true">$B$16+NORMINV(RAND(),0,SQRT($B$13*($B$7+$B$8^2))*$B$9*(1-$B$10))</f>
        <v>3953.43977682642</v>
      </c>
      <c r="N484" s="14" t="n">
        <f aca="true">$B$16+NORMINV(RAND(),0,SQRT($B$13*($B$7+$B$8^2))*$B$9*(1-$B$10))</f>
        <v>4094.33075170714</v>
      </c>
      <c r="O484" s="14" t="n">
        <f aca="true">$B$16+NORMINV(RAND(),0,SQRT($B$13*($B$7+$B$8^2))*$B$9*(1-$B$10))</f>
        <v>3880.33100392031</v>
      </c>
      <c r="P484" s="14" t="n">
        <f aca="true">$B$16+NORMINV(RAND(),0,SQRT($B$13*($B$7+$B$8^2))*$B$9*(1-$B$10))</f>
        <v>4700.31635636998</v>
      </c>
      <c r="Q484" s="14" t="n">
        <f aca="true">$B$16+NORMINV(RAND(),0,SQRT($B$13*($B$7+$B$8^2))*$B$9*(1-$B$10))</f>
        <v>4069.24365358223</v>
      </c>
      <c r="R484" s="14" t="n">
        <f aca="false">$B$4-13*($B$5+$B$6)/30-IF($B$11&lt;=13,$B$12,0)+0</f>
        <v>8876.66666666667</v>
      </c>
      <c r="S484" s="14" t="n">
        <f aca="false">$B$4-27*($B$5+$B$6)/30-IF($B$11&lt;=27,$B$12,0)+L484</f>
        <v>10310.6102141418</v>
      </c>
      <c r="T484" s="14" t="n">
        <f aca="false">$B$4-41*($B$5+$B$6)/30-IF($B$11&lt;=41,$B$12,0)+L484+M484</f>
        <v>792.583324301508</v>
      </c>
      <c r="U484" s="14" t="n">
        <f aca="false">$B$4-55*($B$5+$B$6)/30-IF($B$11&lt;=55,$B$12,0)+L484+M484+N484</f>
        <v>2600.24740934198</v>
      </c>
      <c r="V484" s="14" t="n">
        <f aca="false">$B$4-69*($B$5+$B$6)/30-IF($B$11&lt;=69,$B$12,0)+L484+M484+N484+O484</f>
        <v>4193.91174659563</v>
      </c>
      <c r="W484" s="14" t="n">
        <f aca="false">$B$4-83*($B$5+$B$6)/30-IF($B$11&lt;=83,$B$12,0)+L484+M484+N484+O484+P484</f>
        <v>6607.56143629894</v>
      </c>
      <c r="X484" s="14" t="n">
        <f aca="false">$B$4-90*($B$5+$B$6)/30-IF($B$11&lt;=90,$B$12,0)+L484+M484+N484+O484+P484+Q484</f>
        <v>9533.47175654784</v>
      </c>
      <c r="AA484" s="14" t="n">
        <f aca="false">MIN(R484:X484)</f>
        <v>792.583324301508</v>
      </c>
    </row>
    <row r="485" customFormat="false" ht="15" hidden="false" customHeight="false" outlineLevel="0" collapsed="false">
      <c r="K485" s="2" t="n">
        <v>480</v>
      </c>
      <c r="L485" s="14" t="n">
        <f aca="true">$B$16+NORMINV(RAND(),0,SQRT($B$13*($B$7+$B$8^2))*$B$9*(1-$B$10))</f>
        <v>3357.54880939884</v>
      </c>
      <c r="M485" s="14" t="n">
        <f aca="true">$B$16+NORMINV(RAND(),0,SQRT($B$13*($B$7+$B$8^2))*$B$9*(1-$B$10))</f>
        <v>4234.4147219672</v>
      </c>
      <c r="N485" s="14" t="n">
        <f aca="true">$B$16+NORMINV(RAND(),0,SQRT($B$13*($B$7+$B$8^2))*$B$9*(1-$B$10))</f>
        <v>4196.99359964411</v>
      </c>
      <c r="O485" s="14" t="n">
        <f aca="true">$B$16+NORMINV(RAND(),0,SQRT($B$13*($B$7+$B$8^2))*$B$9*(1-$B$10))</f>
        <v>3778.31574151224</v>
      </c>
      <c r="P485" s="14" t="n">
        <f aca="true">$B$16+NORMINV(RAND(),0,SQRT($B$13*($B$7+$B$8^2))*$B$9*(1-$B$10))</f>
        <v>3969.63524945164</v>
      </c>
      <c r="Q485" s="14" t="n">
        <f aca="true">$B$16+NORMINV(RAND(),0,SQRT($B$13*($B$7+$B$8^2))*$B$9*(1-$B$10))</f>
        <v>3380.60440446652</v>
      </c>
      <c r="R485" s="14" t="n">
        <f aca="false">$B$4-13*($B$5+$B$6)/30-IF($B$11&lt;=13,$B$12,0)+0</f>
        <v>8876.66666666667</v>
      </c>
      <c r="S485" s="14" t="n">
        <f aca="false">$B$4-27*($B$5+$B$6)/30-IF($B$11&lt;=27,$B$12,0)+L485</f>
        <v>9947.54880939884</v>
      </c>
      <c r="T485" s="14" t="n">
        <f aca="false">$B$4-41*($B$5+$B$6)/30-IF($B$11&lt;=41,$B$12,0)+L485+M485</f>
        <v>710.496864699373</v>
      </c>
      <c r="U485" s="14" t="n">
        <f aca="false">$B$4-55*($B$5+$B$6)/30-IF($B$11&lt;=55,$B$12,0)+L485+M485+N485</f>
        <v>2620.82379767682</v>
      </c>
      <c r="V485" s="14" t="n">
        <f aca="false">$B$4-69*($B$5+$B$6)/30-IF($B$11&lt;=69,$B$12,0)+L485+M485+N485+O485</f>
        <v>4112.4728725224</v>
      </c>
      <c r="W485" s="14" t="n">
        <f aca="false">$B$4-83*($B$5+$B$6)/30-IF($B$11&lt;=83,$B$12,0)+L485+M485+N485+O485+P485</f>
        <v>5795.44145530737</v>
      </c>
      <c r="X485" s="14" t="n">
        <f aca="false">$B$4-90*($B$5+$B$6)/30-IF($B$11&lt;=90,$B$12,0)+L485+M485+N485+O485+P485+Q485</f>
        <v>8032.71252644055</v>
      </c>
      <c r="AA485" s="14" t="n">
        <f aca="false">MIN(R485:X485)</f>
        <v>710.496864699373</v>
      </c>
    </row>
    <row r="486" customFormat="false" ht="15" hidden="false" customHeight="false" outlineLevel="0" collapsed="false">
      <c r="K486" s="2" t="n">
        <v>481</v>
      </c>
      <c r="L486" s="14" t="n">
        <f aca="true">$B$16+NORMINV(RAND(),0,SQRT($B$13*($B$7+$B$8^2))*$B$9*(1-$B$10))</f>
        <v>4550.1016220481</v>
      </c>
      <c r="M486" s="14" t="n">
        <f aca="true">$B$16+NORMINV(RAND(),0,SQRT($B$13*($B$7+$B$8^2))*$B$9*(1-$B$10))</f>
        <v>4480.52697304324</v>
      </c>
      <c r="N486" s="14" t="n">
        <f aca="true">$B$16+NORMINV(RAND(),0,SQRT($B$13*($B$7+$B$8^2))*$B$9*(1-$B$10))</f>
        <v>3846.89316582924</v>
      </c>
      <c r="O486" s="14" t="n">
        <f aca="true">$B$16+NORMINV(RAND(),0,SQRT($B$13*($B$7+$B$8^2))*$B$9*(1-$B$10))</f>
        <v>3919.98314461997</v>
      </c>
      <c r="P486" s="14" t="n">
        <f aca="true">$B$16+NORMINV(RAND(),0,SQRT($B$13*($B$7+$B$8^2))*$B$9*(1-$B$10))</f>
        <v>3688.0885524476</v>
      </c>
      <c r="Q486" s="14" t="n">
        <f aca="true">$B$16+NORMINV(RAND(),0,SQRT($B$13*($B$7+$B$8^2))*$B$9*(1-$B$10))</f>
        <v>3973.08513948827</v>
      </c>
      <c r="R486" s="14" t="n">
        <f aca="false">$B$4-13*($B$5+$B$6)/30-IF($B$11&lt;=13,$B$12,0)+0</f>
        <v>8876.66666666667</v>
      </c>
      <c r="S486" s="14" t="n">
        <f aca="false">$B$4-27*($B$5+$B$6)/30-IF($B$11&lt;=27,$B$12,0)+L486</f>
        <v>11140.1016220481</v>
      </c>
      <c r="T486" s="14" t="n">
        <f aca="false">$B$4-41*($B$5+$B$6)/30-IF($B$11&lt;=41,$B$12,0)+L486+M486</f>
        <v>2149.16192842467</v>
      </c>
      <c r="U486" s="14" t="n">
        <f aca="false">$B$4-55*($B$5+$B$6)/30-IF($B$11&lt;=55,$B$12,0)+L486+M486+N486</f>
        <v>3709.38842758724</v>
      </c>
      <c r="V486" s="14" t="n">
        <f aca="false">$B$4-69*($B$5+$B$6)/30-IF($B$11&lt;=69,$B$12,0)+L486+M486+N486+O486</f>
        <v>5342.70490554054</v>
      </c>
      <c r="W486" s="14" t="n">
        <f aca="false">$B$4-83*($B$5+$B$6)/30-IF($B$11&lt;=83,$B$12,0)+L486+M486+N486+O486+P486</f>
        <v>6744.12679132148</v>
      </c>
      <c r="X486" s="14" t="n">
        <f aca="false">$B$4-90*($B$5+$B$6)/30-IF($B$11&lt;=90,$B$12,0)+L486+M486+N486+O486+P486+Q486</f>
        <v>9573.87859747641</v>
      </c>
      <c r="AA486" s="14" t="n">
        <f aca="false">MIN(R486:X486)</f>
        <v>2149.16192842467</v>
      </c>
    </row>
    <row r="487" customFormat="false" ht="15" hidden="false" customHeight="false" outlineLevel="0" collapsed="false">
      <c r="K487" s="2" t="n">
        <v>482</v>
      </c>
      <c r="L487" s="14" t="n">
        <f aca="true">$B$16+NORMINV(RAND(),0,SQRT($B$13*($B$7+$B$8^2))*$B$9*(1-$B$10))</f>
        <v>3832.82097559482</v>
      </c>
      <c r="M487" s="14" t="n">
        <f aca="true">$B$16+NORMINV(RAND(),0,SQRT($B$13*($B$7+$B$8^2))*$B$9*(1-$B$10))</f>
        <v>3745.19988244009</v>
      </c>
      <c r="N487" s="14" t="n">
        <f aca="true">$B$16+NORMINV(RAND(),0,SQRT($B$13*($B$7+$B$8^2))*$B$9*(1-$B$10))</f>
        <v>3777.54292747905</v>
      </c>
      <c r="O487" s="14" t="n">
        <f aca="true">$B$16+NORMINV(RAND(),0,SQRT($B$13*($B$7+$B$8^2))*$B$9*(1-$B$10))</f>
        <v>3254.07774755218</v>
      </c>
      <c r="P487" s="14" t="n">
        <f aca="true">$B$16+NORMINV(RAND(),0,SQRT($B$13*($B$7+$B$8^2))*$B$9*(1-$B$10))</f>
        <v>3995.87309361822</v>
      </c>
      <c r="Q487" s="14" t="n">
        <f aca="true">$B$16+NORMINV(RAND(),0,SQRT($B$13*($B$7+$B$8^2))*$B$9*(1-$B$10))</f>
        <v>4210.38510203845</v>
      </c>
      <c r="R487" s="14" t="n">
        <f aca="false">$B$4-13*($B$5+$B$6)/30-IF($B$11&lt;=13,$B$12,0)+0</f>
        <v>8876.66666666667</v>
      </c>
      <c r="S487" s="14" t="n">
        <f aca="false">$B$4-27*($B$5+$B$6)/30-IF($B$11&lt;=27,$B$12,0)+L487</f>
        <v>10422.8209755948</v>
      </c>
      <c r="T487" s="14" t="n">
        <f aca="false">$B$4-41*($B$5+$B$6)/30-IF($B$11&lt;=41,$B$12,0)+L487+M487</f>
        <v>696.554191368245</v>
      </c>
      <c r="U487" s="14" t="n">
        <f aca="false">$B$4-55*($B$5+$B$6)/30-IF($B$11&lt;=55,$B$12,0)+L487+M487+N487</f>
        <v>2187.43045218063</v>
      </c>
      <c r="V487" s="14" t="n">
        <f aca="false">$B$4-69*($B$5+$B$6)/30-IF($B$11&lt;=69,$B$12,0)+L487+M487+N487+O487</f>
        <v>3154.84153306614</v>
      </c>
      <c r="W487" s="14" t="n">
        <f aca="false">$B$4-83*($B$5+$B$6)/30-IF($B$11&lt;=83,$B$12,0)+L487+M487+N487+O487+P487</f>
        <v>4864.04796001769</v>
      </c>
      <c r="X487" s="14" t="n">
        <f aca="false">$B$4-90*($B$5+$B$6)/30-IF($B$11&lt;=90,$B$12,0)+L487+M487+N487+O487+P487+Q487</f>
        <v>7931.09972872281</v>
      </c>
      <c r="AA487" s="14" t="n">
        <f aca="false">MIN(R487:X487)</f>
        <v>696.554191368245</v>
      </c>
    </row>
    <row r="488" customFormat="false" ht="15" hidden="false" customHeight="false" outlineLevel="0" collapsed="false">
      <c r="K488" s="2" t="n">
        <v>483</v>
      </c>
      <c r="L488" s="14" t="n">
        <f aca="true">$B$16+NORMINV(RAND(),0,SQRT($B$13*($B$7+$B$8^2))*$B$9*(1-$B$10))</f>
        <v>3537.20921668242</v>
      </c>
      <c r="M488" s="14" t="n">
        <f aca="true">$B$16+NORMINV(RAND(),0,SQRT($B$13*($B$7+$B$8^2))*$B$9*(1-$B$10))</f>
        <v>3799.88451920041</v>
      </c>
      <c r="N488" s="14" t="n">
        <f aca="true">$B$16+NORMINV(RAND(),0,SQRT($B$13*($B$7+$B$8^2))*$B$9*(1-$B$10))</f>
        <v>4151.25680151608</v>
      </c>
      <c r="O488" s="14" t="n">
        <f aca="true">$B$16+NORMINV(RAND(),0,SQRT($B$13*($B$7+$B$8^2))*$B$9*(1-$B$10))</f>
        <v>4240.06077237552</v>
      </c>
      <c r="P488" s="14" t="n">
        <f aca="true">$B$16+NORMINV(RAND(),0,SQRT($B$13*($B$7+$B$8^2))*$B$9*(1-$B$10))</f>
        <v>3943.7881425486</v>
      </c>
      <c r="Q488" s="14" t="n">
        <f aca="true">$B$16+NORMINV(RAND(),0,SQRT($B$13*($B$7+$B$8^2))*$B$9*(1-$B$10))</f>
        <v>3798.16305554241</v>
      </c>
      <c r="R488" s="14" t="n">
        <f aca="false">$B$4-13*($B$5+$B$6)/30-IF($B$11&lt;=13,$B$12,0)+0</f>
        <v>8876.66666666667</v>
      </c>
      <c r="S488" s="14" t="n">
        <f aca="false">$B$4-27*($B$5+$B$6)/30-IF($B$11&lt;=27,$B$12,0)+L488</f>
        <v>10127.2092166824</v>
      </c>
      <c r="T488" s="14" t="n">
        <f aca="false">$B$4-41*($B$5+$B$6)/30-IF($B$11&lt;=41,$B$12,0)+L488+M488</f>
        <v>455.627069216166</v>
      </c>
      <c r="U488" s="14" t="n">
        <f aca="false">$B$4-55*($B$5+$B$6)/30-IF($B$11&lt;=55,$B$12,0)+L488+M488+N488</f>
        <v>2320.21720406558</v>
      </c>
      <c r="V488" s="14" t="n">
        <f aca="false">$B$4-69*($B$5+$B$6)/30-IF($B$11&lt;=69,$B$12,0)+L488+M488+N488+O488</f>
        <v>4273.61130977443</v>
      </c>
      <c r="W488" s="14" t="n">
        <f aca="false">$B$4-83*($B$5+$B$6)/30-IF($B$11&lt;=83,$B$12,0)+L488+M488+N488+O488+P488</f>
        <v>5930.73278565636</v>
      </c>
      <c r="X488" s="14" t="n">
        <f aca="false">$B$4-90*($B$5+$B$6)/30-IF($B$11&lt;=90,$B$12,0)+L488+M488+N488+O488+P488+Q488</f>
        <v>8585.56250786544</v>
      </c>
      <c r="AA488" s="14" t="n">
        <f aca="false">MIN(R488:X488)</f>
        <v>455.627069216166</v>
      </c>
    </row>
    <row r="489" customFormat="false" ht="15" hidden="false" customHeight="false" outlineLevel="0" collapsed="false">
      <c r="K489" s="2" t="n">
        <v>484</v>
      </c>
      <c r="L489" s="14" t="n">
        <f aca="true">$B$16+NORMINV(RAND(),0,SQRT($B$13*($B$7+$B$8^2))*$B$9*(1-$B$10))</f>
        <v>4168.2187785471</v>
      </c>
      <c r="M489" s="14" t="n">
        <f aca="true">$B$16+NORMINV(RAND(),0,SQRT($B$13*($B$7+$B$8^2))*$B$9*(1-$B$10))</f>
        <v>3677.49361923211</v>
      </c>
      <c r="N489" s="14" t="n">
        <f aca="true">$B$16+NORMINV(RAND(),0,SQRT($B$13*($B$7+$B$8^2))*$B$9*(1-$B$10))</f>
        <v>3602.03485888138</v>
      </c>
      <c r="O489" s="14" t="n">
        <f aca="true">$B$16+NORMINV(RAND(),0,SQRT($B$13*($B$7+$B$8^2))*$B$9*(1-$B$10))</f>
        <v>4153.2503374278</v>
      </c>
      <c r="P489" s="14" t="n">
        <f aca="true">$B$16+NORMINV(RAND(),0,SQRT($B$13*($B$7+$B$8^2))*$B$9*(1-$B$10))</f>
        <v>3859.69195026004</v>
      </c>
      <c r="Q489" s="14" t="n">
        <f aca="true">$B$16+NORMINV(RAND(),0,SQRT($B$13*($B$7+$B$8^2))*$B$9*(1-$B$10))</f>
        <v>4444.92107866777</v>
      </c>
      <c r="R489" s="14" t="n">
        <f aca="false">$B$4-13*($B$5+$B$6)/30-IF($B$11&lt;=13,$B$12,0)+0</f>
        <v>8876.66666666667</v>
      </c>
      <c r="S489" s="14" t="n">
        <f aca="false">$B$4-27*($B$5+$B$6)/30-IF($B$11&lt;=27,$B$12,0)+L489</f>
        <v>10758.2187785471</v>
      </c>
      <c r="T489" s="14" t="n">
        <f aca="false">$B$4-41*($B$5+$B$6)/30-IF($B$11&lt;=41,$B$12,0)+L489+M489</f>
        <v>964.245731112545</v>
      </c>
      <c r="U489" s="14" t="n">
        <f aca="false">$B$4-55*($B$5+$B$6)/30-IF($B$11&lt;=55,$B$12,0)+L489+M489+N489</f>
        <v>2279.61392332726</v>
      </c>
      <c r="V489" s="14" t="n">
        <f aca="false">$B$4-69*($B$5+$B$6)/30-IF($B$11&lt;=69,$B$12,0)+L489+M489+N489+O489</f>
        <v>4146.19759408839</v>
      </c>
      <c r="W489" s="14" t="n">
        <f aca="false">$B$4-83*($B$5+$B$6)/30-IF($B$11&lt;=83,$B$12,0)+L489+M489+N489+O489+P489</f>
        <v>5719.22287768177</v>
      </c>
      <c r="X489" s="14" t="n">
        <f aca="false">$B$4-90*($B$5+$B$6)/30-IF($B$11&lt;=90,$B$12,0)+L489+M489+N489+O489+P489+Q489</f>
        <v>9020.8106230162</v>
      </c>
      <c r="AA489" s="14" t="n">
        <f aca="false">MIN(R489:X489)</f>
        <v>964.245731112545</v>
      </c>
    </row>
    <row r="490" customFormat="false" ht="15" hidden="false" customHeight="false" outlineLevel="0" collapsed="false">
      <c r="K490" s="2" t="n">
        <v>485</v>
      </c>
      <c r="L490" s="14" t="n">
        <f aca="true">$B$16+NORMINV(RAND(),0,SQRT($B$13*($B$7+$B$8^2))*$B$9*(1-$B$10))</f>
        <v>3644.45728229054</v>
      </c>
      <c r="M490" s="14" t="n">
        <f aca="true">$B$16+NORMINV(RAND(),0,SQRT($B$13*($B$7+$B$8^2))*$B$9*(1-$B$10))</f>
        <v>4255.27973231429</v>
      </c>
      <c r="N490" s="14" t="n">
        <f aca="true">$B$16+NORMINV(RAND(),0,SQRT($B$13*($B$7+$B$8^2))*$B$9*(1-$B$10))</f>
        <v>3853.47399838563</v>
      </c>
      <c r="O490" s="14" t="n">
        <f aca="true">$B$16+NORMINV(RAND(),0,SQRT($B$13*($B$7+$B$8^2))*$B$9*(1-$B$10))</f>
        <v>3983.97178038567</v>
      </c>
      <c r="P490" s="14" t="n">
        <f aca="true">$B$16+NORMINV(RAND(),0,SQRT($B$13*($B$7+$B$8^2))*$B$9*(1-$B$10))</f>
        <v>3905.95311398528</v>
      </c>
      <c r="Q490" s="14" t="n">
        <f aca="true">$B$16+NORMINV(RAND(),0,SQRT($B$13*($B$7+$B$8^2))*$B$9*(1-$B$10))</f>
        <v>4336.78039857565</v>
      </c>
      <c r="R490" s="14" t="n">
        <f aca="false">$B$4-13*($B$5+$B$6)/30-IF($B$11&lt;=13,$B$12,0)+0</f>
        <v>8876.66666666667</v>
      </c>
      <c r="S490" s="14" t="n">
        <f aca="false">$B$4-27*($B$5+$B$6)/30-IF($B$11&lt;=27,$B$12,0)+L490</f>
        <v>10234.4572822905</v>
      </c>
      <c r="T490" s="14" t="n">
        <f aca="false">$B$4-41*($B$5+$B$6)/30-IF($B$11&lt;=41,$B$12,0)+L490+M490</f>
        <v>1018.27034793816</v>
      </c>
      <c r="U490" s="14" t="n">
        <f aca="false">$B$4-55*($B$5+$B$6)/30-IF($B$11&lt;=55,$B$12,0)+L490+M490+N490</f>
        <v>2585.07767965712</v>
      </c>
      <c r="V490" s="14" t="n">
        <f aca="false">$B$4-69*($B$5+$B$6)/30-IF($B$11&lt;=69,$B$12,0)+L490+M490+N490+O490</f>
        <v>4282.38279337613</v>
      </c>
      <c r="W490" s="14" t="n">
        <f aca="false">$B$4-83*($B$5+$B$6)/30-IF($B$11&lt;=83,$B$12,0)+L490+M490+N490+O490+P490</f>
        <v>5901.66924069474</v>
      </c>
      <c r="X490" s="14" t="n">
        <f aca="false">$B$4-90*($B$5+$B$6)/30-IF($B$11&lt;=90,$B$12,0)+L490+M490+N490+O490+P490+Q490</f>
        <v>9095.11630593706</v>
      </c>
      <c r="AA490" s="14" t="n">
        <f aca="false">MIN(R490:X490)</f>
        <v>1018.27034793816</v>
      </c>
    </row>
    <row r="491" customFormat="false" ht="15" hidden="false" customHeight="false" outlineLevel="0" collapsed="false">
      <c r="K491" s="2" t="n">
        <v>486</v>
      </c>
      <c r="L491" s="14" t="n">
        <f aca="true">$B$16+NORMINV(RAND(),0,SQRT($B$13*($B$7+$B$8^2))*$B$9*(1-$B$10))</f>
        <v>4104.89143304412</v>
      </c>
      <c r="M491" s="14" t="n">
        <f aca="true">$B$16+NORMINV(RAND(),0,SQRT($B$13*($B$7+$B$8^2))*$B$9*(1-$B$10))</f>
        <v>4275.33465538241</v>
      </c>
      <c r="N491" s="14" t="n">
        <f aca="true">$B$16+NORMINV(RAND(),0,SQRT($B$13*($B$7+$B$8^2))*$B$9*(1-$B$10))</f>
        <v>3770.44379131825</v>
      </c>
      <c r="O491" s="14" t="n">
        <f aca="true">$B$16+NORMINV(RAND(),0,SQRT($B$13*($B$7+$B$8^2))*$B$9*(1-$B$10))</f>
        <v>4158.1610772855</v>
      </c>
      <c r="P491" s="14" t="n">
        <f aca="true">$B$16+NORMINV(RAND(),0,SQRT($B$13*($B$7+$B$8^2))*$B$9*(1-$B$10))</f>
        <v>4283.3606187254</v>
      </c>
      <c r="Q491" s="14" t="n">
        <f aca="true">$B$16+NORMINV(RAND(),0,SQRT($B$13*($B$7+$B$8^2))*$B$9*(1-$B$10))</f>
        <v>3508.11616413238</v>
      </c>
      <c r="R491" s="14" t="n">
        <f aca="false">$B$4-13*($B$5+$B$6)/30-IF($B$11&lt;=13,$B$12,0)+0</f>
        <v>8876.66666666667</v>
      </c>
      <c r="S491" s="14" t="n">
        <f aca="false">$B$4-27*($B$5+$B$6)/30-IF($B$11&lt;=27,$B$12,0)+L491</f>
        <v>10694.8914330441</v>
      </c>
      <c r="T491" s="14" t="n">
        <f aca="false">$B$4-41*($B$5+$B$6)/30-IF($B$11&lt;=41,$B$12,0)+L491+M491</f>
        <v>1498.75942175987</v>
      </c>
      <c r="U491" s="14" t="n">
        <f aca="false">$B$4-55*($B$5+$B$6)/30-IF($B$11&lt;=55,$B$12,0)+L491+M491+N491</f>
        <v>2982.53654641145</v>
      </c>
      <c r="V491" s="14" t="n">
        <f aca="false">$B$4-69*($B$5+$B$6)/30-IF($B$11&lt;=69,$B$12,0)+L491+M491+N491+O491</f>
        <v>4854.03095703028</v>
      </c>
      <c r="W491" s="14" t="n">
        <f aca="false">$B$4-83*($B$5+$B$6)/30-IF($B$11&lt;=83,$B$12,0)+L491+M491+N491+O491+P491</f>
        <v>6850.72490908902</v>
      </c>
      <c r="X491" s="14" t="n">
        <f aca="false">$B$4-90*($B$5+$B$6)/30-IF($B$11&lt;=90,$B$12,0)+L491+M491+N491+O491+P491+Q491</f>
        <v>9215.50773988806</v>
      </c>
      <c r="AA491" s="14" t="n">
        <f aca="false">MIN(R491:X491)</f>
        <v>1498.75942175987</v>
      </c>
    </row>
    <row r="492" customFormat="false" ht="15" hidden="false" customHeight="false" outlineLevel="0" collapsed="false">
      <c r="K492" s="2" t="n">
        <v>487</v>
      </c>
      <c r="L492" s="14" t="n">
        <f aca="true">$B$16+NORMINV(RAND(),0,SQRT($B$13*($B$7+$B$8^2))*$B$9*(1-$B$10))</f>
        <v>3552.02540647914</v>
      </c>
      <c r="M492" s="14" t="n">
        <f aca="true">$B$16+NORMINV(RAND(),0,SQRT($B$13*($B$7+$B$8^2))*$B$9*(1-$B$10))</f>
        <v>3695.48332776319</v>
      </c>
      <c r="N492" s="14" t="n">
        <f aca="true">$B$16+NORMINV(RAND(),0,SQRT($B$13*($B$7+$B$8^2))*$B$9*(1-$B$10))</f>
        <v>3769.44522004973</v>
      </c>
      <c r="O492" s="14" t="n">
        <f aca="true">$B$16+NORMINV(RAND(),0,SQRT($B$13*($B$7+$B$8^2))*$B$9*(1-$B$10))</f>
        <v>4313.97220922143</v>
      </c>
      <c r="P492" s="14" t="n">
        <f aca="true">$B$16+NORMINV(RAND(),0,SQRT($B$13*($B$7+$B$8^2))*$B$9*(1-$B$10))</f>
        <v>4350.9375234206</v>
      </c>
      <c r="Q492" s="14" t="n">
        <f aca="true">$B$16+NORMINV(RAND(),0,SQRT($B$13*($B$7+$B$8^2))*$B$9*(1-$B$10))</f>
        <v>4104.32089727618</v>
      </c>
      <c r="R492" s="14" t="n">
        <f aca="false">$B$4-13*($B$5+$B$6)/30-IF($B$11&lt;=13,$B$12,0)+0</f>
        <v>8876.66666666667</v>
      </c>
      <c r="S492" s="14" t="n">
        <f aca="false">$B$4-27*($B$5+$B$6)/30-IF($B$11&lt;=27,$B$12,0)+L492</f>
        <v>10142.0254064791</v>
      </c>
      <c r="T492" s="14" t="n">
        <f aca="false">$B$4-41*($B$5+$B$6)/30-IF($B$11&lt;=41,$B$12,0)+L492+M492</f>
        <v>366.042067575661</v>
      </c>
      <c r="U492" s="14" t="n">
        <f aca="false">$B$4-55*($B$5+$B$6)/30-IF($B$11&lt;=55,$B$12,0)+L492+M492+N492</f>
        <v>1848.82062095872</v>
      </c>
      <c r="V492" s="14" t="n">
        <f aca="false">$B$4-69*($B$5+$B$6)/30-IF($B$11&lt;=69,$B$12,0)+L492+M492+N492+O492</f>
        <v>3876.12616351348</v>
      </c>
      <c r="W492" s="14" t="n">
        <f aca="false">$B$4-83*($B$5+$B$6)/30-IF($B$11&lt;=83,$B$12,0)+L492+M492+N492+O492+P492</f>
        <v>5940.39702026742</v>
      </c>
      <c r="X492" s="14" t="n">
        <f aca="false">$B$4-90*($B$5+$B$6)/30-IF($B$11&lt;=90,$B$12,0)+L492+M492+N492+O492+P492+Q492</f>
        <v>8901.38458421027</v>
      </c>
      <c r="AA492" s="14" t="n">
        <f aca="false">MIN(R492:X492)</f>
        <v>366.042067575661</v>
      </c>
    </row>
    <row r="493" customFormat="false" ht="15" hidden="false" customHeight="false" outlineLevel="0" collapsed="false">
      <c r="K493" s="2" t="n">
        <v>488</v>
      </c>
      <c r="L493" s="14" t="n">
        <f aca="true">$B$16+NORMINV(RAND(),0,SQRT($B$13*($B$7+$B$8^2))*$B$9*(1-$B$10))</f>
        <v>4388.54401911348</v>
      </c>
      <c r="M493" s="14" t="n">
        <f aca="true">$B$16+NORMINV(RAND(),0,SQRT($B$13*($B$7+$B$8^2))*$B$9*(1-$B$10))</f>
        <v>4514.7439738923</v>
      </c>
      <c r="N493" s="14" t="n">
        <f aca="true">$B$16+NORMINV(RAND(),0,SQRT($B$13*($B$7+$B$8^2))*$B$9*(1-$B$10))</f>
        <v>3799.61971709023</v>
      </c>
      <c r="O493" s="14" t="n">
        <f aca="true">$B$16+NORMINV(RAND(),0,SQRT($B$13*($B$7+$B$8^2))*$B$9*(1-$B$10))</f>
        <v>4454.95087714526</v>
      </c>
      <c r="P493" s="14" t="n">
        <f aca="true">$B$16+NORMINV(RAND(),0,SQRT($B$13*($B$7+$B$8^2))*$B$9*(1-$B$10))</f>
        <v>3899.77684452691</v>
      </c>
      <c r="Q493" s="14" t="n">
        <f aca="true">$B$16+NORMINV(RAND(),0,SQRT($B$13*($B$7+$B$8^2))*$B$9*(1-$B$10))</f>
        <v>4303.0619238158</v>
      </c>
      <c r="R493" s="14" t="n">
        <f aca="false">$B$4-13*($B$5+$B$6)/30-IF($B$11&lt;=13,$B$12,0)+0</f>
        <v>8876.66666666667</v>
      </c>
      <c r="S493" s="14" t="n">
        <f aca="false">$B$4-27*($B$5+$B$6)/30-IF($B$11&lt;=27,$B$12,0)+L493</f>
        <v>10978.5440191135</v>
      </c>
      <c r="T493" s="14" t="n">
        <f aca="false">$B$4-41*($B$5+$B$6)/30-IF($B$11&lt;=41,$B$12,0)+L493+M493</f>
        <v>2021.8213263391</v>
      </c>
      <c r="U493" s="14" t="n">
        <f aca="false">$B$4-55*($B$5+$B$6)/30-IF($B$11&lt;=55,$B$12,0)+L493+M493+N493</f>
        <v>3534.77437676267</v>
      </c>
      <c r="V493" s="14" t="n">
        <f aca="false">$B$4-69*($B$5+$B$6)/30-IF($B$11&lt;=69,$B$12,0)+L493+M493+N493+O493</f>
        <v>5703.05858724126</v>
      </c>
      <c r="W493" s="14" t="n">
        <f aca="false">$B$4-83*($B$5+$B$6)/30-IF($B$11&lt;=83,$B$12,0)+L493+M493+N493+O493+P493</f>
        <v>7316.16876510151</v>
      </c>
      <c r="X493" s="14" t="n">
        <f aca="false">$B$4-90*($B$5+$B$6)/30-IF($B$11&lt;=90,$B$12,0)+L493+M493+N493+O493+P493+Q493</f>
        <v>10475.897355584</v>
      </c>
      <c r="AA493" s="14" t="n">
        <f aca="false">MIN(R493:X493)</f>
        <v>2021.8213263391</v>
      </c>
    </row>
    <row r="494" customFormat="false" ht="15" hidden="false" customHeight="false" outlineLevel="0" collapsed="false">
      <c r="K494" s="2" t="n">
        <v>489</v>
      </c>
      <c r="L494" s="14" t="n">
        <f aca="true">$B$16+NORMINV(RAND(),0,SQRT($B$13*($B$7+$B$8^2))*$B$9*(1-$B$10))</f>
        <v>4271.46035057958</v>
      </c>
      <c r="M494" s="14" t="n">
        <f aca="true">$B$16+NORMINV(RAND(),0,SQRT($B$13*($B$7+$B$8^2))*$B$9*(1-$B$10))</f>
        <v>4201.71252630676</v>
      </c>
      <c r="N494" s="14" t="n">
        <f aca="true">$B$16+NORMINV(RAND(),0,SQRT($B$13*($B$7+$B$8^2))*$B$9*(1-$B$10))</f>
        <v>4600.70763318765</v>
      </c>
      <c r="O494" s="14" t="n">
        <f aca="true">$B$16+NORMINV(RAND(),0,SQRT($B$13*($B$7+$B$8^2))*$B$9*(1-$B$10))</f>
        <v>4629.73603829057</v>
      </c>
      <c r="P494" s="14" t="n">
        <f aca="true">$B$16+NORMINV(RAND(),0,SQRT($B$13*($B$7+$B$8^2))*$B$9*(1-$B$10))</f>
        <v>4567.56933597409</v>
      </c>
      <c r="Q494" s="14" t="n">
        <f aca="true">$B$16+NORMINV(RAND(),0,SQRT($B$13*($B$7+$B$8^2))*$B$9*(1-$B$10))</f>
        <v>3847.89059719657</v>
      </c>
      <c r="R494" s="14" t="n">
        <f aca="false">$B$4-13*($B$5+$B$6)/30-IF($B$11&lt;=13,$B$12,0)+0</f>
        <v>8876.66666666667</v>
      </c>
      <c r="S494" s="14" t="n">
        <f aca="false">$B$4-27*($B$5+$B$6)/30-IF($B$11&lt;=27,$B$12,0)+L494</f>
        <v>10861.4603505796</v>
      </c>
      <c r="T494" s="14" t="n">
        <f aca="false">$B$4-41*($B$5+$B$6)/30-IF($B$11&lt;=41,$B$12,0)+L494+M494</f>
        <v>1591.70621021967</v>
      </c>
      <c r="U494" s="14" t="n">
        <f aca="false">$B$4-55*($B$5+$B$6)/30-IF($B$11&lt;=55,$B$12,0)+L494+M494+N494</f>
        <v>3905.74717674066</v>
      </c>
      <c r="V494" s="14" t="n">
        <f aca="false">$B$4-69*($B$5+$B$6)/30-IF($B$11&lt;=69,$B$12,0)+L494+M494+N494+O494</f>
        <v>6248.81654836456</v>
      </c>
      <c r="W494" s="14" t="n">
        <f aca="false">$B$4-83*($B$5+$B$6)/30-IF($B$11&lt;=83,$B$12,0)+L494+M494+N494+O494+P494</f>
        <v>8529.71921767198</v>
      </c>
      <c r="X494" s="14" t="n">
        <f aca="false">$B$4-90*($B$5+$B$6)/30-IF($B$11&lt;=90,$B$12,0)+L494+M494+N494+O494+P494+Q494</f>
        <v>11234.2764815352</v>
      </c>
      <c r="AA494" s="14" t="n">
        <f aca="false">MIN(R494:X494)</f>
        <v>1591.70621021967</v>
      </c>
    </row>
    <row r="495" customFormat="false" ht="15" hidden="false" customHeight="false" outlineLevel="0" collapsed="false">
      <c r="K495" s="2" t="n">
        <v>490</v>
      </c>
      <c r="L495" s="14" t="n">
        <f aca="true">$B$16+NORMINV(RAND(),0,SQRT($B$13*($B$7+$B$8^2))*$B$9*(1-$B$10))</f>
        <v>4351.62127291279</v>
      </c>
      <c r="M495" s="14" t="n">
        <f aca="true">$B$16+NORMINV(RAND(),0,SQRT($B$13*($B$7+$B$8^2))*$B$9*(1-$B$10))</f>
        <v>3712.26697650558</v>
      </c>
      <c r="N495" s="14" t="n">
        <f aca="true">$B$16+NORMINV(RAND(),0,SQRT($B$13*($B$7+$B$8^2))*$B$9*(1-$B$10))</f>
        <v>4200.94288506654</v>
      </c>
      <c r="O495" s="14" t="n">
        <f aca="true">$B$16+NORMINV(RAND(),0,SQRT($B$13*($B$7+$B$8^2))*$B$9*(1-$B$10))</f>
        <v>4001.9915424881</v>
      </c>
      <c r="P495" s="14" t="n">
        <f aca="true">$B$16+NORMINV(RAND(),0,SQRT($B$13*($B$7+$B$8^2))*$B$9*(1-$B$10))</f>
        <v>4022.63878209841</v>
      </c>
      <c r="Q495" s="14" t="n">
        <f aca="true">$B$16+NORMINV(RAND(),0,SQRT($B$13*($B$7+$B$8^2))*$B$9*(1-$B$10))</f>
        <v>3840.87856089533</v>
      </c>
      <c r="R495" s="14" t="n">
        <f aca="false">$B$4-13*($B$5+$B$6)/30-IF($B$11&lt;=13,$B$12,0)+0</f>
        <v>8876.66666666667</v>
      </c>
      <c r="S495" s="14" t="n">
        <f aca="false">$B$4-27*($B$5+$B$6)/30-IF($B$11&lt;=27,$B$12,0)+L495</f>
        <v>10941.6212729128</v>
      </c>
      <c r="T495" s="14" t="n">
        <f aca="false">$B$4-41*($B$5+$B$6)/30-IF($B$11&lt;=41,$B$12,0)+L495+M495</f>
        <v>1182.4215827517</v>
      </c>
      <c r="U495" s="14" t="n">
        <f aca="false">$B$4-55*($B$5+$B$6)/30-IF($B$11&lt;=55,$B$12,0)+L495+M495+N495</f>
        <v>3096.69780115157</v>
      </c>
      <c r="V495" s="14" t="n">
        <f aca="false">$B$4-69*($B$5+$B$6)/30-IF($B$11&lt;=69,$B$12,0)+L495+M495+N495+O495</f>
        <v>4812.022676973</v>
      </c>
      <c r="W495" s="14" t="n">
        <f aca="false">$B$4-83*($B$5+$B$6)/30-IF($B$11&lt;=83,$B$12,0)+L495+M495+N495+O495+P495</f>
        <v>6547.99479240474</v>
      </c>
      <c r="X495" s="14" t="n">
        <f aca="false">$B$4-90*($B$5+$B$6)/30-IF($B$11&lt;=90,$B$12,0)+L495+M495+N495+O495+P495+Q495</f>
        <v>9245.54001996674</v>
      </c>
      <c r="AA495" s="14" t="n">
        <f aca="false">MIN(R495:X495)</f>
        <v>1182.4215827517</v>
      </c>
    </row>
    <row r="496" customFormat="false" ht="15" hidden="false" customHeight="false" outlineLevel="0" collapsed="false">
      <c r="K496" s="2" t="n">
        <v>491</v>
      </c>
      <c r="L496" s="14" t="n">
        <f aca="true">$B$16+NORMINV(RAND(),0,SQRT($B$13*($B$7+$B$8^2))*$B$9*(1-$B$10))</f>
        <v>4156.80011083895</v>
      </c>
      <c r="M496" s="14" t="n">
        <f aca="true">$B$16+NORMINV(RAND(),0,SQRT($B$13*($B$7+$B$8^2))*$B$9*(1-$B$10))</f>
        <v>3446.55625840161</v>
      </c>
      <c r="N496" s="14" t="n">
        <f aca="true">$B$16+NORMINV(RAND(),0,SQRT($B$13*($B$7+$B$8^2))*$B$9*(1-$B$10))</f>
        <v>4300.53728167891</v>
      </c>
      <c r="O496" s="14" t="n">
        <f aca="true">$B$16+NORMINV(RAND(),0,SQRT($B$13*($B$7+$B$8^2))*$B$9*(1-$B$10))</f>
        <v>4305.2538021181</v>
      </c>
      <c r="P496" s="14" t="n">
        <f aca="true">$B$16+NORMINV(RAND(),0,SQRT($B$13*($B$7+$B$8^2))*$B$9*(1-$B$10))</f>
        <v>4540.70447801449</v>
      </c>
      <c r="Q496" s="14" t="n">
        <f aca="true">$B$16+NORMINV(RAND(),0,SQRT($B$13*($B$7+$B$8^2))*$B$9*(1-$B$10))</f>
        <v>4315.65663107762</v>
      </c>
      <c r="R496" s="14" t="n">
        <f aca="false">$B$4-13*($B$5+$B$6)/30-IF($B$11&lt;=13,$B$12,0)+0</f>
        <v>8876.66666666667</v>
      </c>
      <c r="S496" s="14" t="n">
        <f aca="false">$B$4-27*($B$5+$B$6)/30-IF($B$11&lt;=27,$B$12,0)+L496</f>
        <v>10746.800110839</v>
      </c>
      <c r="T496" s="14" t="n">
        <f aca="false">$B$4-41*($B$5+$B$6)/30-IF($B$11&lt;=41,$B$12,0)+L496+M496</f>
        <v>721.889702573895</v>
      </c>
      <c r="U496" s="14" t="n">
        <f aca="false">$B$4-55*($B$5+$B$6)/30-IF($B$11&lt;=55,$B$12,0)+L496+M496+N496</f>
        <v>2735.76031758613</v>
      </c>
      <c r="V496" s="14" t="n">
        <f aca="false">$B$4-69*($B$5+$B$6)/30-IF($B$11&lt;=69,$B$12,0)+L496+M496+N496+O496</f>
        <v>4754.34745303757</v>
      </c>
      <c r="W496" s="14" t="n">
        <f aca="false">$B$4-83*($B$5+$B$6)/30-IF($B$11&lt;=83,$B$12,0)+L496+M496+N496+O496+P496</f>
        <v>7008.38526438539</v>
      </c>
      <c r="X496" s="14" t="n">
        <f aca="false">$B$4-90*($B$5+$B$6)/30-IF($B$11&lt;=90,$B$12,0)+L496+M496+N496+O496+P496+Q496</f>
        <v>10180.7085621297</v>
      </c>
      <c r="AA496" s="14" t="n">
        <f aca="false">MIN(R496:X496)</f>
        <v>721.889702573895</v>
      </c>
    </row>
    <row r="497" customFormat="false" ht="15" hidden="false" customHeight="false" outlineLevel="0" collapsed="false">
      <c r="K497" s="2" t="n">
        <v>492</v>
      </c>
      <c r="L497" s="14" t="n">
        <f aca="true">$B$16+NORMINV(RAND(),0,SQRT($B$13*($B$7+$B$8^2))*$B$9*(1-$B$10))</f>
        <v>3733.51322389185</v>
      </c>
      <c r="M497" s="14" t="n">
        <f aca="true">$B$16+NORMINV(RAND(),0,SQRT($B$13*($B$7+$B$8^2))*$B$9*(1-$B$10))</f>
        <v>4005.04927428211</v>
      </c>
      <c r="N497" s="14" t="n">
        <f aca="true">$B$16+NORMINV(RAND(),0,SQRT($B$13*($B$7+$B$8^2))*$B$9*(1-$B$10))</f>
        <v>4081.16516547295</v>
      </c>
      <c r="O497" s="14" t="n">
        <f aca="true">$B$16+NORMINV(RAND(),0,SQRT($B$13*($B$7+$B$8^2))*$B$9*(1-$B$10))</f>
        <v>3908.63058706706</v>
      </c>
      <c r="P497" s="14" t="n">
        <f aca="true">$B$16+NORMINV(RAND(),0,SQRT($B$13*($B$7+$B$8^2))*$B$9*(1-$B$10))</f>
        <v>4081.01139313541</v>
      </c>
      <c r="Q497" s="14" t="n">
        <f aca="true">$B$16+NORMINV(RAND(),0,SQRT($B$13*($B$7+$B$8^2))*$B$9*(1-$B$10))</f>
        <v>4062.7561014752</v>
      </c>
      <c r="R497" s="14" t="n">
        <f aca="false">$B$4-13*($B$5+$B$6)/30-IF($B$11&lt;=13,$B$12,0)+0</f>
        <v>8876.66666666667</v>
      </c>
      <c r="S497" s="14" t="n">
        <f aca="false">$B$4-27*($B$5+$B$6)/30-IF($B$11&lt;=27,$B$12,0)+L497</f>
        <v>10323.5132238918</v>
      </c>
      <c r="T497" s="14" t="n">
        <f aca="false">$B$4-41*($B$5+$B$6)/30-IF($B$11&lt;=41,$B$12,0)+L497+M497</f>
        <v>857.095831507289</v>
      </c>
      <c r="U497" s="14" t="n">
        <f aca="false">$B$4-55*($B$5+$B$6)/30-IF($B$11&lt;=55,$B$12,0)+L497+M497+N497</f>
        <v>2651.59433031357</v>
      </c>
      <c r="V497" s="14" t="n">
        <f aca="false">$B$4-69*($B$5+$B$6)/30-IF($B$11&lt;=69,$B$12,0)+L497+M497+N497+O497</f>
        <v>4273.55825071396</v>
      </c>
      <c r="W497" s="14" t="n">
        <f aca="false">$B$4-83*($B$5+$B$6)/30-IF($B$11&lt;=83,$B$12,0)+L497+M497+N497+O497+P497</f>
        <v>6067.90297718271</v>
      </c>
      <c r="X497" s="14" t="n">
        <f aca="false">$B$4-90*($B$5+$B$6)/30-IF($B$11&lt;=90,$B$12,0)+L497+M497+N497+O497+P497+Q497</f>
        <v>8987.32574532457</v>
      </c>
      <c r="AA497" s="14" t="n">
        <f aca="false">MIN(R497:X497)</f>
        <v>857.095831507289</v>
      </c>
    </row>
    <row r="498" customFormat="false" ht="15" hidden="false" customHeight="false" outlineLevel="0" collapsed="false">
      <c r="K498" s="2" t="n">
        <v>493</v>
      </c>
      <c r="L498" s="14" t="n">
        <f aca="true">$B$16+NORMINV(RAND(),0,SQRT($B$13*($B$7+$B$8^2))*$B$9*(1-$B$10))</f>
        <v>3647.1388248569</v>
      </c>
      <c r="M498" s="14" t="n">
        <f aca="true">$B$16+NORMINV(RAND(),0,SQRT($B$13*($B$7+$B$8^2))*$B$9*(1-$B$10))</f>
        <v>4383.79840417677</v>
      </c>
      <c r="N498" s="14" t="n">
        <f aca="true">$B$16+NORMINV(RAND(),0,SQRT($B$13*($B$7+$B$8^2))*$B$9*(1-$B$10))</f>
        <v>4202.82324178069</v>
      </c>
      <c r="O498" s="14" t="n">
        <f aca="true">$B$16+NORMINV(RAND(),0,SQRT($B$13*($B$7+$B$8^2))*$B$9*(1-$B$10))</f>
        <v>3723.27007688291</v>
      </c>
      <c r="P498" s="14" t="n">
        <f aca="true">$B$16+NORMINV(RAND(),0,SQRT($B$13*($B$7+$B$8^2))*$B$9*(1-$B$10))</f>
        <v>3641.91354002479</v>
      </c>
      <c r="Q498" s="14" t="n">
        <f aca="true">$B$16+NORMINV(RAND(),0,SQRT($B$13*($B$7+$B$8^2))*$B$9*(1-$B$10))</f>
        <v>4231.86344402595</v>
      </c>
      <c r="R498" s="14" t="n">
        <f aca="false">$B$4-13*($B$5+$B$6)/30-IF($B$11&lt;=13,$B$12,0)+0</f>
        <v>8876.66666666667</v>
      </c>
      <c r="S498" s="14" t="n">
        <f aca="false">$B$4-27*($B$5+$B$6)/30-IF($B$11&lt;=27,$B$12,0)+L498</f>
        <v>10237.1388248569</v>
      </c>
      <c r="T498" s="14" t="n">
        <f aca="false">$B$4-41*($B$5+$B$6)/30-IF($B$11&lt;=41,$B$12,0)+L498+M498</f>
        <v>1149.47056236701</v>
      </c>
      <c r="U498" s="14" t="n">
        <f aca="false">$B$4-55*($B$5+$B$6)/30-IF($B$11&lt;=55,$B$12,0)+L498+M498+N498</f>
        <v>3065.62713748103</v>
      </c>
      <c r="V498" s="14" t="n">
        <f aca="false">$B$4-69*($B$5+$B$6)/30-IF($B$11&lt;=69,$B$12,0)+L498+M498+N498+O498</f>
        <v>4502.23054769728</v>
      </c>
      <c r="W498" s="14" t="n">
        <f aca="false">$B$4-83*($B$5+$B$6)/30-IF($B$11&lt;=83,$B$12,0)+L498+M498+N498+O498+P498</f>
        <v>5857.47742105541</v>
      </c>
      <c r="X498" s="14" t="n">
        <f aca="false">$B$4-90*($B$5+$B$6)/30-IF($B$11&lt;=90,$B$12,0)+L498+M498+N498+O498+P498+Q498</f>
        <v>8946.00753174802</v>
      </c>
      <c r="AA498" s="14" t="n">
        <f aca="false">MIN(R498:X498)</f>
        <v>1149.47056236701</v>
      </c>
    </row>
    <row r="499" customFormat="false" ht="15" hidden="false" customHeight="false" outlineLevel="0" collapsed="false">
      <c r="K499" s="2" t="n">
        <v>494</v>
      </c>
      <c r="L499" s="14" t="n">
        <f aca="true">$B$16+NORMINV(RAND(),0,SQRT($B$13*($B$7+$B$8^2))*$B$9*(1-$B$10))</f>
        <v>3945.12192752909</v>
      </c>
      <c r="M499" s="14" t="n">
        <f aca="true">$B$16+NORMINV(RAND(),0,SQRT($B$13*($B$7+$B$8^2))*$B$9*(1-$B$10))</f>
        <v>3932.54944640373</v>
      </c>
      <c r="N499" s="14" t="n">
        <f aca="true">$B$16+NORMINV(RAND(),0,SQRT($B$13*($B$7+$B$8^2))*$B$9*(1-$B$10))</f>
        <v>4465.63492617405</v>
      </c>
      <c r="O499" s="14" t="n">
        <f aca="true">$B$16+NORMINV(RAND(),0,SQRT($B$13*($B$7+$B$8^2))*$B$9*(1-$B$10))</f>
        <v>4416.85925626188</v>
      </c>
      <c r="P499" s="14" t="n">
        <f aca="true">$B$16+NORMINV(RAND(),0,SQRT($B$13*($B$7+$B$8^2))*$B$9*(1-$B$10))</f>
        <v>4020.84024863014</v>
      </c>
      <c r="Q499" s="14" t="n">
        <f aca="true">$B$16+NORMINV(RAND(),0,SQRT($B$13*($B$7+$B$8^2))*$B$9*(1-$B$10))</f>
        <v>3992.82024289471</v>
      </c>
      <c r="R499" s="14" t="n">
        <f aca="false">$B$4-13*($B$5+$B$6)/30-IF($B$11&lt;=13,$B$12,0)+0</f>
        <v>8876.66666666667</v>
      </c>
      <c r="S499" s="14" t="n">
        <f aca="false">$B$4-27*($B$5+$B$6)/30-IF($B$11&lt;=27,$B$12,0)+L499</f>
        <v>10535.1219275291</v>
      </c>
      <c r="T499" s="14" t="n">
        <f aca="false">$B$4-41*($B$5+$B$6)/30-IF($B$11&lt;=41,$B$12,0)+L499+M499</f>
        <v>996.204707266156</v>
      </c>
      <c r="U499" s="14" t="n">
        <f aca="false">$B$4-55*($B$5+$B$6)/30-IF($B$11&lt;=55,$B$12,0)+L499+M499+N499</f>
        <v>3175.17296677354</v>
      </c>
      <c r="V499" s="14" t="n">
        <f aca="false">$B$4-69*($B$5+$B$6)/30-IF($B$11&lt;=69,$B$12,0)+L499+M499+N499+O499</f>
        <v>5305.36555636876</v>
      </c>
      <c r="W499" s="14" t="n">
        <f aca="false">$B$4-83*($B$5+$B$6)/30-IF($B$11&lt;=83,$B$12,0)+L499+M499+N499+O499+P499</f>
        <v>7039.53913833223</v>
      </c>
      <c r="X499" s="14" t="n">
        <f aca="false">$B$4-90*($B$5+$B$6)/30-IF($B$11&lt;=90,$B$12,0)+L499+M499+N499+O499+P499+Q499</f>
        <v>9889.02604789361</v>
      </c>
      <c r="AA499" s="14" t="n">
        <f aca="false">MIN(R499:X499)</f>
        <v>996.204707266156</v>
      </c>
    </row>
    <row r="500" customFormat="false" ht="15" hidden="false" customHeight="false" outlineLevel="0" collapsed="false">
      <c r="K500" s="2" t="n">
        <v>495</v>
      </c>
      <c r="L500" s="14" t="n">
        <f aca="true">$B$16+NORMINV(RAND(),0,SQRT($B$13*($B$7+$B$8^2))*$B$9*(1-$B$10))</f>
        <v>4064.7783854716</v>
      </c>
      <c r="M500" s="14" t="n">
        <f aca="true">$B$16+NORMINV(RAND(),0,SQRT($B$13*($B$7+$B$8^2))*$B$9*(1-$B$10))</f>
        <v>3813.74827866504</v>
      </c>
      <c r="N500" s="14" t="n">
        <f aca="true">$B$16+NORMINV(RAND(),0,SQRT($B$13*($B$7+$B$8^2))*$B$9*(1-$B$10))</f>
        <v>4077.71170716098</v>
      </c>
      <c r="O500" s="14" t="n">
        <f aca="true">$B$16+NORMINV(RAND(),0,SQRT($B$13*($B$7+$B$8^2))*$B$9*(1-$B$10))</f>
        <v>3881.52368716244</v>
      </c>
      <c r="P500" s="14" t="n">
        <f aca="true">$B$16+NORMINV(RAND(),0,SQRT($B$13*($B$7+$B$8^2))*$B$9*(1-$B$10))</f>
        <v>3923.58511188311</v>
      </c>
      <c r="Q500" s="14" t="n">
        <f aca="true">$B$16+NORMINV(RAND(),0,SQRT($B$13*($B$7+$B$8^2))*$B$9*(1-$B$10))</f>
        <v>4434.97570493574</v>
      </c>
      <c r="R500" s="14" t="n">
        <f aca="false">$B$4-13*($B$5+$B$6)/30-IF($B$11&lt;=13,$B$12,0)+0</f>
        <v>8876.66666666667</v>
      </c>
      <c r="S500" s="14" t="n">
        <f aca="false">$B$4-27*($B$5+$B$6)/30-IF($B$11&lt;=27,$B$12,0)+L500</f>
        <v>10654.7783854716</v>
      </c>
      <c r="T500" s="14" t="n">
        <f aca="false">$B$4-41*($B$5+$B$6)/30-IF($B$11&lt;=41,$B$12,0)+L500+M500</f>
        <v>997.059997469969</v>
      </c>
      <c r="U500" s="14" t="n">
        <f aca="false">$B$4-55*($B$5+$B$6)/30-IF($B$11&lt;=55,$B$12,0)+L500+M500+N500</f>
        <v>2788.10503796428</v>
      </c>
      <c r="V500" s="14" t="n">
        <f aca="false">$B$4-69*($B$5+$B$6)/30-IF($B$11&lt;=69,$B$12,0)+L500+M500+N500+O500</f>
        <v>4382.96205846005</v>
      </c>
      <c r="W500" s="14" t="n">
        <f aca="false">$B$4-83*($B$5+$B$6)/30-IF($B$11&lt;=83,$B$12,0)+L500+M500+N500+O500+P500</f>
        <v>6019.8805036765</v>
      </c>
      <c r="X500" s="14" t="n">
        <f aca="false">$B$4-90*($B$5+$B$6)/30-IF($B$11&lt;=90,$B$12,0)+L500+M500+N500+O500+P500+Q500</f>
        <v>9311.5228752789</v>
      </c>
      <c r="AA500" s="14" t="n">
        <f aca="false">MIN(R500:X500)</f>
        <v>997.059997469969</v>
      </c>
    </row>
    <row r="501" customFormat="false" ht="15" hidden="false" customHeight="false" outlineLevel="0" collapsed="false">
      <c r="K501" s="2" t="n">
        <v>496</v>
      </c>
      <c r="L501" s="14" t="n">
        <f aca="true">$B$16+NORMINV(RAND(),0,SQRT($B$13*($B$7+$B$8^2))*$B$9*(1-$B$10))</f>
        <v>3896.12841454701</v>
      </c>
      <c r="M501" s="14" t="n">
        <f aca="true">$B$16+NORMINV(RAND(),0,SQRT($B$13*($B$7+$B$8^2))*$B$9*(1-$B$10))</f>
        <v>4167.26299348782</v>
      </c>
      <c r="N501" s="14" t="n">
        <f aca="true">$B$16+NORMINV(RAND(),0,SQRT($B$13*($B$7+$B$8^2))*$B$9*(1-$B$10))</f>
        <v>5010.51266531957</v>
      </c>
      <c r="O501" s="14" t="n">
        <f aca="true">$B$16+NORMINV(RAND(),0,SQRT($B$13*($B$7+$B$8^2))*$B$9*(1-$B$10))</f>
        <v>4471.44428086074</v>
      </c>
      <c r="P501" s="14" t="n">
        <f aca="true">$B$16+NORMINV(RAND(),0,SQRT($B$13*($B$7+$B$8^2))*$B$9*(1-$B$10))</f>
        <v>3804.94963428942</v>
      </c>
      <c r="Q501" s="14" t="n">
        <f aca="true">$B$16+NORMINV(RAND(),0,SQRT($B$13*($B$7+$B$8^2))*$B$9*(1-$B$10))</f>
        <v>4493.70931958814</v>
      </c>
      <c r="R501" s="14" t="n">
        <f aca="false">$B$4-13*($B$5+$B$6)/30-IF($B$11&lt;=13,$B$12,0)+0</f>
        <v>8876.66666666667</v>
      </c>
      <c r="S501" s="14" t="n">
        <f aca="false">$B$4-27*($B$5+$B$6)/30-IF($B$11&lt;=27,$B$12,0)+L501</f>
        <v>10486.128414547</v>
      </c>
      <c r="T501" s="14" t="n">
        <f aca="false">$B$4-41*($B$5+$B$6)/30-IF($B$11&lt;=41,$B$12,0)+L501+M501</f>
        <v>1181.92474136816</v>
      </c>
      <c r="U501" s="14" t="n">
        <f aca="false">$B$4-55*($B$5+$B$6)/30-IF($B$11&lt;=55,$B$12,0)+L501+M501+N501</f>
        <v>3905.77074002106</v>
      </c>
      <c r="V501" s="14" t="n">
        <f aca="false">$B$4-69*($B$5+$B$6)/30-IF($B$11&lt;=69,$B$12,0)+L501+M501+N501+O501</f>
        <v>6090.54835421514</v>
      </c>
      <c r="W501" s="14" t="n">
        <f aca="false">$B$4-83*($B$5+$B$6)/30-IF($B$11&lt;=83,$B$12,0)+L501+M501+N501+O501+P501</f>
        <v>7608.83132183789</v>
      </c>
      <c r="X501" s="14" t="n">
        <f aca="false">$B$4-90*($B$5+$B$6)/30-IF($B$11&lt;=90,$B$12,0)+L501+M501+N501+O501+P501+Q501</f>
        <v>10959.2073080927</v>
      </c>
      <c r="AA501" s="14" t="n">
        <f aca="false">MIN(R501:X501)</f>
        <v>1181.92474136816</v>
      </c>
    </row>
    <row r="502" customFormat="false" ht="15" hidden="false" customHeight="false" outlineLevel="0" collapsed="false">
      <c r="K502" s="2" t="n">
        <v>497</v>
      </c>
      <c r="L502" s="14" t="n">
        <f aca="true">$B$16+NORMINV(RAND(),0,SQRT($B$13*($B$7+$B$8^2))*$B$9*(1-$B$10))</f>
        <v>4456.36855835632</v>
      </c>
      <c r="M502" s="14" t="n">
        <f aca="true">$B$16+NORMINV(RAND(),0,SQRT($B$13*($B$7+$B$8^2))*$B$9*(1-$B$10))</f>
        <v>3683.38526263155</v>
      </c>
      <c r="N502" s="14" t="n">
        <f aca="true">$B$16+NORMINV(RAND(),0,SQRT($B$13*($B$7+$B$8^2))*$B$9*(1-$B$10))</f>
        <v>3790.36699373765</v>
      </c>
      <c r="O502" s="14" t="n">
        <f aca="true">$B$16+NORMINV(RAND(),0,SQRT($B$13*($B$7+$B$8^2))*$B$9*(1-$B$10))</f>
        <v>4377.35657707717</v>
      </c>
      <c r="P502" s="14" t="n">
        <f aca="true">$B$16+NORMINV(RAND(),0,SQRT($B$13*($B$7+$B$8^2))*$B$9*(1-$B$10))</f>
        <v>3835.95561283085</v>
      </c>
      <c r="Q502" s="14" t="n">
        <f aca="true">$B$16+NORMINV(RAND(),0,SQRT($B$13*($B$7+$B$8^2))*$B$9*(1-$B$10))</f>
        <v>3818.32760715923</v>
      </c>
      <c r="R502" s="14" t="n">
        <f aca="false">$B$4-13*($B$5+$B$6)/30-IF($B$11&lt;=13,$B$12,0)+0</f>
        <v>8876.66666666667</v>
      </c>
      <c r="S502" s="14" t="n">
        <f aca="false">$B$4-27*($B$5+$B$6)/30-IF($B$11&lt;=27,$B$12,0)+L502</f>
        <v>11046.3685583563</v>
      </c>
      <c r="T502" s="14" t="n">
        <f aca="false">$B$4-41*($B$5+$B$6)/30-IF($B$11&lt;=41,$B$12,0)+L502+M502</f>
        <v>1258.28715432119</v>
      </c>
      <c r="U502" s="14" t="n">
        <f aca="false">$B$4-55*($B$5+$B$6)/30-IF($B$11&lt;=55,$B$12,0)+L502+M502+N502</f>
        <v>2761.98748139218</v>
      </c>
      <c r="V502" s="14" t="n">
        <f aca="false">$B$4-69*($B$5+$B$6)/30-IF($B$11&lt;=69,$B$12,0)+L502+M502+N502+O502</f>
        <v>4852.67739180268</v>
      </c>
      <c r="W502" s="14" t="n">
        <f aca="false">$B$4-83*($B$5+$B$6)/30-IF($B$11&lt;=83,$B$12,0)+L502+M502+N502+O502+P502</f>
        <v>6401.96633796686</v>
      </c>
      <c r="X502" s="14" t="n">
        <f aca="false">$B$4-90*($B$5+$B$6)/30-IF($B$11&lt;=90,$B$12,0)+L502+M502+N502+O502+P502+Q502</f>
        <v>9076.96061179276</v>
      </c>
      <c r="AA502" s="14" t="n">
        <f aca="false">MIN(R502:X502)</f>
        <v>1258.28715432119</v>
      </c>
    </row>
    <row r="503" customFormat="false" ht="15" hidden="false" customHeight="false" outlineLevel="0" collapsed="false">
      <c r="K503" s="2" t="n">
        <v>498</v>
      </c>
      <c r="L503" s="14" t="n">
        <f aca="true">$B$16+NORMINV(RAND(),0,SQRT($B$13*($B$7+$B$8^2))*$B$9*(1-$B$10))</f>
        <v>4234.33245064361</v>
      </c>
      <c r="M503" s="14" t="n">
        <f aca="true">$B$16+NORMINV(RAND(),0,SQRT($B$13*($B$7+$B$8^2))*$B$9*(1-$B$10))</f>
        <v>4096.08781391617</v>
      </c>
      <c r="N503" s="14" t="n">
        <f aca="true">$B$16+NORMINV(RAND(),0,SQRT($B$13*($B$7+$B$8^2))*$B$9*(1-$B$10))</f>
        <v>4013.90695868229</v>
      </c>
      <c r="O503" s="14" t="n">
        <f aca="true">$B$16+NORMINV(RAND(),0,SQRT($B$13*($B$7+$B$8^2))*$B$9*(1-$B$10))</f>
        <v>4038.87051664179</v>
      </c>
      <c r="P503" s="14" t="n">
        <f aca="true">$B$16+NORMINV(RAND(),0,SQRT($B$13*($B$7+$B$8^2))*$B$9*(1-$B$10))</f>
        <v>3997.83632927369</v>
      </c>
      <c r="Q503" s="14" t="n">
        <f aca="true">$B$16+NORMINV(RAND(),0,SQRT($B$13*($B$7+$B$8^2))*$B$9*(1-$B$10))</f>
        <v>3462.09150454855</v>
      </c>
      <c r="R503" s="14" t="n">
        <f aca="false">$B$4-13*($B$5+$B$6)/30-IF($B$11&lt;=13,$B$12,0)+0</f>
        <v>8876.66666666667</v>
      </c>
      <c r="S503" s="14" t="n">
        <f aca="false">$B$4-27*($B$5+$B$6)/30-IF($B$11&lt;=27,$B$12,0)+L503</f>
        <v>10824.3324506436</v>
      </c>
      <c r="T503" s="14" t="n">
        <f aca="false">$B$4-41*($B$5+$B$6)/30-IF($B$11&lt;=41,$B$12,0)+L503+M503</f>
        <v>1448.9535978931</v>
      </c>
      <c r="U503" s="14" t="n">
        <f aca="false">$B$4-55*($B$5+$B$6)/30-IF($B$11&lt;=55,$B$12,0)+L503+M503+N503</f>
        <v>3176.19388990873</v>
      </c>
      <c r="V503" s="14" t="n">
        <f aca="false">$B$4-69*($B$5+$B$6)/30-IF($B$11&lt;=69,$B$12,0)+L503+M503+N503+O503</f>
        <v>4928.39773988385</v>
      </c>
      <c r="W503" s="14" t="n">
        <f aca="false">$B$4-83*($B$5+$B$6)/30-IF($B$11&lt;=83,$B$12,0)+L503+M503+N503+O503+P503</f>
        <v>6639.56740249087</v>
      </c>
      <c r="X503" s="14" t="n">
        <f aca="false">$B$4-90*($B$5+$B$6)/30-IF($B$11&lt;=90,$B$12,0)+L503+M503+N503+O503+P503+Q503</f>
        <v>8958.32557370609</v>
      </c>
      <c r="AA503" s="14" t="n">
        <f aca="false">MIN(R503:X503)</f>
        <v>1448.9535978931</v>
      </c>
    </row>
    <row r="504" customFormat="false" ht="15" hidden="false" customHeight="false" outlineLevel="0" collapsed="false">
      <c r="K504" s="2" t="n">
        <v>499</v>
      </c>
      <c r="L504" s="14" t="n">
        <f aca="true">$B$16+NORMINV(RAND(),0,SQRT($B$13*($B$7+$B$8^2))*$B$9*(1-$B$10))</f>
        <v>3612.69141283441</v>
      </c>
      <c r="M504" s="14" t="n">
        <f aca="true">$B$16+NORMINV(RAND(),0,SQRT($B$13*($B$7+$B$8^2))*$B$9*(1-$B$10))</f>
        <v>3391.72651033432</v>
      </c>
      <c r="N504" s="14" t="n">
        <f aca="true">$B$16+NORMINV(RAND(),0,SQRT($B$13*($B$7+$B$8^2))*$B$9*(1-$B$10))</f>
        <v>3676.99310018234</v>
      </c>
      <c r="O504" s="14" t="n">
        <f aca="true">$B$16+NORMINV(RAND(),0,SQRT($B$13*($B$7+$B$8^2))*$B$9*(1-$B$10))</f>
        <v>3703.20292486626</v>
      </c>
      <c r="P504" s="14" t="n">
        <f aca="true">$B$16+NORMINV(RAND(),0,SQRT($B$13*($B$7+$B$8^2))*$B$9*(1-$B$10))</f>
        <v>5177.68860420612</v>
      </c>
      <c r="Q504" s="14" t="n">
        <f aca="true">$B$16+NORMINV(RAND(),0,SQRT($B$13*($B$7+$B$8^2))*$B$9*(1-$B$10))</f>
        <v>3882.80790984572</v>
      </c>
      <c r="R504" s="14" t="n">
        <f aca="false">$B$4-13*($B$5+$B$6)/30-IF($B$11&lt;=13,$B$12,0)+0</f>
        <v>8876.66666666667</v>
      </c>
      <c r="S504" s="14" t="n">
        <f aca="false">$B$4-27*($B$5+$B$6)/30-IF($B$11&lt;=27,$B$12,0)+L504</f>
        <v>10202.6914128344</v>
      </c>
      <c r="T504" s="14" t="n">
        <f aca="false">$B$4-41*($B$5+$B$6)/30-IF($B$11&lt;=41,$B$12,0)+L504+M504</f>
        <v>122.951256502054</v>
      </c>
      <c r="U504" s="14" t="n">
        <f aca="false">$B$4-55*($B$5+$B$6)/30-IF($B$11&lt;=55,$B$12,0)+L504+M504+N504</f>
        <v>1513.27769001773</v>
      </c>
      <c r="V504" s="14" t="n">
        <f aca="false">$B$4-69*($B$5+$B$6)/30-IF($B$11&lt;=69,$B$12,0)+L504+M504+N504+O504</f>
        <v>2929.81394821732</v>
      </c>
      <c r="W504" s="14" t="n">
        <f aca="false">$B$4-83*($B$5+$B$6)/30-IF($B$11&lt;=83,$B$12,0)+L504+M504+N504+O504+P504</f>
        <v>5820.83588575678</v>
      </c>
      <c r="X504" s="14" t="n">
        <f aca="false">$B$4-90*($B$5+$B$6)/30-IF($B$11&lt;=90,$B$12,0)+L504+M504+N504+O504+P504+Q504</f>
        <v>8560.31046226916</v>
      </c>
      <c r="AA504" s="14" t="n">
        <f aca="false">MIN(R504:X504)</f>
        <v>122.951256502054</v>
      </c>
    </row>
    <row r="505" customFormat="false" ht="15" hidden="false" customHeight="false" outlineLevel="0" collapsed="false">
      <c r="K505" s="2" t="n">
        <v>500</v>
      </c>
      <c r="L505" s="14" t="n">
        <f aca="true">$B$16+NORMINV(RAND(),0,SQRT($B$13*($B$7+$B$8^2))*$B$9*(1-$B$10))</f>
        <v>4415.68457419064</v>
      </c>
      <c r="M505" s="14" t="n">
        <f aca="true">$B$16+NORMINV(RAND(),0,SQRT($B$13*($B$7+$B$8^2))*$B$9*(1-$B$10))</f>
        <v>4188.67978442042</v>
      </c>
      <c r="N505" s="14" t="n">
        <f aca="true">$B$16+NORMINV(RAND(),0,SQRT($B$13*($B$7+$B$8^2))*$B$9*(1-$B$10))</f>
        <v>3883.54554691947</v>
      </c>
      <c r="O505" s="14" t="n">
        <f aca="true">$B$16+NORMINV(RAND(),0,SQRT($B$13*($B$7+$B$8^2))*$B$9*(1-$B$10))</f>
        <v>4283.58881047339</v>
      </c>
      <c r="P505" s="14" t="n">
        <f aca="true">$B$16+NORMINV(RAND(),0,SQRT($B$13*($B$7+$B$8^2))*$B$9*(1-$B$10))</f>
        <v>4533.3138594985</v>
      </c>
      <c r="Q505" s="14" t="n">
        <f aca="true">$B$16+NORMINV(RAND(),0,SQRT($B$13*($B$7+$B$8^2))*$B$9*(1-$B$10))</f>
        <v>4529.95262700181</v>
      </c>
      <c r="R505" s="14" t="n">
        <f aca="false">$B$4-13*($B$5+$B$6)/30-IF($B$11&lt;=13,$B$12,0)+0</f>
        <v>8876.66666666667</v>
      </c>
      <c r="S505" s="14" t="n">
        <f aca="false">$B$4-27*($B$5+$B$6)/30-IF($B$11&lt;=27,$B$12,0)+L505</f>
        <v>11005.6845741906</v>
      </c>
      <c r="T505" s="14" t="n">
        <f aca="false">$B$4-41*($B$5+$B$6)/30-IF($B$11&lt;=41,$B$12,0)+L505+M505</f>
        <v>1722.89769194438</v>
      </c>
      <c r="U505" s="14" t="n">
        <f aca="false">$B$4-55*($B$5+$B$6)/30-IF($B$11&lt;=55,$B$12,0)+L505+M505+N505</f>
        <v>3319.77657219719</v>
      </c>
      <c r="V505" s="14" t="n">
        <f aca="false">$B$4-69*($B$5+$B$6)/30-IF($B$11&lt;=69,$B$12,0)+L505+M505+N505+O505</f>
        <v>5316.69871600391</v>
      </c>
      <c r="W505" s="14" t="n">
        <f aca="false">$B$4-83*($B$5+$B$6)/30-IF($B$11&lt;=83,$B$12,0)+L505+M505+N505+O505+P505</f>
        <v>7563.34590883574</v>
      </c>
      <c r="X505" s="14" t="n">
        <f aca="false">$B$4-90*($B$5+$B$6)/30-IF($B$11&lt;=90,$B$12,0)+L505+M505+N505+O505+P505+Q505</f>
        <v>10949.9652025042</v>
      </c>
      <c r="AA505" s="14" t="n">
        <f aca="false">MIN(R505:X505)</f>
        <v>1722.89769194438</v>
      </c>
    </row>
    <row r="506" customFormat="false" ht="15" hidden="false" customHeight="false" outlineLevel="0" collapsed="false">
      <c r="K506" s="2" t="n">
        <v>501</v>
      </c>
      <c r="L506" s="14" t="n">
        <f aca="true">$B$16+NORMINV(RAND(),0,SQRT($B$13*($B$7+$B$8^2))*$B$9*(1-$B$10))</f>
        <v>4236.18884221116</v>
      </c>
      <c r="M506" s="14" t="n">
        <f aca="true">$B$16+NORMINV(RAND(),0,SQRT($B$13*($B$7+$B$8^2))*$B$9*(1-$B$10))</f>
        <v>4432.81620913983</v>
      </c>
      <c r="N506" s="14" t="n">
        <f aca="true">$B$16+NORMINV(RAND(),0,SQRT($B$13*($B$7+$B$8^2))*$B$9*(1-$B$10))</f>
        <v>4355.52653949989</v>
      </c>
      <c r="O506" s="14" t="n">
        <f aca="true">$B$16+NORMINV(RAND(),0,SQRT($B$13*($B$7+$B$8^2))*$B$9*(1-$B$10))</f>
        <v>3974.47772832619</v>
      </c>
      <c r="P506" s="14" t="n">
        <f aca="true">$B$16+NORMINV(RAND(),0,SQRT($B$13*($B$7+$B$8^2))*$B$9*(1-$B$10))</f>
        <v>3810.70296991992</v>
      </c>
      <c r="Q506" s="14" t="n">
        <f aca="true">$B$16+NORMINV(RAND(),0,SQRT($B$13*($B$7+$B$8^2))*$B$9*(1-$B$10))</f>
        <v>3703.46411436542</v>
      </c>
      <c r="R506" s="14" t="n">
        <f aca="false">$B$4-13*($B$5+$B$6)/30-IF($B$11&lt;=13,$B$12,0)+0</f>
        <v>8876.66666666667</v>
      </c>
      <c r="S506" s="14" t="n">
        <f aca="false">$B$4-27*($B$5+$B$6)/30-IF($B$11&lt;=27,$B$12,0)+L506</f>
        <v>10826.1888422112</v>
      </c>
      <c r="T506" s="14" t="n">
        <f aca="false">$B$4-41*($B$5+$B$6)/30-IF($B$11&lt;=41,$B$12,0)+L506+M506</f>
        <v>1787.53838468433</v>
      </c>
      <c r="U506" s="14" t="n">
        <f aca="false">$B$4-55*($B$5+$B$6)/30-IF($B$11&lt;=55,$B$12,0)+L506+M506+N506</f>
        <v>3856.39825751756</v>
      </c>
      <c r="V506" s="14" t="n">
        <f aca="false">$B$4-69*($B$5+$B$6)/30-IF($B$11&lt;=69,$B$12,0)+L506+M506+N506+O506</f>
        <v>5544.20931917708</v>
      </c>
      <c r="W506" s="14" t="n">
        <f aca="false">$B$4-83*($B$5+$B$6)/30-IF($B$11&lt;=83,$B$12,0)+L506+M506+N506+O506+P506</f>
        <v>7068.24562243034</v>
      </c>
      <c r="X506" s="14" t="n">
        <f aca="false">$B$4-90*($B$5+$B$6)/30-IF($B$11&lt;=90,$B$12,0)+L506+M506+N506+O506+P506+Q506</f>
        <v>9628.37640346242</v>
      </c>
      <c r="AA506" s="14" t="n">
        <f aca="false">MIN(R506:X506)</f>
        <v>1787.53838468433</v>
      </c>
    </row>
    <row r="507" customFormat="false" ht="15" hidden="false" customHeight="false" outlineLevel="0" collapsed="false">
      <c r="K507" s="2" t="n">
        <v>502</v>
      </c>
      <c r="L507" s="14" t="n">
        <f aca="true">$B$16+NORMINV(RAND(),0,SQRT($B$13*($B$7+$B$8^2))*$B$9*(1-$B$10))</f>
        <v>3984.19111342482</v>
      </c>
      <c r="M507" s="14" t="n">
        <f aca="true">$B$16+NORMINV(RAND(),0,SQRT($B$13*($B$7+$B$8^2))*$B$9*(1-$B$10))</f>
        <v>4373.24121136789</v>
      </c>
      <c r="N507" s="14" t="n">
        <f aca="true">$B$16+NORMINV(RAND(),0,SQRT($B$13*($B$7+$B$8^2))*$B$9*(1-$B$10))</f>
        <v>4006.04355297492</v>
      </c>
      <c r="O507" s="14" t="n">
        <f aca="true">$B$16+NORMINV(RAND(),0,SQRT($B$13*($B$7+$B$8^2))*$B$9*(1-$B$10))</f>
        <v>4195.24449112883</v>
      </c>
      <c r="P507" s="14" t="n">
        <f aca="true">$B$16+NORMINV(RAND(),0,SQRT($B$13*($B$7+$B$8^2))*$B$9*(1-$B$10))</f>
        <v>4211.3798612275</v>
      </c>
      <c r="Q507" s="14" t="n">
        <f aca="true">$B$16+NORMINV(RAND(),0,SQRT($B$13*($B$7+$B$8^2))*$B$9*(1-$B$10))</f>
        <v>3678.70188335112</v>
      </c>
      <c r="R507" s="14" t="n">
        <f aca="false">$B$4-13*($B$5+$B$6)/30-IF($B$11&lt;=13,$B$12,0)+0</f>
        <v>8876.66666666667</v>
      </c>
      <c r="S507" s="14" t="n">
        <f aca="false">$B$4-27*($B$5+$B$6)/30-IF($B$11&lt;=27,$B$12,0)+L507</f>
        <v>10574.1911134248</v>
      </c>
      <c r="T507" s="14" t="n">
        <f aca="false">$B$4-41*($B$5+$B$6)/30-IF($B$11&lt;=41,$B$12,0)+L507+M507</f>
        <v>1475.96565812604</v>
      </c>
      <c r="U507" s="14" t="n">
        <f aca="false">$B$4-55*($B$5+$B$6)/30-IF($B$11&lt;=55,$B$12,0)+L507+M507+N507</f>
        <v>3195.34254443429</v>
      </c>
      <c r="V507" s="14" t="n">
        <f aca="false">$B$4-69*($B$5+$B$6)/30-IF($B$11&lt;=69,$B$12,0)+L507+M507+N507+O507</f>
        <v>5103.92036889645</v>
      </c>
      <c r="W507" s="14" t="n">
        <f aca="false">$B$4-83*($B$5+$B$6)/30-IF($B$11&lt;=83,$B$12,0)+L507+M507+N507+O507+P507</f>
        <v>7028.63356345728</v>
      </c>
      <c r="X507" s="14" t="n">
        <f aca="false">$B$4-90*($B$5+$B$6)/30-IF($B$11&lt;=90,$B$12,0)+L507+M507+N507+O507+P507+Q507</f>
        <v>9564.00211347508</v>
      </c>
      <c r="AA507" s="14" t="n">
        <f aca="false">MIN(R507:X507)</f>
        <v>1475.96565812604</v>
      </c>
    </row>
    <row r="508" customFormat="false" ht="15" hidden="false" customHeight="false" outlineLevel="0" collapsed="false">
      <c r="K508" s="2" t="n">
        <v>503</v>
      </c>
      <c r="L508" s="14" t="n">
        <f aca="true">$B$16+NORMINV(RAND(),0,SQRT($B$13*($B$7+$B$8^2))*$B$9*(1-$B$10))</f>
        <v>4208.50021430365</v>
      </c>
      <c r="M508" s="14" t="n">
        <f aca="true">$B$16+NORMINV(RAND(),0,SQRT($B$13*($B$7+$B$8^2))*$B$9*(1-$B$10))</f>
        <v>4585.03593681577</v>
      </c>
      <c r="N508" s="14" t="n">
        <f aca="true">$B$16+NORMINV(RAND(),0,SQRT($B$13*($B$7+$B$8^2))*$B$9*(1-$B$10))</f>
        <v>3960.23667961705</v>
      </c>
      <c r="O508" s="14" t="n">
        <f aca="true">$B$16+NORMINV(RAND(),0,SQRT($B$13*($B$7+$B$8^2))*$B$9*(1-$B$10))</f>
        <v>4083.20738172112</v>
      </c>
      <c r="P508" s="14" t="n">
        <f aca="true">$B$16+NORMINV(RAND(),0,SQRT($B$13*($B$7+$B$8^2))*$B$9*(1-$B$10))</f>
        <v>3869.63019544345</v>
      </c>
      <c r="Q508" s="14" t="n">
        <f aca="true">$B$16+NORMINV(RAND(),0,SQRT($B$13*($B$7+$B$8^2))*$B$9*(1-$B$10))</f>
        <v>4218.07612968231</v>
      </c>
      <c r="R508" s="14" t="n">
        <f aca="false">$B$4-13*($B$5+$B$6)/30-IF($B$11&lt;=13,$B$12,0)+0</f>
        <v>8876.66666666667</v>
      </c>
      <c r="S508" s="14" t="n">
        <f aca="false">$B$4-27*($B$5+$B$6)/30-IF($B$11&lt;=27,$B$12,0)+L508</f>
        <v>10798.5002143037</v>
      </c>
      <c r="T508" s="14" t="n">
        <f aca="false">$B$4-41*($B$5+$B$6)/30-IF($B$11&lt;=41,$B$12,0)+L508+M508</f>
        <v>1912.06948445275</v>
      </c>
      <c r="U508" s="14" t="n">
        <f aca="false">$B$4-55*($B$5+$B$6)/30-IF($B$11&lt;=55,$B$12,0)+L508+M508+N508</f>
        <v>3585.63949740314</v>
      </c>
      <c r="V508" s="14" t="n">
        <f aca="false">$B$4-69*($B$5+$B$6)/30-IF($B$11&lt;=69,$B$12,0)+L508+M508+N508+O508</f>
        <v>5382.18021245759</v>
      </c>
      <c r="W508" s="14" t="n">
        <f aca="false">$B$4-83*($B$5+$B$6)/30-IF($B$11&lt;=83,$B$12,0)+L508+M508+N508+O508+P508</f>
        <v>6965.14374123438</v>
      </c>
      <c r="X508" s="14" t="n">
        <f aca="false">$B$4-90*($B$5+$B$6)/30-IF($B$11&lt;=90,$B$12,0)+L508+M508+N508+O508+P508+Q508</f>
        <v>10039.8865375833</v>
      </c>
      <c r="AA508" s="14" t="n">
        <f aca="false">MIN(R508:X508)</f>
        <v>1912.06948445275</v>
      </c>
    </row>
    <row r="509" customFormat="false" ht="15" hidden="false" customHeight="false" outlineLevel="0" collapsed="false">
      <c r="K509" s="2" t="n">
        <v>504</v>
      </c>
      <c r="L509" s="14" t="n">
        <f aca="true">$B$16+NORMINV(RAND(),0,SQRT($B$13*($B$7+$B$8^2))*$B$9*(1-$B$10))</f>
        <v>4031.14319443779</v>
      </c>
      <c r="M509" s="14" t="n">
        <f aca="true">$B$16+NORMINV(RAND(),0,SQRT($B$13*($B$7+$B$8^2))*$B$9*(1-$B$10))</f>
        <v>3986.71397554613</v>
      </c>
      <c r="N509" s="14" t="n">
        <f aca="true">$B$16+NORMINV(RAND(),0,SQRT($B$13*($B$7+$B$8^2))*$B$9*(1-$B$10))</f>
        <v>3798.82507266312</v>
      </c>
      <c r="O509" s="14" t="n">
        <f aca="true">$B$16+NORMINV(RAND(),0,SQRT($B$13*($B$7+$B$8^2))*$B$9*(1-$B$10))</f>
        <v>4078.5995985487</v>
      </c>
      <c r="P509" s="14" t="n">
        <f aca="true">$B$16+NORMINV(RAND(),0,SQRT($B$13*($B$7+$B$8^2))*$B$9*(1-$B$10))</f>
        <v>4202.88647682741</v>
      </c>
      <c r="Q509" s="14" t="n">
        <f aca="true">$B$16+NORMINV(RAND(),0,SQRT($B$13*($B$7+$B$8^2))*$B$9*(1-$B$10))</f>
        <v>4103.1658485229</v>
      </c>
      <c r="R509" s="14" t="n">
        <f aca="false">$B$4-13*($B$5+$B$6)/30-IF($B$11&lt;=13,$B$12,0)+0</f>
        <v>8876.66666666667</v>
      </c>
      <c r="S509" s="14" t="n">
        <f aca="false">$B$4-27*($B$5+$B$6)/30-IF($B$11&lt;=27,$B$12,0)+L509</f>
        <v>10621.1431944378</v>
      </c>
      <c r="T509" s="14" t="n">
        <f aca="false">$B$4-41*($B$5+$B$6)/30-IF($B$11&lt;=41,$B$12,0)+L509+M509</f>
        <v>1136.39050331726</v>
      </c>
      <c r="U509" s="14" t="n">
        <f aca="false">$B$4-55*($B$5+$B$6)/30-IF($B$11&lt;=55,$B$12,0)+L509+M509+N509</f>
        <v>2648.54890931371</v>
      </c>
      <c r="V509" s="14" t="n">
        <f aca="false">$B$4-69*($B$5+$B$6)/30-IF($B$11&lt;=69,$B$12,0)+L509+M509+N509+O509</f>
        <v>4440.48184119575</v>
      </c>
      <c r="W509" s="14" t="n">
        <f aca="false">$B$4-83*($B$5+$B$6)/30-IF($B$11&lt;=83,$B$12,0)+L509+M509+N509+O509+P509</f>
        <v>6356.7016513565</v>
      </c>
      <c r="X509" s="14" t="n">
        <f aca="false">$B$4-90*($B$5+$B$6)/30-IF($B$11&lt;=90,$B$12,0)+L509+M509+N509+O509+P509+Q509</f>
        <v>9316.53416654606</v>
      </c>
      <c r="AA509" s="14" t="n">
        <f aca="false">MIN(R509:X509)</f>
        <v>1136.39050331726</v>
      </c>
    </row>
    <row r="510" customFormat="false" ht="15" hidden="false" customHeight="false" outlineLevel="0" collapsed="false">
      <c r="K510" s="2" t="n">
        <v>505</v>
      </c>
      <c r="L510" s="14" t="n">
        <f aca="true">$B$16+NORMINV(RAND(),0,SQRT($B$13*($B$7+$B$8^2))*$B$9*(1-$B$10))</f>
        <v>4086.57739023262</v>
      </c>
      <c r="M510" s="14" t="n">
        <f aca="true">$B$16+NORMINV(RAND(),0,SQRT($B$13*($B$7+$B$8^2))*$B$9*(1-$B$10))</f>
        <v>3366.25790635274</v>
      </c>
      <c r="N510" s="14" t="n">
        <f aca="true">$B$16+NORMINV(RAND(),0,SQRT($B$13*($B$7+$B$8^2))*$B$9*(1-$B$10))</f>
        <v>4385.18625947998</v>
      </c>
      <c r="O510" s="14" t="n">
        <f aca="true">$B$16+NORMINV(RAND(),0,SQRT($B$13*($B$7+$B$8^2))*$B$9*(1-$B$10))</f>
        <v>3789.80901017082</v>
      </c>
      <c r="P510" s="14" t="n">
        <f aca="true">$B$16+NORMINV(RAND(),0,SQRT($B$13*($B$7+$B$8^2))*$B$9*(1-$B$10))</f>
        <v>3669.36164562607</v>
      </c>
      <c r="Q510" s="14" t="n">
        <f aca="true">$B$16+NORMINV(RAND(),0,SQRT($B$13*($B$7+$B$8^2))*$B$9*(1-$B$10))</f>
        <v>4439.10582267626</v>
      </c>
      <c r="R510" s="14" t="n">
        <f aca="false">$B$4-13*($B$5+$B$6)/30-IF($B$11&lt;=13,$B$12,0)+0</f>
        <v>8876.66666666667</v>
      </c>
      <c r="S510" s="14" t="n">
        <f aca="false">$B$4-27*($B$5+$B$6)/30-IF($B$11&lt;=27,$B$12,0)+L510</f>
        <v>10676.5773902326</v>
      </c>
      <c r="T510" s="14" t="n">
        <f aca="false">$B$4-41*($B$5+$B$6)/30-IF($B$11&lt;=41,$B$12,0)+L510+M510</f>
        <v>571.368629918689</v>
      </c>
      <c r="U510" s="14" t="n">
        <f aca="false">$B$4-55*($B$5+$B$6)/30-IF($B$11&lt;=55,$B$12,0)+L510+M510+N510</f>
        <v>2669.888222732</v>
      </c>
      <c r="V510" s="14" t="n">
        <f aca="false">$B$4-69*($B$5+$B$6)/30-IF($B$11&lt;=69,$B$12,0)+L510+M510+N510+O510</f>
        <v>4173.03056623616</v>
      </c>
      <c r="W510" s="14" t="n">
        <f aca="false">$B$4-83*($B$5+$B$6)/30-IF($B$11&lt;=83,$B$12,0)+L510+M510+N510+O510+P510</f>
        <v>5555.72554519556</v>
      </c>
      <c r="X510" s="14" t="n">
        <f aca="false">$B$4-90*($B$5+$B$6)/30-IF($B$11&lt;=90,$B$12,0)+L510+M510+N510+O510+P510+Q510</f>
        <v>8851.49803453849</v>
      </c>
      <c r="AA510" s="14" t="n">
        <f aca="false">MIN(R510:X510)</f>
        <v>571.368629918689</v>
      </c>
    </row>
    <row r="511" customFormat="false" ht="15" hidden="false" customHeight="false" outlineLevel="0" collapsed="false">
      <c r="K511" s="2" t="n">
        <v>506</v>
      </c>
      <c r="L511" s="14" t="n">
        <f aca="true">$B$16+NORMINV(RAND(),0,SQRT($B$13*($B$7+$B$8^2))*$B$9*(1-$B$10))</f>
        <v>3923.47225889128</v>
      </c>
      <c r="M511" s="14" t="n">
        <f aca="true">$B$16+NORMINV(RAND(),0,SQRT($B$13*($B$7+$B$8^2))*$B$9*(1-$B$10))</f>
        <v>3786.75897818704</v>
      </c>
      <c r="N511" s="14" t="n">
        <f aca="true">$B$16+NORMINV(RAND(),0,SQRT($B$13*($B$7+$B$8^2))*$B$9*(1-$B$10))</f>
        <v>3549.23723510554</v>
      </c>
      <c r="O511" s="14" t="n">
        <f aca="true">$B$16+NORMINV(RAND(),0,SQRT($B$13*($B$7+$B$8^2))*$B$9*(1-$B$10))</f>
        <v>4257.46235709317</v>
      </c>
      <c r="P511" s="14" t="n">
        <f aca="true">$B$16+NORMINV(RAND(),0,SQRT($B$13*($B$7+$B$8^2))*$B$9*(1-$B$10))</f>
        <v>4082.30853716484</v>
      </c>
      <c r="Q511" s="14" t="n">
        <f aca="true">$B$16+NORMINV(RAND(),0,SQRT($B$13*($B$7+$B$8^2))*$B$9*(1-$B$10))</f>
        <v>4187.60250544491</v>
      </c>
      <c r="R511" s="14" t="n">
        <f aca="false">$B$4-13*($B$5+$B$6)/30-IF($B$11&lt;=13,$B$12,0)+0</f>
        <v>8876.66666666667</v>
      </c>
      <c r="S511" s="14" t="n">
        <f aca="false">$B$4-27*($B$5+$B$6)/30-IF($B$11&lt;=27,$B$12,0)+L511</f>
        <v>10513.4722588913</v>
      </c>
      <c r="T511" s="14" t="n">
        <f aca="false">$B$4-41*($B$5+$B$6)/30-IF($B$11&lt;=41,$B$12,0)+L511+M511</f>
        <v>828.764570411654</v>
      </c>
      <c r="U511" s="14" t="n">
        <f aca="false">$B$4-55*($B$5+$B$6)/30-IF($B$11&lt;=55,$B$12,0)+L511+M511+N511</f>
        <v>2091.33513885053</v>
      </c>
      <c r="V511" s="14" t="n">
        <f aca="false">$B$4-69*($B$5+$B$6)/30-IF($B$11&lt;=69,$B$12,0)+L511+M511+N511+O511</f>
        <v>4062.13082927703</v>
      </c>
      <c r="W511" s="14" t="n">
        <f aca="false">$B$4-83*($B$5+$B$6)/30-IF($B$11&lt;=83,$B$12,0)+L511+M511+N511+O511+P511</f>
        <v>5857.7726997752</v>
      </c>
      <c r="X511" s="14" t="n">
        <f aca="false">$B$4-90*($B$5+$B$6)/30-IF($B$11&lt;=90,$B$12,0)+L511+M511+N511+O511+P511+Q511</f>
        <v>8902.04187188678</v>
      </c>
      <c r="AA511" s="14" t="n">
        <f aca="false">MIN(R511:X511)</f>
        <v>828.764570411654</v>
      </c>
    </row>
    <row r="512" customFormat="false" ht="15" hidden="false" customHeight="false" outlineLevel="0" collapsed="false">
      <c r="K512" s="2" t="n">
        <v>507</v>
      </c>
      <c r="L512" s="14" t="n">
        <f aca="true">$B$16+NORMINV(RAND(),0,SQRT($B$13*($B$7+$B$8^2))*$B$9*(1-$B$10))</f>
        <v>4415.11936883859</v>
      </c>
      <c r="M512" s="14" t="n">
        <f aca="true">$B$16+NORMINV(RAND(),0,SQRT($B$13*($B$7+$B$8^2))*$B$9*(1-$B$10))</f>
        <v>5021.37579886419</v>
      </c>
      <c r="N512" s="14" t="n">
        <f aca="true">$B$16+NORMINV(RAND(),0,SQRT($B$13*($B$7+$B$8^2))*$B$9*(1-$B$10))</f>
        <v>3928.65195310266</v>
      </c>
      <c r="O512" s="14" t="n">
        <f aca="true">$B$16+NORMINV(RAND(),0,SQRT($B$13*($B$7+$B$8^2))*$B$9*(1-$B$10))</f>
        <v>3818.30894309525</v>
      </c>
      <c r="P512" s="14" t="n">
        <f aca="true">$B$16+NORMINV(RAND(),0,SQRT($B$13*($B$7+$B$8^2))*$B$9*(1-$B$10))</f>
        <v>4671.52917776382</v>
      </c>
      <c r="Q512" s="14" t="n">
        <f aca="true">$B$16+NORMINV(RAND(),0,SQRT($B$13*($B$7+$B$8^2))*$B$9*(1-$B$10))</f>
        <v>4398.46272827122</v>
      </c>
      <c r="R512" s="14" t="n">
        <f aca="false">$B$4-13*($B$5+$B$6)/30-IF($B$11&lt;=13,$B$12,0)+0</f>
        <v>8876.66666666667</v>
      </c>
      <c r="S512" s="14" t="n">
        <f aca="false">$B$4-27*($B$5+$B$6)/30-IF($B$11&lt;=27,$B$12,0)+L512</f>
        <v>11005.1193688386</v>
      </c>
      <c r="T512" s="14" t="n">
        <f aca="false">$B$4-41*($B$5+$B$6)/30-IF($B$11&lt;=41,$B$12,0)+L512+M512</f>
        <v>2555.02850103611</v>
      </c>
      <c r="U512" s="14" t="n">
        <f aca="false">$B$4-55*($B$5+$B$6)/30-IF($B$11&lt;=55,$B$12,0)+L512+M512+N512</f>
        <v>4197.01378747211</v>
      </c>
      <c r="V512" s="14" t="n">
        <f aca="false">$B$4-69*($B$5+$B$6)/30-IF($B$11&lt;=69,$B$12,0)+L512+M512+N512+O512</f>
        <v>5728.65606390069</v>
      </c>
      <c r="W512" s="14" t="n">
        <f aca="false">$B$4-83*($B$5+$B$6)/30-IF($B$11&lt;=83,$B$12,0)+L512+M512+N512+O512+P512</f>
        <v>8113.51857499784</v>
      </c>
      <c r="X512" s="14" t="n">
        <f aca="false">$B$4-90*($B$5+$B$6)/30-IF($B$11&lt;=90,$B$12,0)+L512+M512+N512+O512+P512+Q512</f>
        <v>11368.6479699357</v>
      </c>
      <c r="AA512" s="14" t="n">
        <f aca="false">MIN(R512:X512)</f>
        <v>2555.02850103611</v>
      </c>
    </row>
    <row r="513" customFormat="false" ht="15" hidden="false" customHeight="false" outlineLevel="0" collapsed="false">
      <c r="K513" s="2" t="n">
        <v>508</v>
      </c>
      <c r="L513" s="14" t="n">
        <f aca="true">$B$16+NORMINV(RAND(),0,SQRT($B$13*($B$7+$B$8^2))*$B$9*(1-$B$10))</f>
        <v>3885.31822451762</v>
      </c>
      <c r="M513" s="14" t="n">
        <f aca="true">$B$16+NORMINV(RAND(),0,SQRT($B$13*($B$7+$B$8^2))*$B$9*(1-$B$10))</f>
        <v>3896.4841149633</v>
      </c>
      <c r="N513" s="14" t="n">
        <f aca="true">$B$16+NORMINV(RAND(),0,SQRT($B$13*($B$7+$B$8^2))*$B$9*(1-$B$10))</f>
        <v>4257.70325324629</v>
      </c>
      <c r="O513" s="14" t="n">
        <f aca="true">$B$16+NORMINV(RAND(),0,SQRT($B$13*($B$7+$B$8^2))*$B$9*(1-$B$10))</f>
        <v>3744.03394610196</v>
      </c>
      <c r="P513" s="14" t="n">
        <f aca="true">$B$16+NORMINV(RAND(),0,SQRT($B$13*($B$7+$B$8^2))*$B$9*(1-$B$10))</f>
        <v>4196.12053660107</v>
      </c>
      <c r="Q513" s="14" t="n">
        <f aca="true">$B$16+NORMINV(RAND(),0,SQRT($B$13*($B$7+$B$8^2))*$B$9*(1-$B$10))</f>
        <v>4485.02079857536</v>
      </c>
      <c r="R513" s="14" t="n">
        <f aca="false">$B$4-13*($B$5+$B$6)/30-IF($B$11&lt;=13,$B$12,0)+0</f>
        <v>8876.66666666667</v>
      </c>
      <c r="S513" s="14" t="n">
        <f aca="false">$B$4-27*($B$5+$B$6)/30-IF($B$11&lt;=27,$B$12,0)+L513</f>
        <v>10475.3182245176</v>
      </c>
      <c r="T513" s="14" t="n">
        <f aca="false">$B$4-41*($B$5+$B$6)/30-IF($B$11&lt;=41,$B$12,0)+L513+M513</f>
        <v>900.335672814252</v>
      </c>
      <c r="U513" s="14" t="n">
        <f aca="false">$B$4-55*($B$5+$B$6)/30-IF($B$11&lt;=55,$B$12,0)+L513+M513+N513</f>
        <v>2871.37225939388</v>
      </c>
      <c r="V513" s="14" t="n">
        <f aca="false">$B$4-69*($B$5+$B$6)/30-IF($B$11&lt;=69,$B$12,0)+L513+M513+N513+O513</f>
        <v>4328.73953882918</v>
      </c>
      <c r="W513" s="14" t="n">
        <f aca="false">$B$4-83*($B$5+$B$6)/30-IF($B$11&lt;=83,$B$12,0)+L513+M513+N513+O513+P513</f>
        <v>6238.19340876359</v>
      </c>
      <c r="X513" s="14" t="n">
        <f aca="false">$B$4-90*($B$5+$B$6)/30-IF($B$11&lt;=90,$B$12,0)+L513+M513+N513+O513+P513+Q513</f>
        <v>9579.88087400561</v>
      </c>
      <c r="AA513" s="14" t="n">
        <f aca="false">MIN(R513:X513)</f>
        <v>900.335672814252</v>
      </c>
    </row>
    <row r="514" customFormat="false" ht="15" hidden="false" customHeight="false" outlineLevel="0" collapsed="false">
      <c r="K514" s="2" t="n">
        <v>509</v>
      </c>
      <c r="L514" s="14" t="n">
        <f aca="true">$B$16+NORMINV(RAND(),0,SQRT($B$13*($B$7+$B$8^2))*$B$9*(1-$B$10))</f>
        <v>3983.66590377549</v>
      </c>
      <c r="M514" s="14" t="n">
        <f aca="true">$B$16+NORMINV(RAND(),0,SQRT($B$13*($B$7+$B$8^2))*$B$9*(1-$B$10))</f>
        <v>4277.58976117553</v>
      </c>
      <c r="N514" s="14" t="n">
        <f aca="true">$B$16+NORMINV(RAND(),0,SQRT($B$13*($B$7+$B$8^2))*$B$9*(1-$B$10))</f>
        <v>4337.26789623596</v>
      </c>
      <c r="O514" s="14" t="n">
        <f aca="true">$B$16+NORMINV(RAND(),0,SQRT($B$13*($B$7+$B$8^2))*$B$9*(1-$B$10))</f>
        <v>4068.83793876633</v>
      </c>
      <c r="P514" s="14" t="n">
        <f aca="true">$B$16+NORMINV(RAND(),0,SQRT($B$13*($B$7+$B$8^2))*$B$9*(1-$B$10))</f>
        <v>4401.67868904682</v>
      </c>
      <c r="Q514" s="14" t="n">
        <f aca="true">$B$16+NORMINV(RAND(),0,SQRT($B$13*($B$7+$B$8^2))*$B$9*(1-$B$10))</f>
        <v>3888.9266886135</v>
      </c>
      <c r="R514" s="14" t="n">
        <f aca="false">$B$4-13*($B$5+$B$6)/30-IF($B$11&lt;=13,$B$12,0)+0</f>
        <v>8876.66666666667</v>
      </c>
      <c r="S514" s="14" t="n">
        <f aca="false">$B$4-27*($B$5+$B$6)/30-IF($B$11&lt;=27,$B$12,0)+L514</f>
        <v>10573.6659037755</v>
      </c>
      <c r="T514" s="14" t="n">
        <f aca="false">$B$4-41*($B$5+$B$6)/30-IF($B$11&lt;=41,$B$12,0)+L514+M514</f>
        <v>1379.78899828436</v>
      </c>
      <c r="U514" s="14" t="n">
        <f aca="false">$B$4-55*($B$5+$B$6)/30-IF($B$11&lt;=55,$B$12,0)+L514+M514+N514</f>
        <v>3430.39022785365</v>
      </c>
      <c r="V514" s="14" t="n">
        <f aca="false">$B$4-69*($B$5+$B$6)/30-IF($B$11&lt;=69,$B$12,0)+L514+M514+N514+O514</f>
        <v>5212.56149995332</v>
      </c>
      <c r="W514" s="14" t="n">
        <f aca="false">$B$4-83*($B$5+$B$6)/30-IF($B$11&lt;=83,$B$12,0)+L514+M514+N514+O514+P514</f>
        <v>7327.57352233347</v>
      </c>
      <c r="X514" s="14" t="n">
        <f aca="false">$B$4-90*($B$5+$B$6)/30-IF($B$11&lt;=90,$B$12,0)+L514+M514+N514+O514+P514+Q514</f>
        <v>10073.1668776136</v>
      </c>
      <c r="AA514" s="14" t="n">
        <f aca="false">MIN(R514:X514)</f>
        <v>1379.78899828436</v>
      </c>
    </row>
    <row r="515" customFormat="false" ht="15" hidden="false" customHeight="false" outlineLevel="0" collapsed="false">
      <c r="K515" s="2" t="n">
        <v>510</v>
      </c>
      <c r="L515" s="14" t="n">
        <f aca="true">$B$16+NORMINV(RAND(),0,SQRT($B$13*($B$7+$B$8^2))*$B$9*(1-$B$10))</f>
        <v>4443.18087564145</v>
      </c>
      <c r="M515" s="14" t="n">
        <f aca="true">$B$16+NORMINV(RAND(),0,SQRT($B$13*($B$7+$B$8^2))*$B$9*(1-$B$10))</f>
        <v>3966.78799673881</v>
      </c>
      <c r="N515" s="14" t="n">
        <f aca="true">$B$16+NORMINV(RAND(),0,SQRT($B$13*($B$7+$B$8^2))*$B$9*(1-$B$10))</f>
        <v>3652.12741833316</v>
      </c>
      <c r="O515" s="14" t="n">
        <f aca="true">$B$16+NORMINV(RAND(),0,SQRT($B$13*($B$7+$B$8^2))*$B$9*(1-$B$10))</f>
        <v>4337.97955082351</v>
      </c>
      <c r="P515" s="14" t="n">
        <f aca="true">$B$16+NORMINV(RAND(),0,SQRT($B$13*($B$7+$B$8^2))*$B$9*(1-$B$10))</f>
        <v>3991.78458224004</v>
      </c>
      <c r="Q515" s="14" t="n">
        <f aca="true">$B$16+NORMINV(RAND(),0,SQRT($B$13*($B$7+$B$8^2))*$B$9*(1-$B$10))</f>
        <v>4536.32200786995</v>
      </c>
      <c r="R515" s="14" t="n">
        <f aca="false">$B$4-13*($B$5+$B$6)/30-IF($B$11&lt;=13,$B$12,0)+0</f>
        <v>8876.66666666667</v>
      </c>
      <c r="S515" s="14" t="n">
        <f aca="false">$B$4-27*($B$5+$B$6)/30-IF($B$11&lt;=27,$B$12,0)+L515</f>
        <v>11033.1808756415</v>
      </c>
      <c r="T515" s="14" t="n">
        <f aca="false">$B$4-41*($B$5+$B$6)/30-IF($B$11&lt;=41,$B$12,0)+L515+M515</f>
        <v>1528.50220571359</v>
      </c>
      <c r="U515" s="14" t="n">
        <f aca="false">$B$4-55*($B$5+$B$6)/30-IF($B$11&lt;=55,$B$12,0)+L515+M515+N515</f>
        <v>2893.96295738009</v>
      </c>
      <c r="V515" s="14" t="n">
        <f aca="false">$B$4-69*($B$5+$B$6)/30-IF($B$11&lt;=69,$B$12,0)+L515+M515+N515+O515</f>
        <v>4945.27584153693</v>
      </c>
      <c r="W515" s="14" t="n">
        <f aca="false">$B$4-83*($B$5+$B$6)/30-IF($B$11&lt;=83,$B$12,0)+L515+M515+N515+O515+P515</f>
        <v>6650.39375711031</v>
      </c>
      <c r="X515" s="14" t="n">
        <f aca="false">$B$4-90*($B$5+$B$6)/30-IF($B$11&lt;=90,$B$12,0)+L515+M515+N515+O515+P515+Q515</f>
        <v>10043.3824316469</v>
      </c>
      <c r="AA515" s="14" t="n">
        <f aca="false">MIN(R515:X515)</f>
        <v>1528.50220571359</v>
      </c>
    </row>
    <row r="516" customFormat="false" ht="15" hidden="false" customHeight="false" outlineLevel="0" collapsed="false">
      <c r="K516" s="2" t="n">
        <v>511</v>
      </c>
      <c r="L516" s="14" t="n">
        <f aca="true">$B$16+NORMINV(RAND(),0,SQRT($B$13*($B$7+$B$8^2))*$B$9*(1-$B$10))</f>
        <v>4454.83298362841</v>
      </c>
      <c r="M516" s="14" t="n">
        <f aca="true">$B$16+NORMINV(RAND(),0,SQRT($B$13*($B$7+$B$8^2))*$B$9*(1-$B$10))</f>
        <v>3921.24527116482</v>
      </c>
      <c r="N516" s="14" t="n">
        <f aca="true">$B$16+NORMINV(RAND(),0,SQRT($B$13*($B$7+$B$8^2))*$B$9*(1-$B$10))</f>
        <v>4360.74066124816</v>
      </c>
      <c r="O516" s="14" t="n">
        <f aca="true">$B$16+NORMINV(RAND(),0,SQRT($B$13*($B$7+$B$8^2))*$B$9*(1-$B$10))</f>
        <v>4148.76772357725</v>
      </c>
      <c r="P516" s="14" t="n">
        <f aca="true">$B$16+NORMINV(RAND(),0,SQRT($B$13*($B$7+$B$8^2))*$B$9*(1-$B$10))</f>
        <v>4024.1190718805</v>
      </c>
      <c r="Q516" s="14" t="n">
        <f aca="true">$B$16+NORMINV(RAND(),0,SQRT($B$13*($B$7+$B$8^2))*$B$9*(1-$B$10))</f>
        <v>4259.2806179233</v>
      </c>
      <c r="R516" s="14" t="n">
        <f aca="false">$B$4-13*($B$5+$B$6)/30-IF($B$11&lt;=13,$B$12,0)+0</f>
        <v>8876.66666666667</v>
      </c>
      <c r="S516" s="14" t="n">
        <f aca="false">$B$4-27*($B$5+$B$6)/30-IF($B$11&lt;=27,$B$12,0)+L516</f>
        <v>11044.8329836284</v>
      </c>
      <c r="T516" s="14" t="n">
        <f aca="false">$B$4-41*($B$5+$B$6)/30-IF($B$11&lt;=41,$B$12,0)+L516+M516</f>
        <v>1494.61158812655</v>
      </c>
      <c r="U516" s="14" t="n">
        <f aca="false">$B$4-55*($B$5+$B$6)/30-IF($B$11&lt;=55,$B$12,0)+L516+M516+N516</f>
        <v>3568.68558270805</v>
      </c>
      <c r="V516" s="14" t="n">
        <f aca="false">$B$4-69*($B$5+$B$6)/30-IF($B$11&lt;=69,$B$12,0)+L516+M516+N516+O516</f>
        <v>5430.78663961863</v>
      </c>
      <c r="W516" s="14" t="n">
        <f aca="false">$B$4-83*($B$5+$B$6)/30-IF($B$11&lt;=83,$B$12,0)+L516+M516+N516+O516+P516</f>
        <v>7168.23904483247</v>
      </c>
      <c r="X516" s="14" t="n">
        <f aca="false">$B$4-90*($B$5+$B$6)/30-IF($B$11&lt;=90,$B$12,0)+L516+M516+N516+O516+P516+Q516</f>
        <v>10284.1863294224</v>
      </c>
      <c r="AA516" s="14" t="n">
        <f aca="false">MIN(R516:X516)</f>
        <v>1494.61158812655</v>
      </c>
    </row>
    <row r="517" customFormat="false" ht="15" hidden="false" customHeight="false" outlineLevel="0" collapsed="false">
      <c r="K517" s="2" t="n">
        <v>512</v>
      </c>
      <c r="L517" s="14" t="n">
        <f aca="true">$B$16+NORMINV(RAND(),0,SQRT($B$13*($B$7+$B$8^2))*$B$9*(1-$B$10))</f>
        <v>4267.58999795893</v>
      </c>
      <c r="M517" s="14" t="n">
        <f aca="true">$B$16+NORMINV(RAND(),0,SQRT($B$13*($B$7+$B$8^2))*$B$9*(1-$B$10))</f>
        <v>4328.68594660414</v>
      </c>
      <c r="N517" s="14" t="n">
        <f aca="true">$B$16+NORMINV(RAND(),0,SQRT($B$13*($B$7+$B$8^2))*$B$9*(1-$B$10))</f>
        <v>4387.86200767494</v>
      </c>
      <c r="O517" s="14" t="n">
        <f aca="true">$B$16+NORMINV(RAND(),0,SQRT($B$13*($B$7+$B$8^2))*$B$9*(1-$B$10))</f>
        <v>4180.95561741613</v>
      </c>
      <c r="P517" s="14" t="n">
        <f aca="true">$B$16+NORMINV(RAND(),0,SQRT($B$13*($B$7+$B$8^2))*$B$9*(1-$B$10))</f>
        <v>4353.93125794594</v>
      </c>
      <c r="Q517" s="14" t="n">
        <f aca="true">$B$16+NORMINV(RAND(),0,SQRT($B$13*($B$7+$B$8^2))*$B$9*(1-$B$10))</f>
        <v>4269.98137185002</v>
      </c>
      <c r="R517" s="14" t="n">
        <f aca="false">$B$4-13*($B$5+$B$6)/30-IF($B$11&lt;=13,$B$12,0)+0</f>
        <v>8876.66666666667</v>
      </c>
      <c r="S517" s="14" t="n">
        <f aca="false">$B$4-27*($B$5+$B$6)/30-IF($B$11&lt;=27,$B$12,0)+L517</f>
        <v>10857.5899979589</v>
      </c>
      <c r="T517" s="14" t="n">
        <f aca="false">$B$4-41*($B$5+$B$6)/30-IF($B$11&lt;=41,$B$12,0)+L517+M517</f>
        <v>1714.8092778964</v>
      </c>
      <c r="U517" s="14" t="n">
        <f aca="false">$B$4-55*($B$5+$B$6)/30-IF($B$11&lt;=55,$B$12,0)+L517+M517+N517</f>
        <v>3816.00461890467</v>
      </c>
      <c r="V517" s="14" t="n">
        <f aca="false">$B$4-69*($B$5+$B$6)/30-IF($B$11&lt;=69,$B$12,0)+L517+M517+N517+O517</f>
        <v>5710.29356965413</v>
      </c>
      <c r="W517" s="14" t="n">
        <f aca="false">$B$4-83*($B$5+$B$6)/30-IF($B$11&lt;=83,$B$12,0)+L517+M517+N517+O517+P517</f>
        <v>7777.55816093341</v>
      </c>
      <c r="X517" s="14" t="n">
        <f aca="false">$B$4-90*($B$5+$B$6)/30-IF($B$11&lt;=90,$B$12,0)+L517+M517+N517+O517+P517+Q517</f>
        <v>10904.2061994501</v>
      </c>
      <c r="AA517" s="14" t="n">
        <f aca="false">MIN(R517:X517)</f>
        <v>1714.8092778964</v>
      </c>
    </row>
    <row r="518" customFormat="false" ht="15" hidden="false" customHeight="false" outlineLevel="0" collapsed="false">
      <c r="K518" s="2" t="n">
        <v>513</v>
      </c>
      <c r="L518" s="14" t="n">
        <f aca="true">$B$16+NORMINV(RAND(),0,SQRT($B$13*($B$7+$B$8^2))*$B$9*(1-$B$10))</f>
        <v>4052.2679561899</v>
      </c>
      <c r="M518" s="14" t="n">
        <f aca="true">$B$16+NORMINV(RAND(),0,SQRT($B$13*($B$7+$B$8^2))*$B$9*(1-$B$10))</f>
        <v>3955.81481776609</v>
      </c>
      <c r="N518" s="14" t="n">
        <f aca="true">$B$16+NORMINV(RAND(),0,SQRT($B$13*($B$7+$B$8^2))*$B$9*(1-$B$10))</f>
        <v>4111.68601742264</v>
      </c>
      <c r="O518" s="14" t="n">
        <f aca="true">$B$16+NORMINV(RAND(),0,SQRT($B$13*($B$7+$B$8^2))*$B$9*(1-$B$10))</f>
        <v>4267.99345663586</v>
      </c>
      <c r="P518" s="14" t="n">
        <f aca="true">$B$16+NORMINV(RAND(),0,SQRT($B$13*($B$7+$B$8^2))*$B$9*(1-$B$10))</f>
        <v>3752.23086783265</v>
      </c>
      <c r="Q518" s="14" t="n">
        <f aca="true">$B$16+NORMINV(RAND(),0,SQRT($B$13*($B$7+$B$8^2))*$B$9*(1-$B$10))</f>
        <v>4484.72616270677</v>
      </c>
      <c r="R518" s="14" t="n">
        <f aca="false">$B$4-13*($B$5+$B$6)/30-IF($B$11&lt;=13,$B$12,0)+0</f>
        <v>8876.66666666667</v>
      </c>
      <c r="S518" s="14" t="n">
        <f aca="false">$B$4-27*($B$5+$B$6)/30-IF($B$11&lt;=27,$B$12,0)+L518</f>
        <v>10642.2679561899</v>
      </c>
      <c r="T518" s="14" t="n">
        <f aca="false">$B$4-41*($B$5+$B$6)/30-IF($B$11&lt;=41,$B$12,0)+L518+M518</f>
        <v>1126.61610728932</v>
      </c>
      <c r="U518" s="14" t="n">
        <f aca="false">$B$4-55*($B$5+$B$6)/30-IF($B$11&lt;=55,$B$12,0)+L518+M518+N518</f>
        <v>2951.6354580453</v>
      </c>
      <c r="V518" s="14" t="n">
        <f aca="false">$B$4-69*($B$5+$B$6)/30-IF($B$11&lt;=69,$B$12,0)+L518+M518+N518+O518</f>
        <v>4932.96224801449</v>
      </c>
      <c r="W518" s="14" t="n">
        <f aca="false">$B$4-83*($B$5+$B$6)/30-IF($B$11&lt;=83,$B$12,0)+L518+M518+N518+O518+P518</f>
        <v>6398.52644918047</v>
      </c>
      <c r="X518" s="14" t="n">
        <f aca="false">$B$4-90*($B$5+$B$6)/30-IF($B$11&lt;=90,$B$12,0)+L518+M518+N518+O518+P518+Q518</f>
        <v>9739.9192785539</v>
      </c>
      <c r="AA518" s="14" t="n">
        <f aca="false">MIN(R518:X518)</f>
        <v>1126.61610728932</v>
      </c>
    </row>
    <row r="519" customFormat="false" ht="15" hidden="false" customHeight="false" outlineLevel="0" collapsed="false">
      <c r="K519" s="2" t="n">
        <v>514</v>
      </c>
      <c r="L519" s="14" t="n">
        <f aca="true">$B$16+NORMINV(RAND(),0,SQRT($B$13*($B$7+$B$8^2))*$B$9*(1-$B$10))</f>
        <v>4115.19009208206</v>
      </c>
      <c r="M519" s="14" t="n">
        <f aca="true">$B$16+NORMINV(RAND(),0,SQRT($B$13*($B$7+$B$8^2))*$B$9*(1-$B$10))</f>
        <v>3308.4402442088</v>
      </c>
      <c r="N519" s="14" t="n">
        <f aca="true">$B$16+NORMINV(RAND(),0,SQRT($B$13*($B$7+$B$8^2))*$B$9*(1-$B$10))</f>
        <v>4243.08497366318</v>
      </c>
      <c r="O519" s="14" t="n">
        <f aca="true">$B$16+NORMINV(RAND(),0,SQRT($B$13*($B$7+$B$8^2))*$B$9*(1-$B$10))</f>
        <v>4215.35763662279</v>
      </c>
      <c r="P519" s="14" t="n">
        <f aca="true">$B$16+NORMINV(RAND(),0,SQRT($B$13*($B$7+$B$8^2))*$B$9*(1-$B$10))</f>
        <v>3761.30801253579</v>
      </c>
      <c r="Q519" s="14" t="n">
        <f aca="true">$B$16+NORMINV(RAND(),0,SQRT($B$13*($B$7+$B$8^2))*$B$9*(1-$B$10))</f>
        <v>4819.56847382385</v>
      </c>
      <c r="R519" s="14" t="n">
        <f aca="false">$B$4-13*($B$5+$B$6)/30-IF($B$11&lt;=13,$B$12,0)+0</f>
        <v>8876.66666666667</v>
      </c>
      <c r="S519" s="14" t="n">
        <f aca="false">$B$4-27*($B$5+$B$6)/30-IF($B$11&lt;=27,$B$12,0)+L519</f>
        <v>10705.1900920821</v>
      </c>
      <c r="T519" s="14" t="n">
        <f aca="false">$B$4-41*($B$5+$B$6)/30-IF($B$11&lt;=41,$B$12,0)+L519+M519</f>
        <v>542.163669624194</v>
      </c>
      <c r="U519" s="14" t="n">
        <f aca="false">$B$4-55*($B$5+$B$6)/30-IF($B$11&lt;=55,$B$12,0)+L519+M519+N519</f>
        <v>2498.58197662071</v>
      </c>
      <c r="V519" s="14" t="n">
        <f aca="false">$B$4-69*($B$5+$B$6)/30-IF($B$11&lt;=69,$B$12,0)+L519+M519+N519+O519</f>
        <v>4427.27294657683</v>
      </c>
      <c r="W519" s="14" t="n">
        <f aca="false">$B$4-83*($B$5+$B$6)/30-IF($B$11&lt;=83,$B$12,0)+L519+M519+N519+O519+P519</f>
        <v>5901.91429244596</v>
      </c>
      <c r="X519" s="14" t="n">
        <f aca="false">$B$4-90*($B$5+$B$6)/30-IF($B$11&lt;=90,$B$12,0)+L519+M519+N519+O519+P519+Q519</f>
        <v>9578.14943293647</v>
      </c>
      <c r="AA519" s="14" t="n">
        <f aca="false">MIN(R519:X519)</f>
        <v>542.163669624194</v>
      </c>
    </row>
    <row r="520" customFormat="false" ht="15" hidden="false" customHeight="false" outlineLevel="0" collapsed="false">
      <c r="K520" s="2" t="n">
        <v>515</v>
      </c>
      <c r="L520" s="14" t="n">
        <f aca="true">$B$16+NORMINV(RAND(),0,SQRT($B$13*($B$7+$B$8^2))*$B$9*(1-$B$10))</f>
        <v>4147.1357153476</v>
      </c>
      <c r="M520" s="14" t="n">
        <f aca="true">$B$16+NORMINV(RAND(),0,SQRT($B$13*($B$7+$B$8^2))*$B$9*(1-$B$10))</f>
        <v>3687.65301358605</v>
      </c>
      <c r="N520" s="14" t="n">
        <f aca="true">$B$16+NORMINV(RAND(),0,SQRT($B$13*($B$7+$B$8^2))*$B$9*(1-$B$10))</f>
        <v>4048.43439134444</v>
      </c>
      <c r="O520" s="14" t="n">
        <f aca="true">$B$16+NORMINV(RAND(),0,SQRT($B$13*($B$7+$B$8^2))*$B$9*(1-$B$10))</f>
        <v>4253.04195109166</v>
      </c>
      <c r="P520" s="14" t="n">
        <f aca="true">$B$16+NORMINV(RAND(),0,SQRT($B$13*($B$7+$B$8^2))*$B$9*(1-$B$10))</f>
        <v>4241.64605609662</v>
      </c>
      <c r="Q520" s="14" t="n">
        <f aca="true">$B$16+NORMINV(RAND(),0,SQRT($B$13*($B$7+$B$8^2))*$B$9*(1-$B$10))</f>
        <v>4451.03126107174</v>
      </c>
      <c r="R520" s="14" t="n">
        <f aca="false">$B$4-13*($B$5+$B$6)/30-IF($B$11&lt;=13,$B$12,0)+0</f>
        <v>8876.66666666667</v>
      </c>
      <c r="S520" s="14" t="n">
        <f aca="false">$B$4-27*($B$5+$B$6)/30-IF($B$11&lt;=27,$B$12,0)+L520</f>
        <v>10737.1357153476</v>
      </c>
      <c r="T520" s="14" t="n">
        <f aca="false">$B$4-41*($B$5+$B$6)/30-IF($B$11&lt;=41,$B$12,0)+L520+M520</f>
        <v>953.322062266979</v>
      </c>
      <c r="U520" s="14" t="n">
        <f aca="false">$B$4-55*($B$5+$B$6)/30-IF($B$11&lt;=55,$B$12,0)+L520+M520+N520</f>
        <v>2715.08978694475</v>
      </c>
      <c r="V520" s="14" t="n">
        <f aca="false">$B$4-69*($B$5+$B$6)/30-IF($B$11&lt;=69,$B$12,0)+L520+M520+N520+O520</f>
        <v>4681.46507136974</v>
      </c>
      <c r="W520" s="14" t="n">
        <f aca="false">$B$4-83*($B$5+$B$6)/30-IF($B$11&lt;=83,$B$12,0)+L520+M520+N520+O520+P520</f>
        <v>6636.4444607997</v>
      </c>
      <c r="X520" s="14" t="n">
        <f aca="false">$B$4-90*($B$5+$B$6)/30-IF($B$11&lt;=90,$B$12,0)+L520+M520+N520+O520+P520+Q520</f>
        <v>9944.14238853811</v>
      </c>
      <c r="AA520" s="14" t="n">
        <f aca="false">MIN(R520:X520)</f>
        <v>953.322062266979</v>
      </c>
    </row>
    <row r="521" customFormat="false" ht="15" hidden="false" customHeight="false" outlineLevel="0" collapsed="false">
      <c r="K521" s="2" t="n">
        <v>516</v>
      </c>
      <c r="L521" s="14" t="n">
        <f aca="true">$B$16+NORMINV(RAND(),0,SQRT($B$13*($B$7+$B$8^2))*$B$9*(1-$B$10))</f>
        <v>4666.75107161874</v>
      </c>
      <c r="M521" s="14" t="n">
        <f aca="true">$B$16+NORMINV(RAND(),0,SQRT($B$13*($B$7+$B$8^2))*$B$9*(1-$B$10))</f>
        <v>3979.0125118885</v>
      </c>
      <c r="N521" s="14" t="n">
        <f aca="true">$B$16+NORMINV(RAND(),0,SQRT($B$13*($B$7+$B$8^2))*$B$9*(1-$B$10))</f>
        <v>4204.45571403119</v>
      </c>
      <c r="O521" s="14" t="n">
        <f aca="true">$B$16+NORMINV(RAND(),0,SQRT($B$13*($B$7+$B$8^2))*$B$9*(1-$B$10))</f>
        <v>3505.09657605191</v>
      </c>
      <c r="P521" s="14" t="n">
        <f aca="true">$B$16+NORMINV(RAND(),0,SQRT($B$13*($B$7+$B$8^2))*$B$9*(1-$B$10))</f>
        <v>4297.81003637313</v>
      </c>
      <c r="Q521" s="14" t="n">
        <f aca="true">$B$16+NORMINV(RAND(),0,SQRT($B$13*($B$7+$B$8^2))*$B$9*(1-$B$10))</f>
        <v>3828.35091674839</v>
      </c>
      <c r="R521" s="14" t="n">
        <f aca="false">$B$4-13*($B$5+$B$6)/30-IF($B$11&lt;=13,$B$12,0)+0</f>
        <v>8876.66666666667</v>
      </c>
      <c r="S521" s="14" t="n">
        <f aca="false">$B$4-27*($B$5+$B$6)/30-IF($B$11&lt;=27,$B$12,0)+L521</f>
        <v>11256.7510716187</v>
      </c>
      <c r="T521" s="14" t="n">
        <f aca="false">$B$4-41*($B$5+$B$6)/30-IF($B$11&lt;=41,$B$12,0)+L521+M521</f>
        <v>1764.29691684057</v>
      </c>
      <c r="U521" s="14" t="n">
        <f aca="false">$B$4-55*($B$5+$B$6)/30-IF($B$11&lt;=55,$B$12,0)+L521+M521+N521</f>
        <v>3682.0859642051</v>
      </c>
      <c r="V521" s="14" t="n">
        <f aca="false">$B$4-69*($B$5+$B$6)/30-IF($B$11&lt;=69,$B$12,0)+L521+M521+N521+O521</f>
        <v>4900.51587359034</v>
      </c>
      <c r="W521" s="14" t="n">
        <f aca="false">$B$4-83*($B$5+$B$6)/30-IF($B$11&lt;=83,$B$12,0)+L521+M521+N521+O521+P521</f>
        <v>6911.6592432968</v>
      </c>
      <c r="X521" s="14" t="n">
        <f aca="false">$B$4-90*($B$5+$B$6)/30-IF($B$11&lt;=90,$B$12,0)+L521+M521+N521+O521+P521+Q521</f>
        <v>9596.67682671186</v>
      </c>
      <c r="AA521" s="14" t="n">
        <f aca="false">MIN(R521:X521)</f>
        <v>1764.29691684057</v>
      </c>
    </row>
    <row r="522" customFormat="false" ht="15" hidden="false" customHeight="false" outlineLevel="0" collapsed="false">
      <c r="K522" s="2" t="n">
        <v>517</v>
      </c>
      <c r="L522" s="14" t="n">
        <f aca="true">$B$16+NORMINV(RAND(),0,SQRT($B$13*($B$7+$B$8^2))*$B$9*(1-$B$10))</f>
        <v>3098.57231015565</v>
      </c>
      <c r="M522" s="14" t="n">
        <f aca="true">$B$16+NORMINV(RAND(),0,SQRT($B$13*($B$7+$B$8^2))*$B$9*(1-$B$10))</f>
        <v>4205.85881055287</v>
      </c>
      <c r="N522" s="14" t="n">
        <f aca="true">$B$16+NORMINV(RAND(),0,SQRT($B$13*($B$7+$B$8^2))*$B$9*(1-$B$10))</f>
        <v>4441.00130425584</v>
      </c>
      <c r="O522" s="14" t="n">
        <f aca="true">$B$16+NORMINV(RAND(),0,SQRT($B$13*($B$7+$B$8^2))*$B$9*(1-$B$10))</f>
        <v>3633.99375950758</v>
      </c>
      <c r="P522" s="14" t="n">
        <f aca="true">$B$16+NORMINV(RAND(),0,SQRT($B$13*($B$7+$B$8^2))*$B$9*(1-$B$10))</f>
        <v>4245.51417351505</v>
      </c>
      <c r="Q522" s="14" t="n">
        <f aca="true">$B$16+NORMINV(RAND(),0,SQRT($B$13*($B$7+$B$8^2))*$B$9*(1-$B$10))</f>
        <v>3748.10631958246</v>
      </c>
      <c r="R522" s="14" t="n">
        <f aca="false">$B$4-13*($B$5+$B$6)/30-IF($B$11&lt;=13,$B$12,0)+0</f>
        <v>8876.66666666667</v>
      </c>
      <c r="S522" s="14" t="n">
        <f aca="false">$B$4-27*($B$5+$B$6)/30-IF($B$11&lt;=27,$B$12,0)+L522</f>
        <v>9688.57231015565</v>
      </c>
      <c r="T522" s="14" t="n">
        <f aca="false">$B$4-41*($B$5+$B$6)/30-IF($B$11&lt;=41,$B$12,0)+L522+M522</f>
        <v>422.964454041856</v>
      </c>
      <c r="U522" s="14" t="n">
        <f aca="false">$B$4-55*($B$5+$B$6)/30-IF($B$11&lt;=55,$B$12,0)+L522+M522+N522</f>
        <v>2577.29909163103</v>
      </c>
      <c r="V522" s="14" t="n">
        <f aca="false">$B$4-69*($B$5+$B$6)/30-IF($B$11&lt;=69,$B$12,0)+L522+M522+N522+O522</f>
        <v>3924.62618447195</v>
      </c>
      <c r="W522" s="14" t="n">
        <f aca="false">$B$4-83*($B$5+$B$6)/30-IF($B$11&lt;=83,$B$12,0)+L522+M522+N522+O522+P522</f>
        <v>5883.47369132033</v>
      </c>
      <c r="X522" s="14" t="n">
        <f aca="false">$B$4-90*($B$5+$B$6)/30-IF($B$11&lt;=90,$B$12,0)+L522+M522+N522+O522+P522+Q522</f>
        <v>8488.24667756946</v>
      </c>
      <c r="AA522" s="14" t="n">
        <f aca="false">MIN(R522:X522)</f>
        <v>422.964454041856</v>
      </c>
    </row>
    <row r="523" customFormat="false" ht="15" hidden="false" customHeight="false" outlineLevel="0" collapsed="false">
      <c r="K523" s="2" t="n">
        <v>518</v>
      </c>
      <c r="L523" s="14" t="n">
        <f aca="true">$B$16+NORMINV(RAND(),0,SQRT($B$13*($B$7+$B$8^2))*$B$9*(1-$B$10))</f>
        <v>4226.0046034645</v>
      </c>
      <c r="M523" s="14" t="n">
        <f aca="true">$B$16+NORMINV(RAND(),0,SQRT($B$13*($B$7+$B$8^2))*$B$9*(1-$B$10))</f>
        <v>4500.33801009764</v>
      </c>
      <c r="N523" s="14" t="n">
        <f aca="true">$B$16+NORMINV(RAND(),0,SQRT($B$13*($B$7+$B$8^2))*$B$9*(1-$B$10))</f>
        <v>4316.76870470448</v>
      </c>
      <c r="O523" s="14" t="n">
        <f aca="true">$B$16+NORMINV(RAND(),0,SQRT($B$13*($B$7+$B$8^2))*$B$9*(1-$B$10))</f>
        <v>4433.97667813978</v>
      </c>
      <c r="P523" s="14" t="n">
        <f aca="true">$B$16+NORMINV(RAND(),0,SQRT($B$13*($B$7+$B$8^2))*$B$9*(1-$B$10))</f>
        <v>4450.81017156769</v>
      </c>
      <c r="Q523" s="14" t="n">
        <f aca="true">$B$16+NORMINV(RAND(),0,SQRT($B$13*($B$7+$B$8^2))*$B$9*(1-$B$10))</f>
        <v>4227.99146978033</v>
      </c>
      <c r="R523" s="14" t="n">
        <f aca="false">$B$4-13*($B$5+$B$6)/30-IF($B$11&lt;=13,$B$12,0)+0</f>
        <v>8876.66666666667</v>
      </c>
      <c r="S523" s="14" t="n">
        <f aca="false">$B$4-27*($B$5+$B$6)/30-IF($B$11&lt;=27,$B$12,0)+L523</f>
        <v>10816.0046034645</v>
      </c>
      <c r="T523" s="14" t="n">
        <f aca="false">$B$4-41*($B$5+$B$6)/30-IF($B$11&lt;=41,$B$12,0)+L523+M523</f>
        <v>1844.87594689548</v>
      </c>
      <c r="U523" s="14" t="n">
        <f aca="false">$B$4-55*($B$5+$B$6)/30-IF($B$11&lt;=55,$B$12,0)+L523+M523+N523</f>
        <v>3874.97798493329</v>
      </c>
      <c r="V523" s="14" t="n">
        <f aca="false">$B$4-69*($B$5+$B$6)/30-IF($B$11&lt;=69,$B$12,0)+L523+M523+N523+O523</f>
        <v>6022.2879964064</v>
      </c>
      <c r="W523" s="14" t="n">
        <f aca="false">$B$4-83*($B$5+$B$6)/30-IF($B$11&lt;=83,$B$12,0)+L523+M523+N523+O523+P523</f>
        <v>8186.43150130743</v>
      </c>
      <c r="X523" s="14" t="n">
        <f aca="false">$B$4-90*($B$5+$B$6)/30-IF($B$11&lt;=90,$B$12,0)+L523+M523+N523+O523+P523+Q523</f>
        <v>11271.0896377544</v>
      </c>
      <c r="AA523" s="14" t="n">
        <f aca="false">MIN(R523:X523)</f>
        <v>1844.87594689548</v>
      </c>
    </row>
    <row r="524" customFormat="false" ht="15" hidden="false" customHeight="false" outlineLevel="0" collapsed="false">
      <c r="K524" s="2" t="n">
        <v>519</v>
      </c>
      <c r="L524" s="14" t="n">
        <f aca="true">$B$16+NORMINV(RAND(),0,SQRT($B$13*($B$7+$B$8^2))*$B$9*(1-$B$10))</f>
        <v>3588.9064099774</v>
      </c>
      <c r="M524" s="14" t="n">
        <f aca="true">$B$16+NORMINV(RAND(),0,SQRT($B$13*($B$7+$B$8^2))*$B$9*(1-$B$10))</f>
        <v>4542.88353988045</v>
      </c>
      <c r="N524" s="14" t="n">
        <f aca="true">$B$16+NORMINV(RAND(),0,SQRT($B$13*($B$7+$B$8^2))*$B$9*(1-$B$10))</f>
        <v>4177.764518697</v>
      </c>
      <c r="O524" s="14" t="n">
        <f aca="true">$B$16+NORMINV(RAND(),0,SQRT($B$13*($B$7+$B$8^2))*$B$9*(1-$B$10))</f>
        <v>4470.71093514673</v>
      </c>
      <c r="P524" s="14" t="n">
        <f aca="true">$B$16+NORMINV(RAND(),0,SQRT($B$13*($B$7+$B$8^2))*$B$9*(1-$B$10))</f>
        <v>4031.72853443277</v>
      </c>
      <c r="Q524" s="14" t="n">
        <f aca="true">$B$16+NORMINV(RAND(),0,SQRT($B$13*($B$7+$B$8^2))*$B$9*(1-$B$10))</f>
        <v>3818.67875397652</v>
      </c>
      <c r="R524" s="14" t="n">
        <f aca="false">$B$4-13*($B$5+$B$6)/30-IF($B$11&lt;=13,$B$12,0)+0</f>
        <v>8876.66666666667</v>
      </c>
      <c r="S524" s="14" t="n">
        <f aca="false">$B$4-27*($B$5+$B$6)/30-IF($B$11&lt;=27,$B$12,0)+L524</f>
        <v>10178.9064099774</v>
      </c>
      <c r="T524" s="14" t="n">
        <f aca="false">$B$4-41*($B$5+$B$6)/30-IF($B$11&lt;=41,$B$12,0)+L524+M524</f>
        <v>1250.32328319118</v>
      </c>
      <c r="U524" s="14" t="n">
        <f aca="false">$B$4-55*($B$5+$B$6)/30-IF($B$11&lt;=55,$B$12,0)+L524+M524+N524</f>
        <v>3141.42113522151</v>
      </c>
      <c r="V524" s="14" t="n">
        <f aca="false">$B$4-69*($B$5+$B$6)/30-IF($B$11&lt;=69,$B$12,0)+L524+M524+N524+O524</f>
        <v>5325.46540370158</v>
      </c>
      <c r="W524" s="14" t="n">
        <f aca="false">$B$4-83*($B$5+$B$6)/30-IF($B$11&lt;=83,$B$12,0)+L524+M524+N524+O524+P524</f>
        <v>7070.52727146768</v>
      </c>
      <c r="X524" s="14" t="n">
        <f aca="false">$B$4-90*($B$5+$B$6)/30-IF($B$11&lt;=90,$B$12,0)+L524+M524+N524+O524+P524+Q524</f>
        <v>9745.87269211087</v>
      </c>
      <c r="AA524" s="14" t="n">
        <f aca="false">MIN(R524:X524)</f>
        <v>1250.32328319118</v>
      </c>
    </row>
    <row r="525" customFormat="false" ht="15" hidden="false" customHeight="false" outlineLevel="0" collapsed="false">
      <c r="K525" s="2" t="n">
        <v>520</v>
      </c>
      <c r="L525" s="14" t="n">
        <f aca="true">$B$16+NORMINV(RAND(),0,SQRT($B$13*($B$7+$B$8^2))*$B$9*(1-$B$10))</f>
        <v>4345.64888766592</v>
      </c>
      <c r="M525" s="14" t="n">
        <f aca="true">$B$16+NORMINV(RAND(),0,SQRT($B$13*($B$7+$B$8^2))*$B$9*(1-$B$10))</f>
        <v>4594.39674301758</v>
      </c>
      <c r="N525" s="14" t="n">
        <f aca="true">$B$16+NORMINV(RAND(),0,SQRT($B$13*($B$7+$B$8^2))*$B$9*(1-$B$10))</f>
        <v>3712.08005080396</v>
      </c>
      <c r="O525" s="14" t="n">
        <f aca="true">$B$16+NORMINV(RAND(),0,SQRT($B$13*($B$7+$B$8^2))*$B$9*(1-$B$10))</f>
        <v>4154.53183490963</v>
      </c>
      <c r="P525" s="14" t="n">
        <f aca="true">$B$16+NORMINV(RAND(),0,SQRT($B$13*($B$7+$B$8^2))*$B$9*(1-$B$10))</f>
        <v>4504.9227229536</v>
      </c>
      <c r="Q525" s="14" t="n">
        <f aca="true">$B$16+NORMINV(RAND(),0,SQRT($B$13*($B$7+$B$8^2))*$B$9*(1-$B$10))</f>
        <v>4279.11745625939</v>
      </c>
      <c r="R525" s="14" t="n">
        <f aca="false">$B$4-13*($B$5+$B$6)/30-IF($B$11&lt;=13,$B$12,0)+0</f>
        <v>8876.66666666667</v>
      </c>
      <c r="S525" s="14" t="n">
        <f aca="false">$B$4-27*($B$5+$B$6)/30-IF($B$11&lt;=27,$B$12,0)+L525</f>
        <v>10935.6488876659</v>
      </c>
      <c r="T525" s="14" t="n">
        <f aca="false">$B$4-41*($B$5+$B$6)/30-IF($B$11&lt;=41,$B$12,0)+L525+M525</f>
        <v>2058.57896401683</v>
      </c>
      <c r="U525" s="14" t="n">
        <f aca="false">$B$4-55*($B$5+$B$6)/30-IF($B$11&lt;=55,$B$12,0)+L525+M525+N525</f>
        <v>3483.99234815412</v>
      </c>
      <c r="V525" s="14" t="n">
        <f aca="false">$B$4-69*($B$5+$B$6)/30-IF($B$11&lt;=69,$B$12,0)+L525+M525+N525+O525</f>
        <v>5351.85751639709</v>
      </c>
      <c r="W525" s="14" t="n">
        <f aca="false">$B$4-83*($B$5+$B$6)/30-IF($B$11&lt;=83,$B$12,0)+L525+M525+N525+O525+P525</f>
        <v>7570.11357268402</v>
      </c>
      <c r="X525" s="14" t="n">
        <f aca="false">$B$4-90*($B$5+$B$6)/30-IF($B$11&lt;=90,$B$12,0)+L525+M525+N525+O525+P525+Q525</f>
        <v>10705.8976956101</v>
      </c>
      <c r="AA525" s="14" t="n">
        <f aca="false">MIN(R525:X525)</f>
        <v>2058.57896401683</v>
      </c>
    </row>
    <row r="526" customFormat="false" ht="15" hidden="false" customHeight="false" outlineLevel="0" collapsed="false">
      <c r="K526" s="2" t="n">
        <v>521</v>
      </c>
      <c r="L526" s="14" t="n">
        <f aca="true">$B$16+NORMINV(RAND(),0,SQRT($B$13*($B$7+$B$8^2))*$B$9*(1-$B$10))</f>
        <v>3896.17803987741</v>
      </c>
      <c r="M526" s="14" t="n">
        <f aca="true">$B$16+NORMINV(RAND(),0,SQRT($B$13*($B$7+$B$8^2))*$B$9*(1-$B$10))</f>
        <v>3831.38745170558</v>
      </c>
      <c r="N526" s="14" t="n">
        <f aca="true">$B$16+NORMINV(RAND(),0,SQRT($B$13*($B$7+$B$8^2))*$B$9*(1-$B$10))</f>
        <v>4224.55614267721</v>
      </c>
      <c r="O526" s="14" t="n">
        <f aca="true">$B$16+NORMINV(RAND(),0,SQRT($B$13*($B$7+$B$8^2))*$B$9*(1-$B$10))</f>
        <v>4243.03330721238</v>
      </c>
      <c r="P526" s="14" t="n">
        <f aca="true">$B$16+NORMINV(RAND(),0,SQRT($B$13*($B$7+$B$8^2))*$B$9*(1-$B$10))</f>
        <v>3202.00851242051</v>
      </c>
      <c r="Q526" s="14" t="n">
        <f aca="true">$B$16+NORMINV(RAND(),0,SQRT($B$13*($B$7+$B$8^2))*$B$9*(1-$B$10))</f>
        <v>4438.41377163522</v>
      </c>
      <c r="R526" s="14" t="n">
        <f aca="false">$B$4-13*($B$5+$B$6)/30-IF($B$11&lt;=13,$B$12,0)+0</f>
        <v>8876.66666666667</v>
      </c>
      <c r="S526" s="14" t="n">
        <f aca="false">$B$4-27*($B$5+$B$6)/30-IF($B$11&lt;=27,$B$12,0)+L526</f>
        <v>10486.1780398774</v>
      </c>
      <c r="T526" s="14" t="n">
        <f aca="false">$B$4-41*($B$5+$B$6)/30-IF($B$11&lt;=41,$B$12,0)+L526+M526</f>
        <v>846.098824916322</v>
      </c>
      <c r="U526" s="14" t="n">
        <f aca="false">$B$4-55*($B$5+$B$6)/30-IF($B$11&lt;=55,$B$12,0)+L526+M526+N526</f>
        <v>2783.98830092686</v>
      </c>
      <c r="V526" s="14" t="n">
        <f aca="false">$B$4-69*($B$5+$B$6)/30-IF($B$11&lt;=69,$B$12,0)+L526+M526+N526+O526</f>
        <v>4740.35494147258</v>
      </c>
      <c r="W526" s="14" t="n">
        <f aca="false">$B$4-83*($B$5+$B$6)/30-IF($B$11&lt;=83,$B$12,0)+L526+M526+N526+O526+P526</f>
        <v>5655.69678722642</v>
      </c>
      <c r="X526" s="14" t="n">
        <f aca="false">$B$4-90*($B$5+$B$6)/30-IF($B$11&lt;=90,$B$12,0)+L526+M526+N526+O526+P526+Q526</f>
        <v>8950.7772255283</v>
      </c>
      <c r="AA526" s="14" t="n">
        <f aca="false">MIN(R526:X526)</f>
        <v>846.098824916322</v>
      </c>
    </row>
    <row r="527" customFormat="false" ht="15" hidden="false" customHeight="false" outlineLevel="0" collapsed="false">
      <c r="K527" s="2" t="n">
        <v>522</v>
      </c>
      <c r="L527" s="14" t="n">
        <f aca="true">$B$16+NORMINV(RAND(),0,SQRT($B$13*($B$7+$B$8^2))*$B$9*(1-$B$10))</f>
        <v>3885.98029439774</v>
      </c>
      <c r="M527" s="14" t="n">
        <f aca="true">$B$16+NORMINV(RAND(),0,SQRT($B$13*($B$7+$B$8^2))*$B$9*(1-$B$10))</f>
        <v>3873.4027321157</v>
      </c>
      <c r="N527" s="14" t="n">
        <f aca="true">$B$16+NORMINV(RAND(),0,SQRT($B$13*($B$7+$B$8^2))*$B$9*(1-$B$10))</f>
        <v>3943.08863946125</v>
      </c>
      <c r="O527" s="14" t="n">
        <f aca="true">$B$16+NORMINV(RAND(),0,SQRT($B$13*($B$7+$B$8^2))*$B$9*(1-$B$10))</f>
        <v>4483.00630911041</v>
      </c>
      <c r="P527" s="14" t="n">
        <f aca="true">$B$16+NORMINV(RAND(),0,SQRT($B$13*($B$7+$B$8^2))*$B$9*(1-$B$10))</f>
        <v>4590.87649976697</v>
      </c>
      <c r="Q527" s="14" t="n">
        <f aca="true">$B$16+NORMINV(RAND(),0,SQRT($B$13*($B$7+$B$8^2))*$B$9*(1-$B$10))</f>
        <v>4285.09529155508</v>
      </c>
      <c r="R527" s="14" t="n">
        <f aca="false">$B$4-13*($B$5+$B$6)/30-IF($B$11&lt;=13,$B$12,0)+0</f>
        <v>8876.66666666667</v>
      </c>
      <c r="S527" s="14" t="n">
        <f aca="false">$B$4-27*($B$5+$B$6)/30-IF($B$11&lt;=27,$B$12,0)+L527</f>
        <v>10475.9802943977</v>
      </c>
      <c r="T527" s="14" t="n">
        <f aca="false">$B$4-41*($B$5+$B$6)/30-IF($B$11&lt;=41,$B$12,0)+L527+M527</f>
        <v>877.916359846772</v>
      </c>
      <c r="U527" s="14" t="n">
        <f aca="false">$B$4-55*($B$5+$B$6)/30-IF($B$11&lt;=55,$B$12,0)+L527+M527+N527</f>
        <v>2534.33833264136</v>
      </c>
      <c r="V527" s="14" t="n">
        <f aca="false">$B$4-69*($B$5+$B$6)/30-IF($B$11&lt;=69,$B$12,0)+L527+M527+N527+O527</f>
        <v>4730.6779750851</v>
      </c>
      <c r="W527" s="14" t="n">
        <f aca="false">$B$4-83*($B$5+$B$6)/30-IF($B$11&lt;=83,$B$12,0)+L527+M527+N527+O527+P527</f>
        <v>7034.88780818541</v>
      </c>
      <c r="X527" s="14" t="n">
        <f aca="false">$B$4-90*($B$5+$B$6)/30-IF($B$11&lt;=90,$B$12,0)+L527+M527+N527+O527+P527+Q527</f>
        <v>10176.6497664072</v>
      </c>
      <c r="AA527" s="14" t="n">
        <f aca="false">MIN(R527:X527)</f>
        <v>877.916359846772</v>
      </c>
    </row>
    <row r="528" customFormat="false" ht="15" hidden="false" customHeight="false" outlineLevel="0" collapsed="false">
      <c r="K528" s="2" t="n">
        <v>523</v>
      </c>
      <c r="L528" s="14" t="n">
        <f aca="true">$B$16+NORMINV(RAND(),0,SQRT($B$13*($B$7+$B$8^2))*$B$9*(1-$B$10))</f>
        <v>3869.04171011883</v>
      </c>
      <c r="M528" s="14" t="n">
        <f aca="true">$B$16+NORMINV(RAND(),0,SQRT($B$13*($B$7+$B$8^2))*$B$9*(1-$B$10))</f>
        <v>4018.00287640219</v>
      </c>
      <c r="N528" s="14" t="n">
        <f aca="true">$B$16+NORMINV(RAND(),0,SQRT($B$13*($B$7+$B$8^2))*$B$9*(1-$B$10))</f>
        <v>3809.82678556716</v>
      </c>
      <c r="O528" s="14" t="n">
        <f aca="true">$B$16+NORMINV(RAND(),0,SQRT($B$13*($B$7+$B$8^2))*$B$9*(1-$B$10))</f>
        <v>4550.17562979119</v>
      </c>
      <c r="P528" s="14" t="n">
        <f aca="true">$B$16+NORMINV(RAND(),0,SQRT($B$13*($B$7+$B$8^2))*$B$9*(1-$B$10))</f>
        <v>3953.90087279715</v>
      </c>
      <c r="Q528" s="14" t="n">
        <f aca="true">$B$16+NORMINV(RAND(),0,SQRT($B$13*($B$7+$B$8^2))*$B$9*(1-$B$10))</f>
        <v>4095.37944550931</v>
      </c>
      <c r="R528" s="14" t="n">
        <f aca="false">$B$4-13*($B$5+$B$6)/30-IF($B$11&lt;=13,$B$12,0)+0</f>
        <v>8876.66666666667</v>
      </c>
      <c r="S528" s="14" t="n">
        <f aca="false">$B$4-27*($B$5+$B$6)/30-IF($B$11&lt;=27,$B$12,0)+L528</f>
        <v>10459.0417101188</v>
      </c>
      <c r="T528" s="14" t="n">
        <f aca="false">$B$4-41*($B$5+$B$6)/30-IF($B$11&lt;=41,$B$12,0)+L528+M528</f>
        <v>1005.57791985435</v>
      </c>
      <c r="U528" s="14" t="n">
        <f aca="false">$B$4-55*($B$5+$B$6)/30-IF($B$11&lt;=55,$B$12,0)+L528+M528+N528</f>
        <v>2528.73803875484</v>
      </c>
      <c r="V528" s="14" t="n">
        <f aca="false">$B$4-69*($B$5+$B$6)/30-IF($B$11&lt;=69,$B$12,0)+L528+M528+N528+O528</f>
        <v>4792.24700187937</v>
      </c>
      <c r="W528" s="14" t="n">
        <f aca="false">$B$4-83*($B$5+$B$6)/30-IF($B$11&lt;=83,$B$12,0)+L528+M528+N528+O528+P528</f>
        <v>6459.48120800986</v>
      </c>
      <c r="X528" s="14" t="n">
        <f aca="false">$B$4-90*($B$5+$B$6)/30-IF($B$11&lt;=90,$B$12,0)+L528+M528+N528+O528+P528+Q528</f>
        <v>9411.52732018583</v>
      </c>
      <c r="AA528" s="14" t="n">
        <f aca="false">MIN(R528:X528)</f>
        <v>1005.57791985435</v>
      </c>
    </row>
    <row r="529" customFormat="false" ht="15" hidden="false" customHeight="false" outlineLevel="0" collapsed="false">
      <c r="K529" s="2" t="n">
        <v>524</v>
      </c>
      <c r="L529" s="14" t="n">
        <f aca="true">$B$16+NORMINV(RAND(),0,SQRT($B$13*($B$7+$B$8^2))*$B$9*(1-$B$10))</f>
        <v>4109.55783990407</v>
      </c>
      <c r="M529" s="14" t="n">
        <f aca="true">$B$16+NORMINV(RAND(),0,SQRT($B$13*($B$7+$B$8^2))*$B$9*(1-$B$10))</f>
        <v>4345.79095346897</v>
      </c>
      <c r="N529" s="14" t="n">
        <f aca="true">$B$16+NORMINV(RAND(),0,SQRT($B$13*($B$7+$B$8^2))*$B$9*(1-$B$10))</f>
        <v>4096.48226519604</v>
      </c>
      <c r="O529" s="14" t="n">
        <f aca="true">$B$16+NORMINV(RAND(),0,SQRT($B$13*($B$7+$B$8^2))*$B$9*(1-$B$10))</f>
        <v>3715.57692250907</v>
      </c>
      <c r="P529" s="14" t="n">
        <f aca="true">$B$16+NORMINV(RAND(),0,SQRT($B$13*($B$7+$B$8^2))*$B$9*(1-$B$10))</f>
        <v>4182.36371620385</v>
      </c>
      <c r="Q529" s="14" t="n">
        <f aca="true">$B$16+NORMINV(RAND(),0,SQRT($B$13*($B$7+$B$8^2))*$B$9*(1-$B$10))</f>
        <v>4212.7726540359</v>
      </c>
      <c r="R529" s="14" t="n">
        <f aca="false">$B$4-13*($B$5+$B$6)/30-IF($B$11&lt;=13,$B$12,0)+0</f>
        <v>8876.66666666667</v>
      </c>
      <c r="S529" s="14" t="n">
        <f aca="false">$B$4-27*($B$5+$B$6)/30-IF($B$11&lt;=27,$B$12,0)+L529</f>
        <v>10699.5578399041</v>
      </c>
      <c r="T529" s="14" t="n">
        <f aca="false">$B$4-41*($B$5+$B$6)/30-IF($B$11&lt;=41,$B$12,0)+L529+M529</f>
        <v>1573.88212670637</v>
      </c>
      <c r="U529" s="14" t="n">
        <f aca="false">$B$4-55*($B$5+$B$6)/30-IF($B$11&lt;=55,$B$12,0)+L529+M529+N529</f>
        <v>3383.69772523575</v>
      </c>
      <c r="V529" s="14" t="n">
        <f aca="false">$B$4-69*($B$5+$B$6)/30-IF($B$11&lt;=69,$B$12,0)+L529+M529+N529+O529</f>
        <v>4812.60798107816</v>
      </c>
      <c r="W529" s="14" t="n">
        <f aca="false">$B$4-83*($B$5+$B$6)/30-IF($B$11&lt;=83,$B$12,0)+L529+M529+N529+O529+P529</f>
        <v>6708.30503061533</v>
      </c>
      <c r="X529" s="14" t="n">
        <f aca="false">$B$4-90*($B$5+$B$6)/30-IF($B$11&lt;=90,$B$12,0)+L529+M529+N529+O529+P529+Q529</f>
        <v>9777.7443513179</v>
      </c>
      <c r="AA529" s="14" t="n">
        <f aca="false">MIN(R529:X529)</f>
        <v>1573.88212670637</v>
      </c>
    </row>
    <row r="530" customFormat="false" ht="15" hidden="false" customHeight="false" outlineLevel="0" collapsed="false">
      <c r="K530" s="2" t="n">
        <v>525</v>
      </c>
      <c r="L530" s="14" t="n">
        <f aca="true">$B$16+NORMINV(RAND(),0,SQRT($B$13*($B$7+$B$8^2))*$B$9*(1-$B$10))</f>
        <v>4286.00015227498</v>
      </c>
      <c r="M530" s="14" t="n">
        <f aca="true">$B$16+NORMINV(RAND(),0,SQRT($B$13*($B$7+$B$8^2))*$B$9*(1-$B$10))</f>
        <v>4107.71729754593</v>
      </c>
      <c r="N530" s="14" t="n">
        <f aca="true">$B$16+NORMINV(RAND(),0,SQRT($B$13*($B$7+$B$8^2))*$B$9*(1-$B$10))</f>
        <v>4066.87502518897</v>
      </c>
      <c r="O530" s="14" t="n">
        <f aca="true">$B$16+NORMINV(RAND(),0,SQRT($B$13*($B$7+$B$8^2))*$B$9*(1-$B$10))</f>
        <v>3625.12019796272</v>
      </c>
      <c r="P530" s="14" t="n">
        <f aca="true">$B$16+NORMINV(RAND(),0,SQRT($B$13*($B$7+$B$8^2))*$B$9*(1-$B$10))</f>
        <v>4008.32784821333</v>
      </c>
      <c r="Q530" s="14" t="n">
        <f aca="true">$B$16+NORMINV(RAND(),0,SQRT($B$13*($B$7+$B$8^2))*$B$9*(1-$B$10))</f>
        <v>4215.68444402563</v>
      </c>
      <c r="R530" s="14" t="n">
        <f aca="false">$B$4-13*($B$5+$B$6)/30-IF($B$11&lt;=13,$B$12,0)+0</f>
        <v>8876.66666666667</v>
      </c>
      <c r="S530" s="14" t="n">
        <f aca="false">$B$4-27*($B$5+$B$6)/30-IF($B$11&lt;=27,$B$12,0)+L530</f>
        <v>10876.000152275</v>
      </c>
      <c r="T530" s="14" t="n">
        <f aca="false">$B$4-41*($B$5+$B$6)/30-IF($B$11&lt;=41,$B$12,0)+L530+M530</f>
        <v>1512.25078315424</v>
      </c>
      <c r="U530" s="14" t="n">
        <f aca="false">$B$4-55*($B$5+$B$6)/30-IF($B$11&lt;=55,$B$12,0)+L530+M530+N530</f>
        <v>3292.45914167654</v>
      </c>
      <c r="V530" s="14" t="n">
        <f aca="false">$B$4-69*($B$5+$B$6)/30-IF($B$11&lt;=69,$B$12,0)+L530+M530+N530+O530</f>
        <v>4630.9126729726</v>
      </c>
      <c r="W530" s="14" t="n">
        <f aca="false">$B$4-83*($B$5+$B$6)/30-IF($B$11&lt;=83,$B$12,0)+L530+M530+N530+O530+P530</f>
        <v>6352.57385451926</v>
      </c>
      <c r="X530" s="14" t="n">
        <f aca="false">$B$4-90*($B$5+$B$6)/30-IF($B$11&lt;=90,$B$12,0)+L530+M530+N530+O530+P530+Q530</f>
        <v>9424.92496521155</v>
      </c>
      <c r="AA530" s="14" t="n">
        <f aca="false">MIN(R530:X530)</f>
        <v>1512.25078315424</v>
      </c>
    </row>
    <row r="531" customFormat="false" ht="15" hidden="false" customHeight="false" outlineLevel="0" collapsed="false">
      <c r="K531" s="2" t="n">
        <v>526</v>
      </c>
      <c r="L531" s="14" t="n">
        <f aca="true">$B$16+NORMINV(RAND(),0,SQRT($B$13*($B$7+$B$8^2))*$B$9*(1-$B$10))</f>
        <v>4128.72969931576</v>
      </c>
      <c r="M531" s="14" t="n">
        <f aca="true">$B$16+NORMINV(RAND(),0,SQRT($B$13*($B$7+$B$8^2))*$B$9*(1-$B$10))</f>
        <v>4139.81816201496</v>
      </c>
      <c r="N531" s="14" t="n">
        <f aca="true">$B$16+NORMINV(RAND(),0,SQRT($B$13*($B$7+$B$8^2))*$B$9*(1-$B$10))</f>
        <v>4604.54616963704</v>
      </c>
      <c r="O531" s="14" t="n">
        <f aca="true">$B$16+NORMINV(RAND(),0,SQRT($B$13*($B$7+$B$8^2))*$B$9*(1-$B$10))</f>
        <v>4146.64777672738</v>
      </c>
      <c r="P531" s="14" t="n">
        <f aca="true">$B$16+NORMINV(RAND(),0,SQRT($B$13*($B$7+$B$8^2))*$B$9*(1-$B$10))</f>
        <v>4350.79864987883</v>
      </c>
      <c r="Q531" s="14" t="n">
        <f aca="true">$B$16+NORMINV(RAND(),0,SQRT($B$13*($B$7+$B$8^2))*$B$9*(1-$B$10))</f>
        <v>3024.12900991298</v>
      </c>
      <c r="R531" s="14" t="n">
        <f aca="false">$B$4-13*($B$5+$B$6)/30-IF($B$11&lt;=13,$B$12,0)+0</f>
        <v>8876.66666666667</v>
      </c>
      <c r="S531" s="14" t="n">
        <f aca="false">$B$4-27*($B$5+$B$6)/30-IF($B$11&lt;=27,$B$12,0)+L531</f>
        <v>10718.7296993158</v>
      </c>
      <c r="T531" s="14" t="n">
        <f aca="false">$B$4-41*($B$5+$B$6)/30-IF($B$11&lt;=41,$B$12,0)+L531+M531</f>
        <v>1387.08119466405</v>
      </c>
      <c r="U531" s="14" t="n">
        <f aca="false">$B$4-55*($B$5+$B$6)/30-IF($B$11&lt;=55,$B$12,0)+L531+M531+N531</f>
        <v>3704.96069763443</v>
      </c>
      <c r="V531" s="14" t="n">
        <f aca="false">$B$4-69*($B$5+$B$6)/30-IF($B$11&lt;=69,$B$12,0)+L531+M531+N531+O531</f>
        <v>5564.94180769514</v>
      </c>
      <c r="W531" s="14" t="n">
        <f aca="false">$B$4-83*($B$5+$B$6)/30-IF($B$11&lt;=83,$B$12,0)+L531+M531+N531+O531+P531</f>
        <v>7629.0737909073</v>
      </c>
      <c r="X531" s="14" t="n">
        <f aca="false">$B$4-90*($B$5+$B$6)/30-IF($B$11&lt;=90,$B$12,0)+L531+M531+N531+O531+P531+Q531</f>
        <v>9509.86946748695</v>
      </c>
      <c r="AA531" s="14" t="n">
        <f aca="false">MIN(R531:X531)</f>
        <v>1387.08119466405</v>
      </c>
    </row>
    <row r="532" customFormat="false" ht="15" hidden="false" customHeight="false" outlineLevel="0" collapsed="false">
      <c r="K532" s="2" t="n">
        <v>527</v>
      </c>
      <c r="L532" s="14" t="n">
        <f aca="true">$B$16+NORMINV(RAND(),0,SQRT($B$13*($B$7+$B$8^2))*$B$9*(1-$B$10))</f>
        <v>4332.80285311476</v>
      </c>
      <c r="M532" s="14" t="n">
        <f aca="true">$B$16+NORMINV(RAND(),0,SQRT($B$13*($B$7+$B$8^2))*$B$9*(1-$B$10))</f>
        <v>4249.17428693629</v>
      </c>
      <c r="N532" s="14" t="n">
        <f aca="true">$B$16+NORMINV(RAND(),0,SQRT($B$13*($B$7+$B$8^2))*$B$9*(1-$B$10))</f>
        <v>4083.06947994685</v>
      </c>
      <c r="O532" s="14" t="n">
        <f aca="true">$B$16+NORMINV(RAND(),0,SQRT($B$13*($B$7+$B$8^2))*$B$9*(1-$B$10))</f>
        <v>3687.63383059501</v>
      </c>
      <c r="P532" s="14" t="n">
        <f aca="true">$B$16+NORMINV(RAND(),0,SQRT($B$13*($B$7+$B$8^2))*$B$9*(1-$B$10))</f>
        <v>3998.655206325</v>
      </c>
      <c r="Q532" s="14" t="n">
        <f aca="true">$B$16+NORMINV(RAND(),0,SQRT($B$13*($B$7+$B$8^2))*$B$9*(1-$B$10))</f>
        <v>4348.25357556706</v>
      </c>
      <c r="R532" s="14" t="n">
        <f aca="false">$B$4-13*($B$5+$B$6)/30-IF($B$11&lt;=13,$B$12,0)+0</f>
        <v>8876.66666666667</v>
      </c>
      <c r="S532" s="14" t="n">
        <f aca="false">$B$4-27*($B$5+$B$6)/30-IF($B$11&lt;=27,$B$12,0)+L532</f>
        <v>10922.8028531148</v>
      </c>
      <c r="T532" s="14" t="n">
        <f aca="false">$B$4-41*($B$5+$B$6)/30-IF($B$11&lt;=41,$B$12,0)+L532+M532</f>
        <v>1700.51047338438</v>
      </c>
      <c r="U532" s="14" t="n">
        <f aca="false">$B$4-55*($B$5+$B$6)/30-IF($B$11&lt;=55,$B$12,0)+L532+M532+N532</f>
        <v>3496.91328666456</v>
      </c>
      <c r="V532" s="14" t="n">
        <f aca="false">$B$4-69*($B$5+$B$6)/30-IF($B$11&lt;=69,$B$12,0)+L532+M532+N532+O532</f>
        <v>4897.8804505929</v>
      </c>
      <c r="W532" s="14" t="n">
        <f aca="false">$B$4-83*($B$5+$B$6)/30-IF($B$11&lt;=83,$B$12,0)+L532+M532+N532+O532+P532</f>
        <v>6609.86899025123</v>
      </c>
      <c r="X532" s="14" t="n">
        <f aca="false">$B$4-90*($B$5+$B$6)/30-IF($B$11&lt;=90,$B$12,0)+L532+M532+N532+O532+P532+Q532</f>
        <v>9814.78923248496</v>
      </c>
      <c r="AA532" s="14" t="n">
        <f aca="false">MIN(R532:X532)</f>
        <v>1700.51047338438</v>
      </c>
    </row>
    <row r="533" customFormat="false" ht="15" hidden="false" customHeight="false" outlineLevel="0" collapsed="false">
      <c r="K533" s="2" t="n">
        <v>528</v>
      </c>
      <c r="L533" s="14" t="n">
        <f aca="true">$B$16+NORMINV(RAND(),0,SQRT($B$13*($B$7+$B$8^2))*$B$9*(1-$B$10))</f>
        <v>4317.37748959999</v>
      </c>
      <c r="M533" s="14" t="n">
        <f aca="true">$B$16+NORMINV(RAND(),0,SQRT($B$13*($B$7+$B$8^2))*$B$9*(1-$B$10))</f>
        <v>4135.16436489786</v>
      </c>
      <c r="N533" s="14" t="n">
        <f aca="true">$B$16+NORMINV(RAND(),0,SQRT($B$13*($B$7+$B$8^2))*$B$9*(1-$B$10))</f>
        <v>3947.7623842788</v>
      </c>
      <c r="O533" s="14" t="n">
        <f aca="true">$B$16+NORMINV(RAND(),0,SQRT($B$13*($B$7+$B$8^2))*$B$9*(1-$B$10))</f>
        <v>4363.72188875991</v>
      </c>
      <c r="P533" s="14" t="n">
        <f aca="true">$B$16+NORMINV(RAND(),0,SQRT($B$13*($B$7+$B$8^2))*$B$9*(1-$B$10))</f>
        <v>3732.78711859163</v>
      </c>
      <c r="Q533" s="14" t="n">
        <f aca="true">$B$16+NORMINV(RAND(),0,SQRT($B$13*($B$7+$B$8^2))*$B$9*(1-$B$10))</f>
        <v>4052.7925861801</v>
      </c>
      <c r="R533" s="14" t="n">
        <f aca="false">$B$4-13*($B$5+$B$6)/30-IF($B$11&lt;=13,$B$12,0)+0</f>
        <v>8876.66666666667</v>
      </c>
      <c r="S533" s="14" t="n">
        <f aca="false">$B$4-27*($B$5+$B$6)/30-IF($B$11&lt;=27,$B$12,0)+L533</f>
        <v>10907.3774896</v>
      </c>
      <c r="T533" s="14" t="n">
        <f aca="false">$B$4-41*($B$5+$B$6)/30-IF($B$11&lt;=41,$B$12,0)+L533+M533</f>
        <v>1571.07518783119</v>
      </c>
      <c r="U533" s="14" t="n">
        <f aca="false">$B$4-55*($B$5+$B$6)/30-IF($B$11&lt;=55,$B$12,0)+L533+M533+N533</f>
        <v>3232.17090544332</v>
      </c>
      <c r="V533" s="14" t="n">
        <f aca="false">$B$4-69*($B$5+$B$6)/30-IF($B$11&lt;=69,$B$12,0)+L533+M533+N533+O533</f>
        <v>5309.22612753656</v>
      </c>
      <c r="W533" s="14" t="n">
        <f aca="false">$B$4-83*($B$5+$B$6)/30-IF($B$11&lt;=83,$B$12,0)+L533+M533+N533+O533+P533</f>
        <v>6755.34657946153</v>
      </c>
      <c r="X533" s="14" t="n">
        <f aca="false">$B$4-90*($B$5+$B$6)/30-IF($B$11&lt;=90,$B$12,0)+L533+M533+N533+O533+P533+Q533</f>
        <v>9664.8058323083</v>
      </c>
      <c r="AA533" s="14" t="n">
        <f aca="false">MIN(R533:X533)</f>
        <v>1571.07518783119</v>
      </c>
    </row>
    <row r="534" customFormat="false" ht="15" hidden="false" customHeight="false" outlineLevel="0" collapsed="false">
      <c r="K534" s="2" t="n">
        <v>529</v>
      </c>
      <c r="L534" s="14" t="n">
        <f aca="true">$B$16+NORMINV(RAND(),0,SQRT($B$13*($B$7+$B$8^2))*$B$9*(1-$B$10))</f>
        <v>4256.88560817877</v>
      </c>
      <c r="M534" s="14" t="n">
        <f aca="true">$B$16+NORMINV(RAND(),0,SQRT($B$13*($B$7+$B$8^2))*$B$9*(1-$B$10))</f>
        <v>4456.16082351206</v>
      </c>
      <c r="N534" s="14" t="n">
        <f aca="true">$B$16+NORMINV(RAND(),0,SQRT($B$13*($B$7+$B$8^2))*$B$9*(1-$B$10))</f>
        <v>3677.06884812472</v>
      </c>
      <c r="O534" s="14" t="n">
        <f aca="true">$B$16+NORMINV(RAND(),0,SQRT($B$13*($B$7+$B$8^2))*$B$9*(1-$B$10))</f>
        <v>3427.59714851589</v>
      </c>
      <c r="P534" s="14" t="n">
        <f aca="true">$B$16+NORMINV(RAND(),0,SQRT($B$13*($B$7+$B$8^2))*$B$9*(1-$B$10))</f>
        <v>3853.26802534693</v>
      </c>
      <c r="Q534" s="14" t="n">
        <f aca="true">$B$16+NORMINV(RAND(),0,SQRT($B$13*($B$7+$B$8^2))*$B$9*(1-$B$10))</f>
        <v>4527.48560913873</v>
      </c>
      <c r="R534" s="14" t="n">
        <f aca="false">$B$4-13*($B$5+$B$6)/30-IF($B$11&lt;=13,$B$12,0)+0</f>
        <v>8876.66666666667</v>
      </c>
      <c r="S534" s="14" t="n">
        <f aca="false">$B$4-27*($B$5+$B$6)/30-IF($B$11&lt;=27,$B$12,0)+L534</f>
        <v>10846.8856081788</v>
      </c>
      <c r="T534" s="14" t="n">
        <f aca="false">$B$4-41*($B$5+$B$6)/30-IF($B$11&lt;=41,$B$12,0)+L534+M534</f>
        <v>1831.57976502416</v>
      </c>
      <c r="U534" s="14" t="n">
        <f aca="false">$B$4-55*($B$5+$B$6)/30-IF($B$11&lt;=55,$B$12,0)+L534+M534+N534</f>
        <v>3221.98194648221</v>
      </c>
      <c r="V534" s="14" t="n">
        <f aca="false">$B$4-69*($B$5+$B$6)/30-IF($B$11&lt;=69,$B$12,0)+L534+M534+N534+O534</f>
        <v>4362.91242833143</v>
      </c>
      <c r="W534" s="14" t="n">
        <f aca="false">$B$4-83*($B$5+$B$6)/30-IF($B$11&lt;=83,$B$12,0)+L534+M534+N534+O534+P534</f>
        <v>5929.51378701169</v>
      </c>
      <c r="X534" s="14" t="n">
        <f aca="false">$B$4-90*($B$5+$B$6)/30-IF($B$11&lt;=90,$B$12,0)+L534+M534+N534+O534+P534+Q534</f>
        <v>9313.66606281709</v>
      </c>
      <c r="AA534" s="14" t="n">
        <f aca="false">MIN(R534:X534)</f>
        <v>1831.57976502416</v>
      </c>
    </row>
    <row r="535" customFormat="false" ht="15" hidden="false" customHeight="false" outlineLevel="0" collapsed="false">
      <c r="K535" s="2" t="n">
        <v>530</v>
      </c>
      <c r="L535" s="14" t="n">
        <f aca="true">$B$16+NORMINV(RAND(),0,SQRT($B$13*($B$7+$B$8^2))*$B$9*(1-$B$10))</f>
        <v>3743.78521088284</v>
      </c>
      <c r="M535" s="14" t="n">
        <f aca="true">$B$16+NORMINV(RAND(),0,SQRT($B$13*($B$7+$B$8^2))*$B$9*(1-$B$10))</f>
        <v>4603.97057639893</v>
      </c>
      <c r="N535" s="14" t="n">
        <f aca="true">$B$16+NORMINV(RAND(),0,SQRT($B$13*($B$7+$B$8^2))*$B$9*(1-$B$10))</f>
        <v>4749.07306116284</v>
      </c>
      <c r="O535" s="14" t="n">
        <f aca="true">$B$16+NORMINV(RAND(),0,SQRT($B$13*($B$7+$B$8^2))*$B$9*(1-$B$10))</f>
        <v>3774.65485355587</v>
      </c>
      <c r="P535" s="14" t="n">
        <f aca="true">$B$16+NORMINV(RAND(),0,SQRT($B$13*($B$7+$B$8^2))*$B$9*(1-$B$10))</f>
        <v>4327.53041126417</v>
      </c>
      <c r="Q535" s="14" t="n">
        <f aca="true">$B$16+NORMINV(RAND(),0,SQRT($B$13*($B$7+$B$8^2))*$B$9*(1-$B$10))</f>
        <v>3467.66514150479</v>
      </c>
      <c r="R535" s="14" t="n">
        <f aca="false">$B$4-13*($B$5+$B$6)/30-IF($B$11&lt;=13,$B$12,0)+0</f>
        <v>8876.66666666667</v>
      </c>
      <c r="S535" s="14" t="n">
        <f aca="false">$B$4-27*($B$5+$B$6)/30-IF($B$11&lt;=27,$B$12,0)+L535</f>
        <v>10333.7852108828</v>
      </c>
      <c r="T535" s="14" t="n">
        <f aca="false">$B$4-41*($B$5+$B$6)/30-IF($B$11&lt;=41,$B$12,0)+L535+M535</f>
        <v>1466.2891206151</v>
      </c>
      <c r="U535" s="14" t="n">
        <f aca="false">$B$4-55*($B$5+$B$6)/30-IF($B$11&lt;=55,$B$12,0)+L535+M535+N535</f>
        <v>3928.69551511127</v>
      </c>
      <c r="V535" s="14" t="n">
        <f aca="false">$B$4-69*($B$5+$B$6)/30-IF($B$11&lt;=69,$B$12,0)+L535+M535+N535+O535</f>
        <v>5416.68370200048</v>
      </c>
      <c r="W535" s="14" t="n">
        <f aca="false">$B$4-83*($B$5+$B$6)/30-IF($B$11&lt;=83,$B$12,0)+L535+M535+N535+O535+P535</f>
        <v>7457.54744659799</v>
      </c>
      <c r="X535" s="14" t="n">
        <f aca="false">$B$4-90*($B$5+$B$6)/30-IF($B$11&lt;=90,$B$12,0)+L535+M535+N535+O535+P535+Q535</f>
        <v>9781.87925476944</v>
      </c>
      <c r="AA535" s="14" t="n">
        <f aca="false">MIN(R535:X535)</f>
        <v>1466.2891206151</v>
      </c>
    </row>
    <row r="536" customFormat="false" ht="15" hidden="false" customHeight="false" outlineLevel="0" collapsed="false">
      <c r="K536" s="2" t="n">
        <v>531</v>
      </c>
      <c r="L536" s="14" t="n">
        <f aca="true">$B$16+NORMINV(RAND(),0,SQRT($B$13*($B$7+$B$8^2))*$B$9*(1-$B$10))</f>
        <v>3860.0995516281</v>
      </c>
      <c r="M536" s="14" t="n">
        <f aca="true">$B$16+NORMINV(RAND(),0,SQRT($B$13*($B$7+$B$8^2))*$B$9*(1-$B$10))</f>
        <v>4405.19765711204</v>
      </c>
      <c r="N536" s="14" t="n">
        <f aca="true">$B$16+NORMINV(RAND(),0,SQRT($B$13*($B$7+$B$8^2))*$B$9*(1-$B$10))</f>
        <v>3759.81550728407</v>
      </c>
      <c r="O536" s="14" t="n">
        <f aca="true">$B$16+NORMINV(RAND(),0,SQRT($B$13*($B$7+$B$8^2))*$B$9*(1-$B$10))</f>
        <v>3648.8478754358</v>
      </c>
      <c r="P536" s="14" t="n">
        <f aca="true">$B$16+NORMINV(RAND(),0,SQRT($B$13*($B$7+$B$8^2))*$B$9*(1-$B$10))</f>
        <v>4340.23322117606</v>
      </c>
      <c r="Q536" s="14" t="n">
        <f aca="true">$B$16+NORMINV(RAND(),0,SQRT($B$13*($B$7+$B$8^2))*$B$9*(1-$B$10))</f>
        <v>3822.68949343001</v>
      </c>
      <c r="R536" s="14" t="n">
        <f aca="false">$B$4-13*($B$5+$B$6)/30-IF($B$11&lt;=13,$B$12,0)+0</f>
        <v>8876.66666666667</v>
      </c>
      <c r="S536" s="14" t="n">
        <f aca="false">$B$4-27*($B$5+$B$6)/30-IF($B$11&lt;=27,$B$12,0)+L536</f>
        <v>10450.0995516281</v>
      </c>
      <c r="T536" s="14" t="n">
        <f aca="false">$B$4-41*($B$5+$B$6)/30-IF($B$11&lt;=41,$B$12,0)+L536+M536</f>
        <v>1383.83054207346</v>
      </c>
      <c r="U536" s="14" t="n">
        <f aca="false">$B$4-55*($B$5+$B$6)/30-IF($B$11&lt;=55,$B$12,0)+L536+M536+N536</f>
        <v>2856.97938269086</v>
      </c>
      <c r="V536" s="14" t="n">
        <f aca="false">$B$4-69*($B$5+$B$6)/30-IF($B$11&lt;=69,$B$12,0)+L536+M536+N536+O536</f>
        <v>4219.16059146</v>
      </c>
      <c r="W536" s="14" t="n">
        <f aca="false">$B$4-83*($B$5+$B$6)/30-IF($B$11&lt;=83,$B$12,0)+L536+M536+N536+O536+P536</f>
        <v>6272.72714596939</v>
      </c>
      <c r="X536" s="14" t="n">
        <f aca="false">$B$4-90*($B$5+$B$6)/30-IF($B$11&lt;=90,$B$12,0)+L536+M536+N536+O536+P536+Q536</f>
        <v>8952.08330606606</v>
      </c>
      <c r="AA536" s="14" t="n">
        <f aca="false">MIN(R536:X536)</f>
        <v>1383.83054207346</v>
      </c>
    </row>
    <row r="537" customFormat="false" ht="15" hidden="false" customHeight="false" outlineLevel="0" collapsed="false">
      <c r="K537" s="2" t="n">
        <v>532</v>
      </c>
      <c r="L537" s="14" t="n">
        <f aca="true">$B$16+NORMINV(RAND(),0,SQRT($B$13*($B$7+$B$8^2))*$B$9*(1-$B$10))</f>
        <v>4199.87551567094</v>
      </c>
      <c r="M537" s="14" t="n">
        <f aca="true">$B$16+NORMINV(RAND(),0,SQRT($B$13*($B$7+$B$8^2))*$B$9*(1-$B$10))</f>
        <v>4493.12832225548</v>
      </c>
      <c r="N537" s="14" t="n">
        <f aca="true">$B$16+NORMINV(RAND(),0,SQRT($B$13*($B$7+$B$8^2))*$B$9*(1-$B$10))</f>
        <v>4052.84288225232</v>
      </c>
      <c r="O537" s="14" t="n">
        <f aca="true">$B$16+NORMINV(RAND(),0,SQRT($B$13*($B$7+$B$8^2))*$B$9*(1-$B$10))</f>
        <v>4310.91543998584</v>
      </c>
      <c r="P537" s="14" t="n">
        <f aca="true">$B$16+NORMINV(RAND(),0,SQRT($B$13*($B$7+$B$8^2))*$B$9*(1-$B$10))</f>
        <v>3943.40167328914</v>
      </c>
      <c r="Q537" s="14" t="n">
        <f aca="true">$B$16+NORMINV(RAND(),0,SQRT($B$13*($B$7+$B$8^2))*$B$9*(1-$B$10))</f>
        <v>4127.56397270709</v>
      </c>
      <c r="R537" s="14" t="n">
        <f aca="false">$B$4-13*($B$5+$B$6)/30-IF($B$11&lt;=13,$B$12,0)+0</f>
        <v>8876.66666666667</v>
      </c>
      <c r="S537" s="14" t="n">
        <f aca="false">$B$4-27*($B$5+$B$6)/30-IF($B$11&lt;=27,$B$12,0)+L537</f>
        <v>10789.8755156709</v>
      </c>
      <c r="T537" s="14" t="n">
        <f aca="false">$B$4-41*($B$5+$B$6)/30-IF($B$11&lt;=41,$B$12,0)+L537+M537</f>
        <v>1811.53717125975</v>
      </c>
      <c r="U537" s="14" t="n">
        <f aca="false">$B$4-55*($B$5+$B$6)/30-IF($B$11&lt;=55,$B$12,0)+L537+M537+N537</f>
        <v>3577.7133868454</v>
      </c>
      <c r="V537" s="14" t="n">
        <f aca="false">$B$4-69*($B$5+$B$6)/30-IF($B$11&lt;=69,$B$12,0)+L537+M537+N537+O537</f>
        <v>5601.96216016458</v>
      </c>
      <c r="W537" s="14" t="n">
        <f aca="false">$B$4-83*($B$5+$B$6)/30-IF($B$11&lt;=83,$B$12,0)+L537+M537+N537+O537+P537</f>
        <v>7258.69716678705</v>
      </c>
      <c r="X537" s="14" t="n">
        <f aca="false">$B$4-90*($B$5+$B$6)/30-IF($B$11&lt;=90,$B$12,0)+L537+M537+N537+O537+P537+Q537</f>
        <v>10242.9278061608</v>
      </c>
      <c r="AA537" s="14" t="n">
        <f aca="false">MIN(R537:X537)</f>
        <v>1811.53717125975</v>
      </c>
    </row>
    <row r="538" customFormat="false" ht="15" hidden="false" customHeight="false" outlineLevel="0" collapsed="false">
      <c r="K538" s="2" t="n">
        <v>533</v>
      </c>
      <c r="L538" s="14" t="n">
        <f aca="true">$B$16+NORMINV(RAND(),0,SQRT($B$13*($B$7+$B$8^2))*$B$9*(1-$B$10))</f>
        <v>4028.43622147695</v>
      </c>
      <c r="M538" s="14" t="n">
        <f aca="true">$B$16+NORMINV(RAND(),0,SQRT($B$13*($B$7+$B$8^2))*$B$9*(1-$B$10))</f>
        <v>3730.8169962495</v>
      </c>
      <c r="N538" s="14" t="n">
        <f aca="true">$B$16+NORMINV(RAND(),0,SQRT($B$13*($B$7+$B$8^2))*$B$9*(1-$B$10))</f>
        <v>3435.39946247669</v>
      </c>
      <c r="O538" s="14" t="n">
        <f aca="true">$B$16+NORMINV(RAND(),0,SQRT($B$13*($B$7+$B$8^2))*$B$9*(1-$B$10))</f>
        <v>3533.18807417551</v>
      </c>
      <c r="P538" s="14" t="n">
        <f aca="true">$B$16+NORMINV(RAND(),0,SQRT($B$13*($B$7+$B$8^2))*$B$9*(1-$B$10))</f>
        <v>4125.20955426627</v>
      </c>
      <c r="Q538" s="14" t="n">
        <f aca="true">$B$16+NORMINV(RAND(),0,SQRT($B$13*($B$7+$B$8^2))*$B$9*(1-$B$10))</f>
        <v>4102.89292849446</v>
      </c>
      <c r="R538" s="14" t="n">
        <f aca="false">$B$4-13*($B$5+$B$6)/30-IF($B$11&lt;=13,$B$12,0)+0</f>
        <v>8876.66666666667</v>
      </c>
      <c r="S538" s="14" t="n">
        <f aca="false">$B$4-27*($B$5+$B$6)/30-IF($B$11&lt;=27,$B$12,0)+L538</f>
        <v>10618.4362214769</v>
      </c>
      <c r="T538" s="14" t="n">
        <f aca="false">$B$4-41*($B$5+$B$6)/30-IF($B$11&lt;=41,$B$12,0)+L538+M538</f>
        <v>877.786551059781</v>
      </c>
      <c r="U538" s="14" t="n">
        <f aca="false">$B$4-55*($B$5+$B$6)/30-IF($B$11&lt;=55,$B$12,0)+L538+M538+N538</f>
        <v>2026.5193468698</v>
      </c>
      <c r="V538" s="14" t="n">
        <f aca="false">$B$4-69*($B$5+$B$6)/30-IF($B$11&lt;=69,$B$12,0)+L538+M538+N538+O538</f>
        <v>3273.04075437864</v>
      </c>
      <c r="W538" s="14" t="n">
        <f aca="false">$B$4-83*($B$5+$B$6)/30-IF($B$11&lt;=83,$B$12,0)+L538+M538+N538+O538+P538</f>
        <v>5111.58364197824</v>
      </c>
      <c r="X538" s="14" t="n">
        <f aca="false">$B$4-90*($B$5+$B$6)/30-IF($B$11&lt;=90,$B$12,0)+L538+M538+N538+O538+P538+Q538</f>
        <v>8071.14323713938</v>
      </c>
      <c r="AA538" s="14" t="n">
        <f aca="false">MIN(R538:X538)</f>
        <v>877.786551059781</v>
      </c>
    </row>
    <row r="539" customFormat="false" ht="15" hidden="false" customHeight="false" outlineLevel="0" collapsed="false">
      <c r="K539" s="2" t="n">
        <v>534</v>
      </c>
      <c r="L539" s="14" t="n">
        <f aca="true">$B$16+NORMINV(RAND(),0,SQRT($B$13*($B$7+$B$8^2))*$B$9*(1-$B$10))</f>
        <v>4015.59569486161</v>
      </c>
      <c r="M539" s="14" t="n">
        <f aca="true">$B$16+NORMINV(RAND(),0,SQRT($B$13*($B$7+$B$8^2))*$B$9*(1-$B$10))</f>
        <v>4115.18553629068</v>
      </c>
      <c r="N539" s="14" t="n">
        <f aca="true">$B$16+NORMINV(RAND(),0,SQRT($B$13*($B$7+$B$8^2))*$B$9*(1-$B$10))</f>
        <v>3869.07071165086</v>
      </c>
      <c r="O539" s="14" t="n">
        <f aca="true">$B$16+NORMINV(RAND(),0,SQRT($B$13*($B$7+$B$8^2))*$B$9*(1-$B$10))</f>
        <v>4552.39961167203</v>
      </c>
      <c r="P539" s="14" t="n">
        <f aca="true">$B$16+NORMINV(RAND(),0,SQRT($B$13*($B$7+$B$8^2))*$B$9*(1-$B$10))</f>
        <v>4321.40841582505</v>
      </c>
      <c r="Q539" s="14" t="n">
        <f aca="true">$B$16+NORMINV(RAND(),0,SQRT($B$13*($B$7+$B$8^2))*$B$9*(1-$B$10))</f>
        <v>3442.51067952124</v>
      </c>
      <c r="R539" s="14" t="n">
        <f aca="false">$B$4-13*($B$5+$B$6)/30-IF($B$11&lt;=13,$B$12,0)+0</f>
        <v>8876.66666666667</v>
      </c>
      <c r="S539" s="14" t="n">
        <f aca="false">$B$4-27*($B$5+$B$6)/30-IF($B$11&lt;=27,$B$12,0)+L539</f>
        <v>10605.5956948616</v>
      </c>
      <c r="T539" s="14" t="n">
        <f aca="false">$B$4-41*($B$5+$B$6)/30-IF($B$11&lt;=41,$B$12,0)+L539+M539</f>
        <v>1249.31456448562</v>
      </c>
      <c r="U539" s="14" t="n">
        <f aca="false">$B$4-55*($B$5+$B$6)/30-IF($B$11&lt;=55,$B$12,0)+L539+M539+N539</f>
        <v>2831.71860946982</v>
      </c>
      <c r="V539" s="14" t="n">
        <f aca="false">$B$4-69*($B$5+$B$6)/30-IF($B$11&lt;=69,$B$12,0)+L539+M539+N539+O539</f>
        <v>5097.45155447519</v>
      </c>
      <c r="W539" s="14" t="n">
        <f aca="false">$B$4-83*($B$5+$B$6)/30-IF($B$11&lt;=83,$B$12,0)+L539+M539+N539+O539+P539</f>
        <v>7132.19330363357</v>
      </c>
      <c r="X539" s="14" t="n">
        <f aca="false">$B$4-90*($B$5+$B$6)/30-IF($B$11&lt;=90,$B$12,0)+L539+M539+N539+O539+P539+Q539</f>
        <v>9431.37064982147</v>
      </c>
      <c r="AA539" s="14" t="n">
        <f aca="false">MIN(R539:X539)</f>
        <v>1249.31456448562</v>
      </c>
    </row>
    <row r="540" customFormat="false" ht="15" hidden="false" customHeight="false" outlineLevel="0" collapsed="false">
      <c r="K540" s="2" t="n">
        <v>535</v>
      </c>
      <c r="L540" s="14" t="n">
        <f aca="true">$B$16+NORMINV(RAND(),0,SQRT($B$13*($B$7+$B$8^2))*$B$9*(1-$B$10))</f>
        <v>3928.87510331705</v>
      </c>
      <c r="M540" s="14" t="n">
        <f aca="true">$B$16+NORMINV(RAND(),0,SQRT($B$13*($B$7+$B$8^2))*$B$9*(1-$B$10))</f>
        <v>4103.95794484569</v>
      </c>
      <c r="N540" s="14" t="n">
        <f aca="true">$B$16+NORMINV(RAND(),0,SQRT($B$13*($B$7+$B$8^2))*$B$9*(1-$B$10))</f>
        <v>4251.71935025139</v>
      </c>
      <c r="O540" s="14" t="n">
        <f aca="true">$B$16+NORMINV(RAND(),0,SQRT($B$13*($B$7+$B$8^2))*$B$9*(1-$B$10))</f>
        <v>4536.18944508418</v>
      </c>
      <c r="P540" s="14" t="n">
        <f aca="true">$B$16+NORMINV(RAND(),0,SQRT($B$13*($B$7+$B$8^2))*$B$9*(1-$B$10))</f>
        <v>3812.48353409608</v>
      </c>
      <c r="Q540" s="14" t="n">
        <f aca="true">$B$16+NORMINV(RAND(),0,SQRT($B$13*($B$7+$B$8^2))*$B$9*(1-$B$10))</f>
        <v>3964.04913126139</v>
      </c>
      <c r="R540" s="14" t="n">
        <f aca="false">$B$4-13*($B$5+$B$6)/30-IF($B$11&lt;=13,$B$12,0)+0</f>
        <v>8876.66666666667</v>
      </c>
      <c r="S540" s="14" t="n">
        <f aca="false">$B$4-27*($B$5+$B$6)/30-IF($B$11&lt;=27,$B$12,0)+L540</f>
        <v>10518.8751033171</v>
      </c>
      <c r="T540" s="14" t="n">
        <f aca="false">$B$4-41*($B$5+$B$6)/30-IF($B$11&lt;=41,$B$12,0)+L540+M540</f>
        <v>1151.36638149608</v>
      </c>
      <c r="U540" s="14" t="n">
        <f aca="false">$B$4-55*($B$5+$B$6)/30-IF($B$11&lt;=55,$B$12,0)+L540+M540+N540</f>
        <v>3116.4190650808</v>
      </c>
      <c r="V540" s="14" t="n">
        <f aca="false">$B$4-69*($B$5+$B$6)/30-IF($B$11&lt;=69,$B$12,0)+L540+M540+N540+O540</f>
        <v>5365.94184349831</v>
      </c>
      <c r="W540" s="14" t="n">
        <f aca="false">$B$4-83*($B$5+$B$6)/30-IF($B$11&lt;=83,$B$12,0)+L540+M540+N540+O540+P540</f>
        <v>6891.75871092773</v>
      </c>
      <c r="X540" s="14" t="n">
        <f aca="false">$B$4-90*($B$5+$B$6)/30-IF($B$11&lt;=90,$B$12,0)+L540+M540+N540+O540+P540+Q540</f>
        <v>9712.47450885578</v>
      </c>
      <c r="AA540" s="14" t="n">
        <f aca="false">MIN(R540:X540)</f>
        <v>1151.36638149608</v>
      </c>
    </row>
    <row r="541" customFormat="false" ht="15" hidden="false" customHeight="false" outlineLevel="0" collapsed="false">
      <c r="K541" s="2" t="n">
        <v>536</v>
      </c>
      <c r="L541" s="14" t="n">
        <f aca="true">$B$16+NORMINV(RAND(),0,SQRT($B$13*($B$7+$B$8^2))*$B$9*(1-$B$10))</f>
        <v>4412.91790027009</v>
      </c>
      <c r="M541" s="14" t="n">
        <f aca="true">$B$16+NORMINV(RAND(),0,SQRT($B$13*($B$7+$B$8^2))*$B$9*(1-$B$10))</f>
        <v>3982.04515696744</v>
      </c>
      <c r="N541" s="14" t="n">
        <f aca="true">$B$16+NORMINV(RAND(),0,SQRT($B$13*($B$7+$B$8^2))*$B$9*(1-$B$10))</f>
        <v>4532.86710525009</v>
      </c>
      <c r="O541" s="14" t="n">
        <f aca="true">$B$16+NORMINV(RAND(),0,SQRT($B$13*($B$7+$B$8^2))*$B$9*(1-$B$10))</f>
        <v>3450.02067382264</v>
      </c>
      <c r="P541" s="14" t="n">
        <f aca="true">$B$16+NORMINV(RAND(),0,SQRT($B$13*($B$7+$B$8^2))*$B$9*(1-$B$10))</f>
        <v>4261.36023694204</v>
      </c>
      <c r="Q541" s="14" t="n">
        <f aca="true">$B$16+NORMINV(RAND(),0,SQRT($B$13*($B$7+$B$8^2))*$B$9*(1-$B$10))</f>
        <v>3878.00734486522</v>
      </c>
      <c r="R541" s="14" t="n">
        <f aca="false">$B$4-13*($B$5+$B$6)/30-IF($B$11&lt;=13,$B$12,0)+0</f>
        <v>8876.66666666667</v>
      </c>
      <c r="S541" s="14" t="n">
        <f aca="false">$B$4-27*($B$5+$B$6)/30-IF($B$11&lt;=27,$B$12,0)+L541</f>
        <v>11002.9179002701</v>
      </c>
      <c r="T541" s="14" t="n">
        <f aca="false">$B$4-41*($B$5+$B$6)/30-IF($B$11&lt;=41,$B$12,0)+L541+M541</f>
        <v>1513.49639057086</v>
      </c>
      <c r="U541" s="14" t="n">
        <f aca="false">$B$4-55*($B$5+$B$6)/30-IF($B$11&lt;=55,$B$12,0)+L541+M541+N541</f>
        <v>3759.69682915428</v>
      </c>
      <c r="V541" s="14" t="n">
        <f aca="false">$B$4-69*($B$5+$B$6)/30-IF($B$11&lt;=69,$B$12,0)+L541+M541+N541+O541</f>
        <v>4923.05083631026</v>
      </c>
      <c r="W541" s="14" t="n">
        <f aca="false">$B$4-83*($B$5+$B$6)/30-IF($B$11&lt;=83,$B$12,0)+L541+M541+N541+O541+P541</f>
        <v>6897.74440658563</v>
      </c>
      <c r="X541" s="14" t="n">
        <f aca="false">$B$4-90*($B$5+$B$6)/30-IF($B$11&lt;=90,$B$12,0)+L541+M541+N541+O541+P541+Q541</f>
        <v>9632.41841811752</v>
      </c>
      <c r="AA541" s="14" t="n">
        <f aca="false">MIN(R541:X541)</f>
        <v>1513.49639057086</v>
      </c>
    </row>
    <row r="542" customFormat="false" ht="15" hidden="false" customHeight="false" outlineLevel="0" collapsed="false">
      <c r="K542" s="2" t="n">
        <v>537</v>
      </c>
      <c r="L542" s="14" t="n">
        <f aca="true">$B$16+NORMINV(RAND(),0,SQRT($B$13*($B$7+$B$8^2))*$B$9*(1-$B$10))</f>
        <v>4157.17516999107</v>
      </c>
      <c r="M542" s="14" t="n">
        <f aca="true">$B$16+NORMINV(RAND(),0,SQRT($B$13*($B$7+$B$8^2))*$B$9*(1-$B$10))</f>
        <v>3923.26831751425</v>
      </c>
      <c r="N542" s="14" t="n">
        <f aca="true">$B$16+NORMINV(RAND(),0,SQRT($B$13*($B$7+$B$8^2))*$B$9*(1-$B$10))</f>
        <v>3654.41233531722</v>
      </c>
      <c r="O542" s="14" t="n">
        <f aca="true">$B$16+NORMINV(RAND(),0,SQRT($B$13*($B$7+$B$8^2))*$B$9*(1-$B$10))</f>
        <v>3687.17745505113</v>
      </c>
      <c r="P542" s="14" t="n">
        <f aca="true">$B$16+NORMINV(RAND(),0,SQRT($B$13*($B$7+$B$8^2))*$B$9*(1-$B$10))</f>
        <v>4371.61445957392</v>
      </c>
      <c r="Q542" s="14" t="n">
        <f aca="true">$B$16+NORMINV(RAND(),0,SQRT($B$13*($B$7+$B$8^2))*$B$9*(1-$B$10))</f>
        <v>3430.98039716068</v>
      </c>
      <c r="R542" s="14" t="n">
        <f aca="false">$B$4-13*($B$5+$B$6)/30-IF($B$11&lt;=13,$B$12,0)+0</f>
        <v>8876.66666666667</v>
      </c>
      <c r="S542" s="14" t="n">
        <f aca="false">$B$4-27*($B$5+$B$6)/30-IF($B$11&lt;=27,$B$12,0)+L542</f>
        <v>10747.1751699911</v>
      </c>
      <c r="T542" s="14" t="n">
        <f aca="false">$B$4-41*($B$5+$B$6)/30-IF($B$11&lt;=41,$B$12,0)+L542+M542</f>
        <v>1198.97682083865</v>
      </c>
      <c r="U542" s="14" t="n">
        <f aca="false">$B$4-55*($B$5+$B$6)/30-IF($B$11&lt;=55,$B$12,0)+L542+M542+N542</f>
        <v>2566.7224894892</v>
      </c>
      <c r="V542" s="14" t="n">
        <f aca="false">$B$4-69*($B$5+$B$6)/30-IF($B$11&lt;=69,$B$12,0)+L542+M542+N542+O542</f>
        <v>3967.23327787367</v>
      </c>
      <c r="W542" s="14" t="n">
        <f aca="false">$B$4-83*($B$5+$B$6)/30-IF($B$11&lt;=83,$B$12,0)+L542+M542+N542+O542+P542</f>
        <v>6052.18107078093</v>
      </c>
      <c r="X542" s="14" t="n">
        <f aca="false">$B$4-90*($B$5+$B$6)/30-IF($B$11&lt;=90,$B$12,0)+L542+M542+N542+O542+P542+Q542</f>
        <v>8339.82813460827</v>
      </c>
      <c r="AA542" s="14" t="n">
        <f aca="false">MIN(R542:X542)</f>
        <v>1198.97682083865</v>
      </c>
    </row>
    <row r="543" customFormat="false" ht="15" hidden="false" customHeight="false" outlineLevel="0" collapsed="false">
      <c r="K543" s="2" t="n">
        <v>538</v>
      </c>
      <c r="L543" s="14" t="n">
        <f aca="true">$B$16+NORMINV(RAND(),0,SQRT($B$13*($B$7+$B$8^2))*$B$9*(1-$B$10))</f>
        <v>3784.89415891697</v>
      </c>
      <c r="M543" s="14" t="n">
        <f aca="true">$B$16+NORMINV(RAND(),0,SQRT($B$13*($B$7+$B$8^2))*$B$9*(1-$B$10))</f>
        <v>4237.25819621841</v>
      </c>
      <c r="N543" s="14" t="n">
        <f aca="true">$B$16+NORMINV(RAND(),0,SQRT($B$13*($B$7+$B$8^2))*$B$9*(1-$B$10))</f>
        <v>3964.40834485738</v>
      </c>
      <c r="O543" s="14" t="n">
        <f aca="true">$B$16+NORMINV(RAND(),0,SQRT($B$13*($B$7+$B$8^2))*$B$9*(1-$B$10))</f>
        <v>3764.73907462866</v>
      </c>
      <c r="P543" s="14" t="n">
        <f aca="true">$B$16+NORMINV(RAND(),0,SQRT($B$13*($B$7+$B$8^2))*$B$9*(1-$B$10))</f>
        <v>4538.00977979239</v>
      </c>
      <c r="Q543" s="14" t="n">
        <f aca="true">$B$16+NORMINV(RAND(),0,SQRT($B$13*($B$7+$B$8^2))*$B$9*(1-$B$10))</f>
        <v>3503.67898731419</v>
      </c>
      <c r="R543" s="14" t="n">
        <f aca="false">$B$4-13*($B$5+$B$6)/30-IF($B$11&lt;=13,$B$12,0)+0</f>
        <v>8876.66666666667</v>
      </c>
      <c r="S543" s="14" t="n">
        <f aca="false">$B$4-27*($B$5+$B$6)/30-IF($B$11&lt;=27,$B$12,0)+L543</f>
        <v>10374.894158917</v>
      </c>
      <c r="T543" s="14" t="n">
        <f aca="false">$B$4-41*($B$5+$B$6)/30-IF($B$11&lt;=41,$B$12,0)+L543+M543</f>
        <v>1140.68568846871</v>
      </c>
      <c r="U543" s="14" t="n">
        <f aca="false">$B$4-55*($B$5+$B$6)/30-IF($B$11&lt;=55,$B$12,0)+L543+M543+N543</f>
        <v>2818.42736665942</v>
      </c>
      <c r="V543" s="14" t="n">
        <f aca="false">$B$4-69*($B$5+$B$6)/30-IF($B$11&lt;=69,$B$12,0)+L543+M543+N543+O543</f>
        <v>4296.49977462142</v>
      </c>
      <c r="W543" s="14" t="n">
        <f aca="false">$B$4-83*($B$5+$B$6)/30-IF($B$11&lt;=83,$B$12,0)+L543+M543+N543+O543+P543</f>
        <v>6547.84288774713</v>
      </c>
      <c r="X543" s="14" t="n">
        <f aca="false">$B$4-90*($B$5+$B$6)/30-IF($B$11&lt;=90,$B$12,0)+L543+M543+N543+O543+P543+Q543</f>
        <v>8908.18854172799</v>
      </c>
      <c r="AA543" s="14" t="n">
        <f aca="false">MIN(R543:X543)</f>
        <v>1140.68568846871</v>
      </c>
    </row>
    <row r="544" customFormat="false" ht="15" hidden="false" customHeight="false" outlineLevel="0" collapsed="false">
      <c r="K544" s="2" t="n">
        <v>539</v>
      </c>
      <c r="L544" s="14" t="n">
        <f aca="true">$B$16+NORMINV(RAND(),0,SQRT($B$13*($B$7+$B$8^2))*$B$9*(1-$B$10))</f>
        <v>3550.75562235958</v>
      </c>
      <c r="M544" s="14" t="n">
        <f aca="true">$B$16+NORMINV(RAND(),0,SQRT($B$13*($B$7+$B$8^2))*$B$9*(1-$B$10))</f>
        <v>4133.96574762882</v>
      </c>
      <c r="N544" s="14" t="n">
        <f aca="true">$B$16+NORMINV(RAND(),0,SQRT($B$13*($B$7+$B$8^2))*$B$9*(1-$B$10))</f>
        <v>3925.16687629078</v>
      </c>
      <c r="O544" s="14" t="n">
        <f aca="true">$B$16+NORMINV(RAND(),0,SQRT($B$13*($B$7+$B$8^2))*$B$9*(1-$B$10))</f>
        <v>4569.7417095567</v>
      </c>
      <c r="P544" s="14" t="n">
        <f aca="true">$B$16+NORMINV(RAND(),0,SQRT($B$13*($B$7+$B$8^2))*$B$9*(1-$B$10))</f>
        <v>4153.89299946354</v>
      </c>
      <c r="Q544" s="14" t="n">
        <f aca="true">$B$16+NORMINV(RAND(),0,SQRT($B$13*($B$7+$B$8^2))*$B$9*(1-$B$10))</f>
        <v>4722.20666269242</v>
      </c>
      <c r="R544" s="14" t="n">
        <f aca="false">$B$4-13*($B$5+$B$6)/30-IF($B$11&lt;=13,$B$12,0)+0</f>
        <v>8876.66666666667</v>
      </c>
      <c r="S544" s="14" t="n">
        <f aca="false">$B$4-27*($B$5+$B$6)/30-IF($B$11&lt;=27,$B$12,0)+L544</f>
        <v>10140.7556223596</v>
      </c>
      <c r="T544" s="14" t="n">
        <f aca="false">$B$4-41*($B$5+$B$6)/30-IF($B$11&lt;=41,$B$12,0)+L544+M544</f>
        <v>803.254703321733</v>
      </c>
      <c r="U544" s="14" t="n">
        <f aca="false">$B$4-55*($B$5+$B$6)/30-IF($B$11&lt;=55,$B$12,0)+L544+M544+N544</f>
        <v>2441.75491294584</v>
      </c>
      <c r="V544" s="14" t="n">
        <f aca="false">$B$4-69*($B$5+$B$6)/30-IF($B$11&lt;=69,$B$12,0)+L544+M544+N544+O544</f>
        <v>4724.82995583587</v>
      </c>
      <c r="W544" s="14" t="n">
        <f aca="false">$B$4-83*($B$5+$B$6)/30-IF($B$11&lt;=83,$B$12,0)+L544+M544+N544+O544+P544</f>
        <v>6592.05628863275</v>
      </c>
      <c r="X544" s="14" t="n">
        <f aca="false">$B$4-90*($B$5+$B$6)/30-IF($B$11&lt;=90,$B$12,0)+L544+M544+N544+O544+P544+Q544</f>
        <v>10170.9296179918</v>
      </c>
      <c r="AA544" s="14" t="n">
        <f aca="false">MIN(R544:X544)</f>
        <v>803.254703321733</v>
      </c>
    </row>
    <row r="545" customFormat="false" ht="15" hidden="false" customHeight="false" outlineLevel="0" collapsed="false">
      <c r="K545" s="2" t="n">
        <v>540</v>
      </c>
      <c r="L545" s="14" t="n">
        <f aca="true">$B$16+NORMINV(RAND(),0,SQRT($B$13*($B$7+$B$8^2))*$B$9*(1-$B$10))</f>
        <v>3845.89105178314</v>
      </c>
      <c r="M545" s="14" t="n">
        <f aca="true">$B$16+NORMINV(RAND(),0,SQRT($B$13*($B$7+$B$8^2))*$B$9*(1-$B$10))</f>
        <v>3625.45715627734</v>
      </c>
      <c r="N545" s="14" t="n">
        <f aca="true">$B$16+NORMINV(RAND(),0,SQRT($B$13*($B$7+$B$8^2))*$B$9*(1-$B$10))</f>
        <v>3570.10759709916</v>
      </c>
      <c r="O545" s="14" t="n">
        <f aca="true">$B$16+NORMINV(RAND(),0,SQRT($B$13*($B$7+$B$8^2))*$B$9*(1-$B$10))</f>
        <v>3997.6355830355</v>
      </c>
      <c r="P545" s="14" t="n">
        <f aca="true">$B$16+NORMINV(RAND(),0,SQRT($B$13*($B$7+$B$8^2))*$B$9*(1-$B$10))</f>
        <v>4377.31944931125</v>
      </c>
      <c r="Q545" s="14" t="n">
        <f aca="true">$B$16+NORMINV(RAND(),0,SQRT($B$13*($B$7+$B$8^2))*$B$9*(1-$B$10))</f>
        <v>3324.24942681565</v>
      </c>
      <c r="R545" s="14" t="n">
        <f aca="false">$B$4-13*($B$5+$B$6)/30-IF($B$11&lt;=13,$B$12,0)+0</f>
        <v>8876.66666666667</v>
      </c>
      <c r="S545" s="14" t="n">
        <f aca="false">$B$4-27*($B$5+$B$6)/30-IF($B$11&lt;=27,$B$12,0)+L545</f>
        <v>10435.8910517831</v>
      </c>
      <c r="T545" s="14" t="n">
        <f aca="false">$B$4-41*($B$5+$B$6)/30-IF($B$11&lt;=41,$B$12,0)+L545+M545</f>
        <v>589.88154139381</v>
      </c>
      <c r="U545" s="14" t="n">
        <f aca="false">$B$4-55*($B$5+$B$6)/30-IF($B$11&lt;=55,$B$12,0)+L545+M545+N545</f>
        <v>1873.3224718263</v>
      </c>
      <c r="V545" s="14" t="n">
        <f aca="false">$B$4-69*($B$5+$B$6)/30-IF($B$11&lt;=69,$B$12,0)+L545+M545+N545+O545</f>
        <v>3584.29138819514</v>
      </c>
      <c r="W545" s="14" t="n">
        <f aca="false">$B$4-83*($B$5+$B$6)/30-IF($B$11&lt;=83,$B$12,0)+L545+M545+N545+O545+P545</f>
        <v>5674.94417083972</v>
      </c>
      <c r="X545" s="14" t="n">
        <f aca="false">$B$4-90*($B$5+$B$6)/30-IF($B$11&lt;=90,$B$12,0)+L545+M545+N545+O545+P545+Q545</f>
        <v>7855.86026432204</v>
      </c>
      <c r="AA545" s="14" t="n">
        <f aca="false">MIN(R545:X545)</f>
        <v>589.88154139381</v>
      </c>
    </row>
    <row r="546" customFormat="false" ht="15" hidden="false" customHeight="false" outlineLevel="0" collapsed="false">
      <c r="K546" s="2" t="n">
        <v>541</v>
      </c>
      <c r="L546" s="14" t="n">
        <f aca="true">$B$16+NORMINV(RAND(),0,SQRT($B$13*($B$7+$B$8^2))*$B$9*(1-$B$10))</f>
        <v>4154.65868606661</v>
      </c>
      <c r="M546" s="14" t="n">
        <f aca="true">$B$16+NORMINV(RAND(),0,SQRT($B$13*($B$7+$B$8^2))*$B$9*(1-$B$10))</f>
        <v>4703.37527883143</v>
      </c>
      <c r="N546" s="14" t="n">
        <f aca="true">$B$16+NORMINV(RAND(),0,SQRT($B$13*($B$7+$B$8^2))*$B$9*(1-$B$10))</f>
        <v>4244.59504473422</v>
      </c>
      <c r="O546" s="14" t="n">
        <f aca="true">$B$16+NORMINV(RAND(),0,SQRT($B$13*($B$7+$B$8^2))*$B$9*(1-$B$10))</f>
        <v>4089.56604177807</v>
      </c>
      <c r="P546" s="14" t="n">
        <f aca="true">$B$16+NORMINV(RAND(),0,SQRT($B$13*($B$7+$B$8^2))*$B$9*(1-$B$10))</f>
        <v>3902.79821016657</v>
      </c>
      <c r="Q546" s="14" t="n">
        <f aca="true">$B$16+NORMINV(RAND(),0,SQRT($B$13*($B$7+$B$8^2))*$B$9*(1-$B$10))</f>
        <v>4057.55095012155</v>
      </c>
      <c r="R546" s="14" t="n">
        <f aca="false">$B$4-13*($B$5+$B$6)/30-IF($B$11&lt;=13,$B$12,0)+0</f>
        <v>8876.66666666667</v>
      </c>
      <c r="S546" s="14" t="n">
        <f aca="false">$B$4-27*($B$5+$B$6)/30-IF($B$11&lt;=27,$B$12,0)+L546</f>
        <v>10744.6586860666</v>
      </c>
      <c r="T546" s="14" t="n">
        <f aca="false">$B$4-41*($B$5+$B$6)/30-IF($B$11&lt;=41,$B$12,0)+L546+M546</f>
        <v>1976.56729823137</v>
      </c>
      <c r="U546" s="14" t="n">
        <f aca="false">$B$4-55*($B$5+$B$6)/30-IF($B$11&lt;=55,$B$12,0)+L546+M546+N546</f>
        <v>3934.49567629893</v>
      </c>
      <c r="V546" s="14" t="n">
        <f aca="false">$B$4-69*($B$5+$B$6)/30-IF($B$11&lt;=69,$B$12,0)+L546+M546+N546+O546</f>
        <v>5737.39505141033</v>
      </c>
      <c r="W546" s="14" t="n">
        <f aca="false">$B$4-83*($B$5+$B$6)/30-IF($B$11&lt;=83,$B$12,0)+L546+M546+N546+O546+P546</f>
        <v>7353.52659491023</v>
      </c>
      <c r="X546" s="14" t="n">
        <f aca="false">$B$4-90*($B$5+$B$6)/30-IF($B$11&lt;=90,$B$12,0)+L546+M546+N546+O546+P546+Q546</f>
        <v>10267.7442116984</v>
      </c>
      <c r="AA546" s="14" t="n">
        <f aca="false">MIN(R546:X546)</f>
        <v>1976.56729823137</v>
      </c>
    </row>
    <row r="547" customFormat="false" ht="15" hidden="false" customHeight="false" outlineLevel="0" collapsed="false">
      <c r="K547" s="2" t="n">
        <v>542</v>
      </c>
      <c r="L547" s="14" t="n">
        <f aca="true">$B$16+NORMINV(RAND(),0,SQRT($B$13*($B$7+$B$8^2))*$B$9*(1-$B$10))</f>
        <v>3998.68260190909</v>
      </c>
      <c r="M547" s="14" t="n">
        <f aca="true">$B$16+NORMINV(RAND(),0,SQRT($B$13*($B$7+$B$8^2))*$B$9*(1-$B$10))</f>
        <v>4982.78070023137</v>
      </c>
      <c r="N547" s="14" t="n">
        <f aca="true">$B$16+NORMINV(RAND(),0,SQRT($B$13*($B$7+$B$8^2))*$B$9*(1-$B$10))</f>
        <v>4228.05633257564</v>
      </c>
      <c r="O547" s="14" t="n">
        <f aca="true">$B$16+NORMINV(RAND(),0,SQRT($B$13*($B$7+$B$8^2))*$B$9*(1-$B$10))</f>
        <v>4018.01084030206</v>
      </c>
      <c r="P547" s="14" t="n">
        <f aca="true">$B$16+NORMINV(RAND(),0,SQRT($B$13*($B$7+$B$8^2))*$B$9*(1-$B$10))</f>
        <v>4401.25973549527</v>
      </c>
      <c r="Q547" s="14" t="n">
        <f aca="true">$B$16+NORMINV(RAND(),0,SQRT($B$13*($B$7+$B$8^2))*$B$9*(1-$B$10))</f>
        <v>4242.69616381456</v>
      </c>
      <c r="R547" s="14" t="n">
        <f aca="false">$B$4-13*($B$5+$B$6)/30-IF($B$11&lt;=13,$B$12,0)+0</f>
        <v>8876.66666666667</v>
      </c>
      <c r="S547" s="14" t="n">
        <f aca="false">$B$4-27*($B$5+$B$6)/30-IF($B$11&lt;=27,$B$12,0)+L547</f>
        <v>10588.6826019091</v>
      </c>
      <c r="T547" s="14" t="n">
        <f aca="false">$B$4-41*($B$5+$B$6)/30-IF($B$11&lt;=41,$B$12,0)+L547+M547</f>
        <v>2099.99663547379</v>
      </c>
      <c r="U547" s="14" t="n">
        <f aca="false">$B$4-55*($B$5+$B$6)/30-IF($B$11&lt;=55,$B$12,0)+L547+M547+N547</f>
        <v>4041.38630138276</v>
      </c>
      <c r="V547" s="14" t="n">
        <f aca="false">$B$4-69*($B$5+$B$6)/30-IF($B$11&lt;=69,$B$12,0)+L547+M547+N547+O547</f>
        <v>5772.73047501816</v>
      </c>
      <c r="W547" s="14" t="n">
        <f aca="false">$B$4-83*($B$5+$B$6)/30-IF($B$11&lt;=83,$B$12,0)+L547+M547+N547+O547+P547</f>
        <v>7887.32354384676</v>
      </c>
      <c r="X547" s="14" t="n">
        <f aca="false">$B$4-90*($B$5+$B$6)/30-IF($B$11&lt;=90,$B$12,0)+L547+M547+N547+O547+P547+Q547</f>
        <v>10986.686374328</v>
      </c>
      <c r="AA547" s="14" t="n">
        <f aca="false">MIN(R547:X547)</f>
        <v>2099.99663547379</v>
      </c>
    </row>
    <row r="548" customFormat="false" ht="15" hidden="false" customHeight="false" outlineLevel="0" collapsed="false">
      <c r="K548" s="2" t="n">
        <v>543</v>
      </c>
      <c r="L548" s="14" t="n">
        <f aca="true">$B$16+NORMINV(RAND(),0,SQRT($B$13*($B$7+$B$8^2))*$B$9*(1-$B$10))</f>
        <v>4009.78792290931</v>
      </c>
      <c r="M548" s="14" t="n">
        <f aca="true">$B$16+NORMINV(RAND(),0,SQRT($B$13*($B$7+$B$8^2))*$B$9*(1-$B$10))</f>
        <v>3988.8078111118</v>
      </c>
      <c r="N548" s="14" t="n">
        <f aca="true">$B$16+NORMINV(RAND(),0,SQRT($B$13*($B$7+$B$8^2))*$B$9*(1-$B$10))</f>
        <v>3965.08890997632</v>
      </c>
      <c r="O548" s="14" t="n">
        <f aca="true">$B$16+NORMINV(RAND(),0,SQRT($B$13*($B$7+$B$8^2))*$B$9*(1-$B$10))</f>
        <v>3760.89784381532</v>
      </c>
      <c r="P548" s="14" t="n">
        <f aca="true">$B$16+NORMINV(RAND(),0,SQRT($B$13*($B$7+$B$8^2))*$B$9*(1-$B$10))</f>
        <v>4175.20411469473</v>
      </c>
      <c r="Q548" s="14" t="n">
        <f aca="true">$B$16+NORMINV(RAND(),0,SQRT($B$13*($B$7+$B$8^2))*$B$9*(1-$B$10))</f>
        <v>4314.38396100233</v>
      </c>
      <c r="R548" s="14" t="n">
        <f aca="false">$B$4-13*($B$5+$B$6)/30-IF($B$11&lt;=13,$B$12,0)+0</f>
        <v>8876.66666666667</v>
      </c>
      <c r="S548" s="14" t="n">
        <f aca="false">$B$4-27*($B$5+$B$6)/30-IF($B$11&lt;=27,$B$12,0)+L548</f>
        <v>10599.7879229093</v>
      </c>
      <c r="T548" s="14" t="n">
        <f aca="false">$B$4-41*($B$5+$B$6)/30-IF($B$11&lt;=41,$B$12,0)+L548+M548</f>
        <v>1117.12906735444</v>
      </c>
      <c r="U548" s="14" t="n">
        <f aca="false">$B$4-55*($B$5+$B$6)/30-IF($B$11&lt;=55,$B$12,0)+L548+M548+N548</f>
        <v>2795.55131066409</v>
      </c>
      <c r="V548" s="14" t="n">
        <f aca="false">$B$4-69*($B$5+$B$6)/30-IF($B$11&lt;=69,$B$12,0)+L548+M548+N548+O548</f>
        <v>4269.78248781275</v>
      </c>
      <c r="W548" s="14" t="n">
        <f aca="false">$B$4-83*($B$5+$B$6)/30-IF($B$11&lt;=83,$B$12,0)+L548+M548+N548+O548+P548</f>
        <v>6158.31993584081</v>
      </c>
      <c r="X548" s="14" t="n">
        <f aca="false">$B$4-90*($B$5+$B$6)/30-IF($B$11&lt;=90,$B$12,0)+L548+M548+N548+O548+P548+Q548</f>
        <v>9329.3705635098</v>
      </c>
      <c r="AA548" s="14" t="n">
        <f aca="false">MIN(R548:X548)</f>
        <v>1117.12906735444</v>
      </c>
    </row>
    <row r="549" customFormat="false" ht="15" hidden="false" customHeight="false" outlineLevel="0" collapsed="false">
      <c r="K549" s="2" t="n">
        <v>544</v>
      </c>
      <c r="L549" s="14" t="n">
        <f aca="true">$B$16+NORMINV(RAND(),0,SQRT($B$13*($B$7+$B$8^2))*$B$9*(1-$B$10))</f>
        <v>3785.12373408122</v>
      </c>
      <c r="M549" s="14" t="n">
        <f aca="true">$B$16+NORMINV(RAND(),0,SQRT($B$13*($B$7+$B$8^2))*$B$9*(1-$B$10))</f>
        <v>4311.36978932805</v>
      </c>
      <c r="N549" s="14" t="n">
        <f aca="true">$B$16+NORMINV(RAND(),0,SQRT($B$13*($B$7+$B$8^2))*$B$9*(1-$B$10))</f>
        <v>4238.9405467761</v>
      </c>
      <c r="O549" s="14" t="n">
        <f aca="true">$B$16+NORMINV(RAND(),0,SQRT($B$13*($B$7+$B$8^2))*$B$9*(1-$B$10))</f>
        <v>3636.81877571026</v>
      </c>
      <c r="P549" s="14" t="n">
        <f aca="true">$B$16+NORMINV(RAND(),0,SQRT($B$13*($B$7+$B$8^2))*$B$9*(1-$B$10))</f>
        <v>4214.85144675347</v>
      </c>
      <c r="Q549" s="14" t="n">
        <f aca="true">$B$16+NORMINV(RAND(),0,SQRT($B$13*($B$7+$B$8^2))*$B$9*(1-$B$10))</f>
        <v>4803.17290233877</v>
      </c>
      <c r="R549" s="14" t="n">
        <f aca="false">$B$4-13*($B$5+$B$6)/30-IF($B$11&lt;=13,$B$12,0)+0</f>
        <v>8876.66666666667</v>
      </c>
      <c r="S549" s="14" t="n">
        <f aca="false">$B$4-27*($B$5+$B$6)/30-IF($B$11&lt;=27,$B$12,0)+L549</f>
        <v>10375.1237340812</v>
      </c>
      <c r="T549" s="14" t="n">
        <f aca="false">$B$4-41*($B$5+$B$6)/30-IF($B$11&lt;=41,$B$12,0)+L549+M549</f>
        <v>1215.02685674261</v>
      </c>
      <c r="U549" s="14" t="n">
        <f aca="false">$B$4-55*($B$5+$B$6)/30-IF($B$11&lt;=55,$B$12,0)+L549+M549+N549</f>
        <v>3167.30073685204</v>
      </c>
      <c r="V549" s="14" t="n">
        <f aca="false">$B$4-69*($B$5+$B$6)/30-IF($B$11&lt;=69,$B$12,0)+L549+M549+N549+O549</f>
        <v>4517.45284589563</v>
      </c>
      <c r="W549" s="14" t="n">
        <f aca="false">$B$4-83*($B$5+$B$6)/30-IF($B$11&lt;=83,$B$12,0)+L549+M549+N549+O549+P549</f>
        <v>6445.63762598243</v>
      </c>
      <c r="X549" s="14" t="n">
        <f aca="false">$B$4-90*($B$5+$B$6)/30-IF($B$11&lt;=90,$B$12,0)+L549+M549+N549+O549+P549+Q549</f>
        <v>10105.4771949879</v>
      </c>
      <c r="AA549" s="14" t="n">
        <f aca="false">MIN(R549:X549)</f>
        <v>1215.02685674261</v>
      </c>
    </row>
    <row r="550" customFormat="false" ht="15" hidden="false" customHeight="false" outlineLevel="0" collapsed="false">
      <c r="K550" s="2" t="n">
        <v>545</v>
      </c>
      <c r="L550" s="14" t="n">
        <f aca="true">$B$16+NORMINV(RAND(),0,SQRT($B$13*($B$7+$B$8^2))*$B$9*(1-$B$10))</f>
        <v>3805.34443998318</v>
      </c>
      <c r="M550" s="14" t="n">
        <f aca="true">$B$16+NORMINV(RAND(),0,SQRT($B$13*($B$7+$B$8^2))*$B$9*(1-$B$10))</f>
        <v>4529.89642851758</v>
      </c>
      <c r="N550" s="14" t="n">
        <f aca="true">$B$16+NORMINV(RAND(),0,SQRT($B$13*($B$7+$B$8^2))*$B$9*(1-$B$10))</f>
        <v>3604.14251009615</v>
      </c>
      <c r="O550" s="14" t="n">
        <f aca="true">$B$16+NORMINV(RAND(),0,SQRT($B$13*($B$7+$B$8^2))*$B$9*(1-$B$10))</f>
        <v>3796.48445708228</v>
      </c>
      <c r="P550" s="14" t="n">
        <f aca="true">$B$16+NORMINV(RAND(),0,SQRT($B$13*($B$7+$B$8^2))*$B$9*(1-$B$10))</f>
        <v>4687.20463853457</v>
      </c>
      <c r="Q550" s="14" t="n">
        <f aca="true">$B$16+NORMINV(RAND(),0,SQRT($B$13*($B$7+$B$8^2))*$B$9*(1-$B$10))</f>
        <v>3882.63228031413</v>
      </c>
      <c r="R550" s="14" t="n">
        <f aca="false">$B$4-13*($B$5+$B$6)/30-IF($B$11&lt;=13,$B$12,0)+0</f>
        <v>8876.66666666667</v>
      </c>
      <c r="S550" s="14" t="n">
        <f aca="false">$B$4-27*($B$5+$B$6)/30-IF($B$11&lt;=27,$B$12,0)+L550</f>
        <v>10395.3444399832</v>
      </c>
      <c r="T550" s="14" t="n">
        <f aca="false">$B$4-41*($B$5+$B$6)/30-IF($B$11&lt;=41,$B$12,0)+L550+M550</f>
        <v>1453.77420183409</v>
      </c>
      <c r="U550" s="14" t="n">
        <f aca="false">$B$4-55*($B$5+$B$6)/30-IF($B$11&lt;=55,$B$12,0)+L550+M550+N550</f>
        <v>2771.25004526356</v>
      </c>
      <c r="V550" s="14" t="n">
        <f aca="false">$B$4-69*($B$5+$B$6)/30-IF($B$11&lt;=69,$B$12,0)+L550+M550+N550+O550</f>
        <v>4281.06783567918</v>
      </c>
      <c r="W550" s="14" t="n">
        <f aca="false">$B$4-83*($B$5+$B$6)/30-IF($B$11&lt;=83,$B$12,0)+L550+M550+N550+O550+P550</f>
        <v>6681.60580754708</v>
      </c>
      <c r="X550" s="14" t="n">
        <f aca="false">$B$4-90*($B$5+$B$6)/30-IF($B$11&lt;=90,$B$12,0)+L550+M550+N550+O550+P550+Q550</f>
        <v>9420.90475452787</v>
      </c>
      <c r="AA550" s="14" t="n">
        <f aca="false">MIN(R550:X550)</f>
        <v>1453.77420183409</v>
      </c>
    </row>
    <row r="551" customFormat="false" ht="15" hidden="false" customHeight="false" outlineLevel="0" collapsed="false">
      <c r="K551" s="2" t="n">
        <v>546</v>
      </c>
      <c r="L551" s="14" t="n">
        <f aca="true">$B$16+NORMINV(RAND(),0,SQRT($B$13*($B$7+$B$8^2))*$B$9*(1-$B$10))</f>
        <v>4033.99235075078</v>
      </c>
      <c r="M551" s="14" t="n">
        <f aca="true">$B$16+NORMINV(RAND(),0,SQRT($B$13*($B$7+$B$8^2))*$B$9*(1-$B$10))</f>
        <v>3859.93231355194</v>
      </c>
      <c r="N551" s="14" t="n">
        <f aca="true">$B$16+NORMINV(RAND(),0,SQRT($B$13*($B$7+$B$8^2))*$B$9*(1-$B$10))</f>
        <v>4112.62528804202</v>
      </c>
      <c r="O551" s="14" t="n">
        <f aca="true">$B$16+NORMINV(RAND(),0,SQRT($B$13*($B$7+$B$8^2))*$B$9*(1-$B$10))</f>
        <v>4235.99350532637</v>
      </c>
      <c r="P551" s="14" t="n">
        <f aca="true">$B$16+NORMINV(RAND(),0,SQRT($B$13*($B$7+$B$8^2))*$B$9*(1-$B$10))</f>
        <v>3812.3499984343</v>
      </c>
      <c r="Q551" s="14" t="n">
        <f aca="true">$B$16+NORMINV(RAND(),0,SQRT($B$13*($B$7+$B$8^2))*$B$9*(1-$B$10))</f>
        <v>4277.99895740048</v>
      </c>
      <c r="R551" s="14" t="n">
        <f aca="false">$B$4-13*($B$5+$B$6)/30-IF($B$11&lt;=13,$B$12,0)+0</f>
        <v>8876.66666666667</v>
      </c>
      <c r="S551" s="14" t="n">
        <f aca="false">$B$4-27*($B$5+$B$6)/30-IF($B$11&lt;=27,$B$12,0)+L551</f>
        <v>10623.9923507508</v>
      </c>
      <c r="T551" s="14" t="n">
        <f aca="false">$B$4-41*($B$5+$B$6)/30-IF($B$11&lt;=41,$B$12,0)+L551+M551</f>
        <v>1012.45799763605</v>
      </c>
      <c r="U551" s="14" t="n">
        <f aca="false">$B$4-55*($B$5+$B$6)/30-IF($B$11&lt;=55,$B$12,0)+L551+M551+N551</f>
        <v>2838.41661901141</v>
      </c>
      <c r="V551" s="14" t="n">
        <f aca="false">$B$4-69*($B$5+$B$6)/30-IF($B$11&lt;=69,$B$12,0)+L551+M551+N551+O551</f>
        <v>4787.74345767111</v>
      </c>
      <c r="W551" s="14" t="n">
        <f aca="false">$B$4-83*($B$5+$B$6)/30-IF($B$11&lt;=83,$B$12,0)+L551+M551+N551+O551+P551</f>
        <v>6313.42678943875</v>
      </c>
      <c r="X551" s="14" t="n">
        <f aca="false">$B$4-90*($B$5+$B$6)/30-IF($B$11&lt;=90,$B$12,0)+L551+M551+N551+O551+P551+Q551</f>
        <v>9448.09241350589</v>
      </c>
      <c r="AA551" s="14" t="n">
        <f aca="false">MIN(R551:X551)</f>
        <v>1012.45799763605</v>
      </c>
    </row>
    <row r="552" customFormat="false" ht="15" hidden="false" customHeight="false" outlineLevel="0" collapsed="false">
      <c r="K552" s="2" t="n">
        <v>547</v>
      </c>
      <c r="L552" s="14" t="n">
        <f aca="true">$B$16+NORMINV(RAND(),0,SQRT($B$13*($B$7+$B$8^2))*$B$9*(1-$B$10))</f>
        <v>4204.29677467554</v>
      </c>
      <c r="M552" s="14" t="n">
        <f aca="true">$B$16+NORMINV(RAND(),0,SQRT($B$13*($B$7+$B$8^2))*$B$9*(1-$B$10))</f>
        <v>3911.00195002085</v>
      </c>
      <c r="N552" s="14" t="n">
        <f aca="true">$B$16+NORMINV(RAND(),0,SQRT($B$13*($B$7+$B$8^2))*$B$9*(1-$B$10))</f>
        <v>4065.21943657327</v>
      </c>
      <c r="O552" s="14" t="n">
        <f aca="true">$B$16+NORMINV(RAND(),0,SQRT($B$13*($B$7+$B$8^2))*$B$9*(1-$B$10))</f>
        <v>4654.97962606363</v>
      </c>
      <c r="P552" s="14" t="n">
        <f aca="true">$B$16+NORMINV(RAND(),0,SQRT($B$13*($B$7+$B$8^2))*$B$9*(1-$B$10))</f>
        <v>3808.52608001669</v>
      </c>
      <c r="Q552" s="14" t="n">
        <f aca="true">$B$16+NORMINV(RAND(),0,SQRT($B$13*($B$7+$B$8^2))*$B$9*(1-$B$10))</f>
        <v>4093.80552343398</v>
      </c>
      <c r="R552" s="14" t="n">
        <f aca="false">$B$4-13*($B$5+$B$6)/30-IF($B$11&lt;=13,$B$12,0)+0</f>
        <v>8876.66666666667</v>
      </c>
      <c r="S552" s="14" t="n">
        <f aca="false">$B$4-27*($B$5+$B$6)/30-IF($B$11&lt;=27,$B$12,0)+L552</f>
        <v>10794.2967746755</v>
      </c>
      <c r="T552" s="14" t="n">
        <f aca="false">$B$4-41*($B$5+$B$6)/30-IF($B$11&lt;=41,$B$12,0)+L552+M552</f>
        <v>1233.83205802972</v>
      </c>
      <c r="U552" s="14" t="n">
        <f aca="false">$B$4-55*($B$5+$B$6)/30-IF($B$11&lt;=55,$B$12,0)+L552+M552+N552</f>
        <v>3012.38482793632</v>
      </c>
      <c r="V552" s="14" t="n">
        <f aca="false">$B$4-69*($B$5+$B$6)/30-IF($B$11&lt;=69,$B$12,0)+L552+M552+N552+O552</f>
        <v>5380.69778733328</v>
      </c>
      <c r="W552" s="14" t="n">
        <f aca="false">$B$4-83*($B$5+$B$6)/30-IF($B$11&lt;=83,$B$12,0)+L552+M552+N552+O552+P552</f>
        <v>6902.5572006833</v>
      </c>
      <c r="X552" s="14" t="n">
        <f aca="false">$B$4-90*($B$5+$B$6)/30-IF($B$11&lt;=90,$B$12,0)+L552+M552+N552+O552+P552+Q552</f>
        <v>9853.02939078394</v>
      </c>
      <c r="AA552" s="14" t="n">
        <f aca="false">MIN(R552:X552)</f>
        <v>1233.83205802972</v>
      </c>
    </row>
    <row r="553" customFormat="false" ht="15" hidden="false" customHeight="false" outlineLevel="0" collapsed="false">
      <c r="K553" s="2" t="n">
        <v>548</v>
      </c>
      <c r="L553" s="14" t="n">
        <f aca="true">$B$16+NORMINV(RAND(),0,SQRT($B$13*($B$7+$B$8^2))*$B$9*(1-$B$10))</f>
        <v>4423.50778854768</v>
      </c>
      <c r="M553" s="14" t="n">
        <f aca="true">$B$16+NORMINV(RAND(),0,SQRT($B$13*($B$7+$B$8^2))*$B$9*(1-$B$10))</f>
        <v>4022.16391636012</v>
      </c>
      <c r="N553" s="14" t="n">
        <f aca="true">$B$16+NORMINV(RAND(),0,SQRT($B$13*($B$7+$B$8^2))*$B$9*(1-$B$10))</f>
        <v>3331.10099578354</v>
      </c>
      <c r="O553" s="14" t="n">
        <f aca="true">$B$16+NORMINV(RAND(),0,SQRT($B$13*($B$7+$B$8^2))*$B$9*(1-$B$10))</f>
        <v>4439.94209914678</v>
      </c>
      <c r="P553" s="14" t="n">
        <f aca="true">$B$16+NORMINV(RAND(),0,SQRT($B$13*($B$7+$B$8^2))*$B$9*(1-$B$10))</f>
        <v>4628.61243997515</v>
      </c>
      <c r="Q553" s="14" t="n">
        <f aca="true">$B$16+NORMINV(RAND(),0,SQRT($B$13*($B$7+$B$8^2))*$B$9*(1-$B$10))</f>
        <v>4196.65478113051</v>
      </c>
      <c r="R553" s="14" t="n">
        <f aca="false">$B$4-13*($B$5+$B$6)/30-IF($B$11&lt;=13,$B$12,0)+0</f>
        <v>8876.66666666667</v>
      </c>
      <c r="S553" s="14" t="n">
        <f aca="false">$B$4-27*($B$5+$B$6)/30-IF($B$11&lt;=27,$B$12,0)+L553</f>
        <v>11013.5077885477</v>
      </c>
      <c r="T553" s="14" t="n">
        <f aca="false">$B$4-41*($B$5+$B$6)/30-IF($B$11&lt;=41,$B$12,0)+L553+M553</f>
        <v>1564.20503824113</v>
      </c>
      <c r="U553" s="14" t="n">
        <f aca="false">$B$4-55*($B$5+$B$6)/30-IF($B$11&lt;=55,$B$12,0)+L553+M553+N553</f>
        <v>2608.63936735801</v>
      </c>
      <c r="V553" s="14" t="n">
        <f aca="false">$B$4-69*($B$5+$B$6)/30-IF($B$11&lt;=69,$B$12,0)+L553+M553+N553+O553</f>
        <v>4761.91479983813</v>
      </c>
      <c r="W553" s="14" t="n">
        <f aca="false">$B$4-83*($B$5+$B$6)/30-IF($B$11&lt;=83,$B$12,0)+L553+M553+N553+O553+P553</f>
        <v>7103.86057314661</v>
      </c>
      <c r="X553" s="14" t="n">
        <f aca="false">$B$4-90*($B$5+$B$6)/30-IF($B$11&lt;=90,$B$12,0)+L553+M553+N553+O553+P553+Q553</f>
        <v>10157.1820209438</v>
      </c>
      <c r="AA553" s="14" t="n">
        <f aca="false">MIN(R553:X553)</f>
        <v>1564.20503824113</v>
      </c>
    </row>
    <row r="554" customFormat="false" ht="15" hidden="false" customHeight="false" outlineLevel="0" collapsed="false">
      <c r="K554" s="2" t="n">
        <v>549</v>
      </c>
      <c r="L554" s="14" t="n">
        <f aca="true">$B$16+NORMINV(RAND(),0,SQRT($B$13*($B$7+$B$8^2))*$B$9*(1-$B$10))</f>
        <v>4665.86471746506</v>
      </c>
      <c r="M554" s="14" t="n">
        <f aca="true">$B$16+NORMINV(RAND(),0,SQRT($B$13*($B$7+$B$8^2))*$B$9*(1-$B$10))</f>
        <v>4007.63901521824</v>
      </c>
      <c r="N554" s="14" t="n">
        <f aca="true">$B$16+NORMINV(RAND(),0,SQRT($B$13*($B$7+$B$8^2))*$B$9*(1-$B$10))</f>
        <v>4541.99721530888</v>
      </c>
      <c r="O554" s="14" t="n">
        <f aca="true">$B$16+NORMINV(RAND(),0,SQRT($B$13*($B$7+$B$8^2))*$B$9*(1-$B$10))</f>
        <v>4078.30111531377</v>
      </c>
      <c r="P554" s="14" t="n">
        <f aca="true">$B$16+NORMINV(RAND(),0,SQRT($B$13*($B$7+$B$8^2))*$B$9*(1-$B$10))</f>
        <v>4644.42325401603</v>
      </c>
      <c r="Q554" s="14" t="n">
        <f aca="true">$B$16+NORMINV(RAND(),0,SQRT($B$13*($B$7+$B$8^2))*$B$9*(1-$B$10))</f>
        <v>4015.64778310252</v>
      </c>
      <c r="R554" s="14" t="n">
        <f aca="false">$B$4-13*($B$5+$B$6)/30-IF($B$11&lt;=13,$B$12,0)+0</f>
        <v>8876.66666666667</v>
      </c>
      <c r="S554" s="14" t="n">
        <f aca="false">$B$4-27*($B$5+$B$6)/30-IF($B$11&lt;=27,$B$12,0)+L554</f>
        <v>11255.8647174651</v>
      </c>
      <c r="T554" s="14" t="n">
        <f aca="false">$B$4-41*($B$5+$B$6)/30-IF($B$11&lt;=41,$B$12,0)+L554+M554</f>
        <v>1792.03706601663</v>
      </c>
      <c r="U554" s="14" t="n">
        <f aca="false">$B$4-55*($B$5+$B$6)/30-IF($B$11&lt;=55,$B$12,0)+L554+M554+N554</f>
        <v>4047.36761465884</v>
      </c>
      <c r="V554" s="14" t="n">
        <f aca="false">$B$4-69*($B$5+$B$6)/30-IF($B$11&lt;=69,$B$12,0)+L554+M554+N554+O554</f>
        <v>5839.00206330594</v>
      </c>
      <c r="W554" s="14" t="n">
        <f aca="false">$B$4-83*($B$5+$B$6)/30-IF($B$11&lt;=83,$B$12,0)+L554+M554+N554+O554+P554</f>
        <v>8196.7586506553</v>
      </c>
      <c r="X554" s="14" t="n">
        <f aca="false">$B$4-90*($B$5+$B$6)/30-IF($B$11&lt;=90,$B$12,0)+L554+M554+N554+O554+P554+Q554</f>
        <v>11069.0731004245</v>
      </c>
      <c r="AA554" s="14" t="n">
        <f aca="false">MIN(R554:X554)</f>
        <v>1792.03706601663</v>
      </c>
    </row>
    <row r="555" customFormat="false" ht="15" hidden="false" customHeight="false" outlineLevel="0" collapsed="false">
      <c r="K555" s="2" t="n">
        <v>550</v>
      </c>
      <c r="L555" s="14" t="n">
        <f aca="true">$B$16+NORMINV(RAND(),0,SQRT($B$13*($B$7+$B$8^2))*$B$9*(1-$B$10))</f>
        <v>4331.48914726798</v>
      </c>
      <c r="M555" s="14" t="n">
        <f aca="true">$B$16+NORMINV(RAND(),0,SQRT($B$13*($B$7+$B$8^2))*$B$9*(1-$B$10))</f>
        <v>3836.76763702473</v>
      </c>
      <c r="N555" s="14" t="n">
        <f aca="true">$B$16+NORMINV(RAND(),0,SQRT($B$13*($B$7+$B$8^2))*$B$9*(1-$B$10))</f>
        <v>4410.80727382063</v>
      </c>
      <c r="O555" s="14" t="n">
        <f aca="true">$B$16+NORMINV(RAND(),0,SQRT($B$13*($B$7+$B$8^2))*$B$9*(1-$B$10))</f>
        <v>4088.3827873689</v>
      </c>
      <c r="P555" s="14" t="n">
        <f aca="true">$B$16+NORMINV(RAND(),0,SQRT($B$13*($B$7+$B$8^2))*$B$9*(1-$B$10))</f>
        <v>4222.17825130789</v>
      </c>
      <c r="Q555" s="14" t="n">
        <f aca="true">$B$16+NORMINV(RAND(),0,SQRT($B$13*($B$7+$B$8^2))*$B$9*(1-$B$10))</f>
        <v>4043.52263212117</v>
      </c>
      <c r="R555" s="14" t="n">
        <f aca="false">$B$4-13*($B$5+$B$6)/30-IF($B$11&lt;=13,$B$12,0)+0</f>
        <v>8876.66666666667</v>
      </c>
      <c r="S555" s="14" t="n">
        <f aca="false">$B$4-27*($B$5+$B$6)/30-IF($B$11&lt;=27,$B$12,0)+L555</f>
        <v>10921.489147268</v>
      </c>
      <c r="T555" s="14" t="n">
        <f aca="false">$B$4-41*($B$5+$B$6)/30-IF($B$11&lt;=41,$B$12,0)+L555+M555</f>
        <v>1286.79011762604</v>
      </c>
      <c r="U555" s="14" t="n">
        <f aca="false">$B$4-55*($B$5+$B$6)/30-IF($B$11&lt;=55,$B$12,0)+L555+M555+N555</f>
        <v>3410.93072478</v>
      </c>
      <c r="V555" s="14" t="n">
        <f aca="false">$B$4-69*($B$5+$B$6)/30-IF($B$11&lt;=69,$B$12,0)+L555+M555+N555+O555</f>
        <v>5212.64684548223</v>
      </c>
      <c r="W555" s="14" t="n">
        <f aca="false">$B$4-83*($B$5+$B$6)/30-IF($B$11&lt;=83,$B$12,0)+L555+M555+N555+O555+P555</f>
        <v>7148.15843012345</v>
      </c>
      <c r="X555" s="14" t="n">
        <f aca="false">$B$4-90*($B$5+$B$6)/30-IF($B$11&lt;=90,$B$12,0)+L555+M555+N555+O555+P555+Q555</f>
        <v>10048.3477289113</v>
      </c>
      <c r="AA555" s="14" t="n">
        <f aca="false">MIN(R555:X555)</f>
        <v>1286.79011762604</v>
      </c>
    </row>
    <row r="556" customFormat="false" ht="15" hidden="false" customHeight="false" outlineLevel="0" collapsed="false">
      <c r="K556" s="2" t="n">
        <v>551</v>
      </c>
      <c r="L556" s="14" t="n">
        <f aca="true">$B$16+NORMINV(RAND(),0,SQRT($B$13*($B$7+$B$8^2))*$B$9*(1-$B$10))</f>
        <v>3728.43857756901</v>
      </c>
      <c r="M556" s="14" t="n">
        <f aca="true">$B$16+NORMINV(RAND(),0,SQRT($B$13*($B$7+$B$8^2))*$B$9*(1-$B$10))</f>
        <v>4560.87156658092</v>
      </c>
      <c r="N556" s="14" t="n">
        <f aca="true">$B$16+NORMINV(RAND(),0,SQRT($B$13*($B$7+$B$8^2))*$B$9*(1-$B$10))</f>
        <v>3341.58520524812</v>
      </c>
      <c r="O556" s="14" t="n">
        <f aca="true">$B$16+NORMINV(RAND(),0,SQRT($B$13*($B$7+$B$8^2))*$B$9*(1-$B$10))</f>
        <v>4315.32206642868</v>
      </c>
      <c r="P556" s="14" t="n">
        <f aca="true">$B$16+NORMINV(RAND(),0,SQRT($B$13*($B$7+$B$8^2))*$B$9*(1-$B$10))</f>
        <v>4078.00041610711</v>
      </c>
      <c r="Q556" s="14" t="n">
        <f aca="true">$B$16+NORMINV(RAND(),0,SQRT($B$13*($B$7+$B$8^2))*$B$9*(1-$B$10))</f>
        <v>3556.33933016211</v>
      </c>
      <c r="R556" s="14" t="n">
        <f aca="false">$B$4-13*($B$5+$B$6)/30-IF($B$11&lt;=13,$B$12,0)+0</f>
        <v>8876.66666666667</v>
      </c>
      <c r="S556" s="14" t="n">
        <f aca="false">$B$4-27*($B$5+$B$6)/30-IF($B$11&lt;=27,$B$12,0)+L556</f>
        <v>10318.438577569</v>
      </c>
      <c r="T556" s="14" t="n">
        <f aca="false">$B$4-41*($B$5+$B$6)/30-IF($B$11&lt;=41,$B$12,0)+L556+M556</f>
        <v>1407.84347748326</v>
      </c>
      <c r="U556" s="14" t="n">
        <f aca="false">$B$4-55*($B$5+$B$6)/30-IF($B$11&lt;=55,$B$12,0)+L556+M556+N556</f>
        <v>2462.76201606471</v>
      </c>
      <c r="V556" s="14" t="n">
        <f aca="false">$B$4-69*($B$5+$B$6)/30-IF($B$11&lt;=69,$B$12,0)+L556+M556+N556+O556</f>
        <v>4491.41741582673</v>
      </c>
      <c r="W556" s="14" t="n">
        <f aca="false">$B$4-83*($B$5+$B$6)/30-IF($B$11&lt;=83,$B$12,0)+L556+M556+N556+O556+P556</f>
        <v>6282.75116526717</v>
      </c>
      <c r="X556" s="14" t="n">
        <f aca="false">$B$4-90*($B$5+$B$6)/30-IF($B$11&lt;=90,$B$12,0)+L556+M556+N556+O556+P556+Q556</f>
        <v>8695.75716209595</v>
      </c>
      <c r="AA556" s="14" t="n">
        <f aca="false">MIN(R556:X556)</f>
        <v>1407.84347748326</v>
      </c>
    </row>
    <row r="557" customFormat="false" ht="15" hidden="false" customHeight="false" outlineLevel="0" collapsed="false">
      <c r="K557" s="2" t="n">
        <v>552</v>
      </c>
      <c r="L557" s="14" t="n">
        <f aca="true">$B$16+NORMINV(RAND(),0,SQRT($B$13*($B$7+$B$8^2))*$B$9*(1-$B$10))</f>
        <v>4112.66389899025</v>
      </c>
      <c r="M557" s="14" t="n">
        <f aca="true">$B$16+NORMINV(RAND(),0,SQRT($B$13*($B$7+$B$8^2))*$B$9*(1-$B$10))</f>
        <v>2926.34316825853</v>
      </c>
      <c r="N557" s="14" t="n">
        <f aca="true">$B$16+NORMINV(RAND(),0,SQRT($B$13*($B$7+$B$8^2))*$B$9*(1-$B$10))</f>
        <v>3833.34270634884</v>
      </c>
      <c r="O557" s="14" t="n">
        <f aca="true">$B$16+NORMINV(RAND(),0,SQRT($B$13*($B$7+$B$8^2))*$B$9*(1-$B$10))</f>
        <v>4301.28049381719</v>
      </c>
      <c r="P557" s="14" t="n">
        <f aca="true">$B$16+NORMINV(RAND(),0,SQRT($B$13*($B$7+$B$8^2))*$B$9*(1-$B$10))</f>
        <v>4081.10975194709</v>
      </c>
      <c r="Q557" s="14" t="n">
        <f aca="true">$B$16+NORMINV(RAND(),0,SQRT($B$13*($B$7+$B$8^2))*$B$9*(1-$B$10))</f>
        <v>4492.31455305779</v>
      </c>
      <c r="R557" s="14" t="n">
        <f aca="false">$B$4-13*($B$5+$B$6)/30-IF($B$11&lt;=13,$B$12,0)+0</f>
        <v>8876.66666666667</v>
      </c>
      <c r="S557" s="14" t="n">
        <f aca="false">$B$4-27*($B$5+$B$6)/30-IF($B$11&lt;=27,$B$12,0)+L557</f>
        <v>10702.6638989903</v>
      </c>
      <c r="T557" s="14" t="n">
        <f aca="false">$B$4-41*($B$5+$B$6)/30-IF($B$11&lt;=41,$B$12,0)+L557+M557</f>
        <v>157.540400582113</v>
      </c>
      <c r="U557" s="14" t="n">
        <f aca="false">$B$4-55*($B$5+$B$6)/30-IF($B$11&lt;=55,$B$12,0)+L557+M557+N557</f>
        <v>1704.21644026429</v>
      </c>
      <c r="V557" s="14" t="n">
        <f aca="false">$B$4-69*($B$5+$B$6)/30-IF($B$11&lt;=69,$B$12,0)+L557+M557+N557+O557</f>
        <v>3718.83026741482</v>
      </c>
      <c r="W557" s="14" t="n">
        <f aca="false">$B$4-83*($B$5+$B$6)/30-IF($B$11&lt;=83,$B$12,0)+L557+M557+N557+O557+P557</f>
        <v>5513.27335269524</v>
      </c>
      <c r="X557" s="14" t="n">
        <f aca="false">$B$4-90*($B$5+$B$6)/30-IF($B$11&lt;=90,$B$12,0)+L557+M557+N557+O557+P557+Q557</f>
        <v>8862.25457241969</v>
      </c>
      <c r="AA557" s="14" t="n">
        <f aca="false">MIN(R557:X557)</f>
        <v>157.540400582113</v>
      </c>
    </row>
    <row r="558" customFormat="false" ht="15" hidden="false" customHeight="false" outlineLevel="0" collapsed="false">
      <c r="K558" s="2" t="n">
        <v>553</v>
      </c>
      <c r="L558" s="14" t="n">
        <f aca="true">$B$16+NORMINV(RAND(),0,SQRT($B$13*($B$7+$B$8^2))*$B$9*(1-$B$10))</f>
        <v>4215.41808244439</v>
      </c>
      <c r="M558" s="14" t="n">
        <f aca="true">$B$16+NORMINV(RAND(),0,SQRT($B$13*($B$7+$B$8^2))*$B$9*(1-$B$10))</f>
        <v>3717.82079506198</v>
      </c>
      <c r="N558" s="14" t="n">
        <f aca="true">$B$16+NORMINV(RAND(),0,SQRT($B$13*($B$7+$B$8^2))*$B$9*(1-$B$10))</f>
        <v>4478.69776391128</v>
      </c>
      <c r="O558" s="14" t="n">
        <f aca="true">$B$16+NORMINV(RAND(),0,SQRT($B$13*($B$7+$B$8^2))*$B$9*(1-$B$10))</f>
        <v>4551.28107331989</v>
      </c>
      <c r="P558" s="14" t="n">
        <f aca="true">$B$16+NORMINV(RAND(),0,SQRT($B$13*($B$7+$B$8^2))*$B$9*(1-$B$10))</f>
        <v>4674.30898728622</v>
      </c>
      <c r="Q558" s="14" t="n">
        <f aca="true">$B$16+NORMINV(RAND(),0,SQRT($B$13*($B$7+$B$8^2))*$B$9*(1-$B$10))</f>
        <v>4016.46915629034</v>
      </c>
      <c r="R558" s="14" t="n">
        <f aca="false">$B$4-13*($B$5+$B$6)/30-IF($B$11&lt;=13,$B$12,0)+0</f>
        <v>8876.66666666667</v>
      </c>
      <c r="S558" s="14" t="n">
        <f aca="false">$B$4-27*($B$5+$B$6)/30-IF($B$11&lt;=27,$B$12,0)+L558</f>
        <v>10805.4180824444</v>
      </c>
      <c r="T558" s="14" t="n">
        <f aca="false">$B$4-41*($B$5+$B$6)/30-IF($B$11&lt;=41,$B$12,0)+L558+M558</f>
        <v>1051.7722108397</v>
      </c>
      <c r="U558" s="14" t="n">
        <f aca="false">$B$4-55*($B$5+$B$6)/30-IF($B$11&lt;=55,$B$12,0)+L558+M558+N558</f>
        <v>3243.80330808431</v>
      </c>
      <c r="V558" s="14" t="n">
        <f aca="false">$B$4-69*($B$5+$B$6)/30-IF($B$11&lt;=69,$B$12,0)+L558+M558+N558+O558</f>
        <v>5508.41771473753</v>
      </c>
      <c r="W558" s="14" t="n">
        <f aca="false">$B$4-83*($B$5+$B$6)/30-IF($B$11&lt;=83,$B$12,0)+L558+M558+N558+O558+P558</f>
        <v>7896.06003535708</v>
      </c>
      <c r="X558" s="14" t="n">
        <f aca="false">$B$4-90*($B$5+$B$6)/30-IF($B$11&lt;=90,$B$12,0)+L558+M558+N558+O558+P558+Q558</f>
        <v>10769.1958583141</v>
      </c>
      <c r="AA558" s="14" t="n">
        <f aca="false">MIN(R558:X558)</f>
        <v>1051.7722108397</v>
      </c>
    </row>
    <row r="559" customFormat="false" ht="15" hidden="false" customHeight="false" outlineLevel="0" collapsed="false">
      <c r="K559" s="2" t="n">
        <v>554</v>
      </c>
      <c r="L559" s="14" t="n">
        <f aca="true">$B$16+NORMINV(RAND(),0,SQRT($B$13*($B$7+$B$8^2))*$B$9*(1-$B$10))</f>
        <v>3678.93969236406</v>
      </c>
      <c r="M559" s="14" t="n">
        <f aca="true">$B$16+NORMINV(RAND(),0,SQRT($B$13*($B$7+$B$8^2))*$B$9*(1-$B$10))</f>
        <v>3287.90438577379</v>
      </c>
      <c r="N559" s="14" t="n">
        <f aca="true">$B$16+NORMINV(RAND(),0,SQRT($B$13*($B$7+$B$8^2))*$B$9*(1-$B$10))</f>
        <v>4009.49940489378</v>
      </c>
      <c r="O559" s="14" t="n">
        <f aca="true">$B$16+NORMINV(RAND(),0,SQRT($B$13*($B$7+$B$8^2))*$B$9*(1-$B$10))</f>
        <v>4045.53833984801</v>
      </c>
      <c r="P559" s="14" t="n">
        <f aca="true">$B$16+NORMINV(RAND(),0,SQRT($B$13*($B$7+$B$8^2))*$B$9*(1-$B$10))</f>
        <v>3945.34002078128</v>
      </c>
      <c r="Q559" s="14" t="n">
        <f aca="true">$B$16+NORMINV(RAND(),0,SQRT($B$13*($B$7+$B$8^2))*$B$9*(1-$B$10))</f>
        <v>4060.24543764369</v>
      </c>
      <c r="R559" s="14" t="n">
        <f aca="false">$B$4-13*($B$5+$B$6)/30-IF($B$11&lt;=13,$B$12,0)+0</f>
        <v>8876.66666666667</v>
      </c>
      <c r="S559" s="14" t="n">
        <f aca="false">$B$4-27*($B$5+$B$6)/30-IF($B$11&lt;=27,$B$12,0)+L559</f>
        <v>10268.9396923641</v>
      </c>
      <c r="T559" s="14" t="n">
        <f aca="false">$B$4-41*($B$5+$B$6)/30-IF($B$11&lt;=41,$B$12,0)+L559+M559</f>
        <v>85.3774114711823</v>
      </c>
      <c r="U559" s="14" t="n">
        <f aca="false">$B$4-55*($B$5+$B$6)/30-IF($B$11&lt;=55,$B$12,0)+L559+M559+N559</f>
        <v>1808.21014969829</v>
      </c>
      <c r="V559" s="14" t="n">
        <f aca="false">$B$4-69*($B$5+$B$6)/30-IF($B$11&lt;=69,$B$12,0)+L559+M559+N559+O559</f>
        <v>3567.08182287963</v>
      </c>
      <c r="W559" s="14" t="n">
        <f aca="false">$B$4-83*($B$5+$B$6)/30-IF($B$11&lt;=83,$B$12,0)+L559+M559+N559+O559+P559</f>
        <v>5225.75517699425</v>
      </c>
      <c r="X559" s="14" t="n">
        <f aca="false">$B$4-90*($B$5+$B$6)/30-IF($B$11&lt;=90,$B$12,0)+L559+M559+N559+O559+P559+Q559</f>
        <v>8142.6672813046</v>
      </c>
      <c r="AA559" s="14" t="n">
        <f aca="false">MIN(R559:X559)</f>
        <v>85.3774114711823</v>
      </c>
    </row>
    <row r="560" customFormat="false" ht="15" hidden="false" customHeight="false" outlineLevel="0" collapsed="false">
      <c r="K560" s="2" t="n">
        <v>555</v>
      </c>
      <c r="L560" s="14" t="n">
        <f aca="true">$B$16+NORMINV(RAND(),0,SQRT($B$13*($B$7+$B$8^2))*$B$9*(1-$B$10))</f>
        <v>4215.34327717444</v>
      </c>
      <c r="M560" s="14" t="n">
        <f aca="true">$B$16+NORMINV(RAND(),0,SQRT($B$13*($B$7+$B$8^2))*$B$9*(1-$B$10))</f>
        <v>4148.67185018431</v>
      </c>
      <c r="N560" s="14" t="n">
        <f aca="true">$B$16+NORMINV(RAND(),0,SQRT($B$13*($B$7+$B$8^2))*$B$9*(1-$B$10))</f>
        <v>4399.87068533709</v>
      </c>
      <c r="O560" s="14" t="n">
        <f aca="true">$B$16+NORMINV(RAND(),0,SQRT($B$13*($B$7+$B$8^2))*$B$9*(1-$B$10))</f>
        <v>3417.35104244824</v>
      </c>
      <c r="P560" s="14" t="n">
        <f aca="true">$B$16+NORMINV(RAND(),0,SQRT($B$13*($B$7+$B$8^2))*$B$9*(1-$B$10))</f>
        <v>4287.750562205</v>
      </c>
      <c r="Q560" s="14" t="n">
        <f aca="true">$B$16+NORMINV(RAND(),0,SQRT($B$13*($B$7+$B$8^2))*$B$9*(1-$B$10))</f>
        <v>3634.21580316896</v>
      </c>
      <c r="R560" s="14" t="n">
        <f aca="false">$B$4-13*($B$5+$B$6)/30-IF($B$11&lt;=13,$B$12,0)+0</f>
        <v>8876.66666666667</v>
      </c>
      <c r="S560" s="14" t="n">
        <f aca="false">$B$4-27*($B$5+$B$6)/30-IF($B$11&lt;=27,$B$12,0)+L560</f>
        <v>10805.3432771744</v>
      </c>
      <c r="T560" s="14" t="n">
        <f aca="false">$B$4-41*($B$5+$B$6)/30-IF($B$11&lt;=41,$B$12,0)+L560+M560</f>
        <v>1482.54846069207</v>
      </c>
      <c r="U560" s="14" t="n">
        <f aca="false">$B$4-55*($B$5+$B$6)/30-IF($B$11&lt;=55,$B$12,0)+L560+M560+N560</f>
        <v>3595.75247936249</v>
      </c>
      <c r="V560" s="14" t="n">
        <f aca="false">$B$4-69*($B$5+$B$6)/30-IF($B$11&lt;=69,$B$12,0)+L560+M560+N560+O560</f>
        <v>4726.43685514407</v>
      </c>
      <c r="W560" s="14" t="n">
        <f aca="false">$B$4-83*($B$5+$B$6)/30-IF($B$11&lt;=83,$B$12,0)+L560+M560+N560+O560+P560</f>
        <v>6727.5207506824</v>
      </c>
      <c r="X560" s="14" t="n">
        <f aca="false">$B$4-90*($B$5+$B$6)/30-IF($B$11&lt;=90,$B$12,0)+L560+M560+N560+O560+P560+Q560</f>
        <v>9218.40322051802</v>
      </c>
      <c r="AA560" s="14" t="n">
        <f aca="false">MIN(R560:X560)</f>
        <v>1482.54846069207</v>
      </c>
    </row>
    <row r="561" customFormat="false" ht="15" hidden="false" customHeight="false" outlineLevel="0" collapsed="false">
      <c r="K561" s="2" t="n">
        <v>556</v>
      </c>
      <c r="L561" s="14" t="n">
        <f aca="true">$B$16+NORMINV(RAND(),0,SQRT($B$13*($B$7+$B$8^2))*$B$9*(1-$B$10))</f>
        <v>3718.22182320291</v>
      </c>
      <c r="M561" s="14" t="n">
        <f aca="true">$B$16+NORMINV(RAND(),0,SQRT($B$13*($B$7+$B$8^2))*$B$9*(1-$B$10))</f>
        <v>4315.60085240989</v>
      </c>
      <c r="N561" s="14" t="n">
        <f aca="true">$B$16+NORMINV(RAND(),0,SQRT($B$13*($B$7+$B$8^2))*$B$9*(1-$B$10))</f>
        <v>3969.16227075971</v>
      </c>
      <c r="O561" s="14" t="n">
        <f aca="true">$B$16+NORMINV(RAND(),0,SQRT($B$13*($B$7+$B$8^2))*$B$9*(1-$B$10))</f>
        <v>3564.11058194617</v>
      </c>
      <c r="P561" s="14" t="n">
        <f aca="true">$B$16+NORMINV(RAND(),0,SQRT($B$13*($B$7+$B$8^2))*$B$9*(1-$B$10))</f>
        <v>4613.19578842316</v>
      </c>
      <c r="Q561" s="14" t="n">
        <f aca="true">$B$16+NORMINV(RAND(),0,SQRT($B$13*($B$7+$B$8^2))*$B$9*(1-$B$10))</f>
        <v>3872.74236136622</v>
      </c>
      <c r="R561" s="14" t="n">
        <f aca="false">$B$4-13*($B$5+$B$6)/30-IF($B$11&lt;=13,$B$12,0)+0</f>
        <v>8876.66666666667</v>
      </c>
      <c r="S561" s="14" t="n">
        <f aca="false">$B$4-27*($B$5+$B$6)/30-IF($B$11&lt;=27,$B$12,0)+L561</f>
        <v>10308.2218232029</v>
      </c>
      <c r="T561" s="14" t="n">
        <f aca="false">$B$4-41*($B$5+$B$6)/30-IF($B$11&lt;=41,$B$12,0)+L561+M561</f>
        <v>1152.35600894613</v>
      </c>
      <c r="U561" s="14" t="n">
        <f aca="false">$B$4-55*($B$5+$B$6)/30-IF($B$11&lt;=55,$B$12,0)+L561+M561+N561</f>
        <v>2834.85161303917</v>
      </c>
      <c r="V561" s="14" t="n">
        <f aca="false">$B$4-69*($B$5+$B$6)/30-IF($B$11&lt;=69,$B$12,0)+L561+M561+N561+O561</f>
        <v>4112.29552831867</v>
      </c>
      <c r="W561" s="14" t="n">
        <f aca="false">$B$4-83*($B$5+$B$6)/30-IF($B$11&lt;=83,$B$12,0)+L561+M561+N561+O561+P561</f>
        <v>6438.82465007516</v>
      </c>
      <c r="X561" s="14" t="n">
        <f aca="false">$B$4-90*($B$5+$B$6)/30-IF($B$11&lt;=90,$B$12,0)+L561+M561+N561+O561+P561+Q561</f>
        <v>9168.23367810805</v>
      </c>
      <c r="AA561" s="14" t="n">
        <f aca="false">MIN(R561:X561)</f>
        <v>1152.35600894613</v>
      </c>
    </row>
    <row r="562" customFormat="false" ht="15" hidden="false" customHeight="false" outlineLevel="0" collapsed="false">
      <c r="K562" s="2" t="n">
        <v>557</v>
      </c>
      <c r="L562" s="14" t="n">
        <f aca="true">$B$16+NORMINV(RAND(),0,SQRT($B$13*($B$7+$B$8^2))*$B$9*(1-$B$10))</f>
        <v>3677.76936060123</v>
      </c>
      <c r="M562" s="14" t="n">
        <f aca="true">$B$16+NORMINV(RAND(),0,SQRT($B$13*($B$7+$B$8^2))*$B$9*(1-$B$10))</f>
        <v>4171.80626621061</v>
      </c>
      <c r="N562" s="14" t="n">
        <f aca="true">$B$16+NORMINV(RAND(),0,SQRT($B$13*($B$7+$B$8^2))*$B$9*(1-$B$10))</f>
        <v>4169.72959386343</v>
      </c>
      <c r="O562" s="14" t="n">
        <f aca="true">$B$16+NORMINV(RAND(),0,SQRT($B$13*($B$7+$B$8^2))*$B$9*(1-$B$10))</f>
        <v>4209.46591959959</v>
      </c>
      <c r="P562" s="14" t="n">
        <f aca="true">$B$16+NORMINV(RAND(),0,SQRT($B$13*($B$7+$B$8^2))*$B$9*(1-$B$10))</f>
        <v>4345.78680450863</v>
      </c>
      <c r="Q562" s="14" t="n">
        <f aca="true">$B$16+NORMINV(RAND(),0,SQRT($B$13*($B$7+$B$8^2))*$B$9*(1-$B$10))</f>
        <v>3512.85002960467</v>
      </c>
      <c r="R562" s="14" t="n">
        <f aca="false">$B$4-13*($B$5+$B$6)/30-IF($B$11&lt;=13,$B$12,0)+0</f>
        <v>8876.66666666667</v>
      </c>
      <c r="S562" s="14" t="n">
        <f aca="false">$B$4-27*($B$5+$B$6)/30-IF($B$11&lt;=27,$B$12,0)+L562</f>
        <v>10267.7693606012</v>
      </c>
      <c r="T562" s="14" t="n">
        <f aca="false">$B$4-41*($B$5+$B$6)/30-IF($B$11&lt;=41,$B$12,0)+L562+M562</f>
        <v>968.108960145177</v>
      </c>
      <c r="U562" s="14" t="n">
        <f aca="false">$B$4-55*($B$5+$B$6)/30-IF($B$11&lt;=55,$B$12,0)+L562+M562+N562</f>
        <v>2851.17188734194</v>
      </c>
      <c r="V562" s="14" t="n">
        <f aca="false">$B$4-69*($B$5+$B$6)/30-IF($B$11&lt;=69,$B$12,0)+L562+M562+N562+O562</f>
        <v>4773.97114027486</v>
      </c>
      <c r="W562" s="14" t="n">
        <f aca="false">$B$4-83*($B$5+$B$6)/30-IF($B$11&lt;=83,$B$12,0)+L562+M562+N562+O562+P562</f>
        <v>6833.09127811682</v>
      </c>
      <c r="X562" s="14" t="n">
        <f aca="false">$B$4-90*($B$5+$B$6)/30-IF($B$11&lt;=90,$B$12,0)+L562+M562+N562+O562+P562+Q562</f>
        <v>9202.60797438816</v>
      </c>
      <c r="AA562" s="14" t="n">
        <f aca="false">MIN(R562:X562)</f>
        <v>968.108960145177</v>
      </c>
    </row>
    <row r="563" customFormat="false" ht="15" hidden="false" customHeight="false" outlineLevel="0" collapsed="false">
      <c r="K563" s="2" t="n">
        <v>558</v>
      </c>
      <c r="L563" s="14" t="n">
        <f aca="true">$B$16+NORMINV(RAND(),0,SQRT($B$13*($B$7+$B$8^2))*$B$9*(1-$B$10))</f>
        <v>3872.49107628794</v>
      </c>
      <c r="M563" s="14" t="n">
        <f aca="true">$B$16+NORMINV(RAND(),0,SQRT($B$13*($B$7+$B$8^2))*$B$9*(1-$B$10))</f>
        <v>3885.87628723885</v>
      </c>
      <c r="N563" s="14" t="n">
        <f aca="true">$B$16+NORMINV(RAND(),0,SQRT($B$13*($B$7+$B$8^2))*$B$9*(1-$B$10))</f>
        <v>3794.68470775458</v>
      </c>
      <c r="O563" s="14" t="n">
        <f aca="true">$B$16+NORMINV(RAND(),0,SQRT($B$13*($B$7+$B$8^2))*$B$9*(1-$B$10))</f>
        <v>4018.39872116217</v>
      </c>
      <c r="P563" s="14" t="n">
        <f aca="true">$B$16+NORMINV(RAND(),0,SQRT($B$13*($B$7+$B$8^2))*$B$9*(1-$B$10))</f>
        <v>3750.95511456166</v>
      </c>
      <c r="Q563" s="14" t="n">
        <f aca="true">$B$16+NORMINV(RAND(),0,SQRT($B$13*($B$7+$B$8^2))*$B$9*(1-$B$10))</f>
        <v>4475.94249304432</v>
      </c>
      <c r="R563" s="14" t="n">
        <f aca="false">$B$4-13*($B$5+$B$6)/30-IF($B$11&lt;=13,$B$12,0)+0</f>
        <v>8876.66666666667</v>
      </c>
      <c r="S563" s="14" t="n">
        <f aca="false">$B$4-27*($B$5+$B$6)/30-IF($B$11&lt;=27,$B$12,0)+L563</f>
        <v>10462.4910762879</v>
      </c>
      <c r="T563" s="14" t="n">
        <f aca="false">$B$4-41*($B$5+$B$6)/30-IF($B$11&lt;=41,$B$12,0)+L563+M563</f>
        <v>876.900696860123</v>
      </c>
      <c r="U563" s="14" t="n">
        <f aca="false">$B$4-55*($B$5+$B$6)/30-IF($B$11&lt;=55,$B$12,0)+L563+M563+N563</f>
        <v>2384.91873794804</v>
      </c>
      <c r="V563" s="14" t="n">
        <f aca="false">$B$4-69*($B$5+$B$6)/30-IF($B$11&lt;=69,$B$12,0)+L563+M563+N563+O563</f>
        <v>4116.65079244355</v>
      </c>
      <c r="W563" s="14" t="n">
        <f aca="false">$B$4-83*($B$5+$B$6)/30-IF($B$11&lt;=83,$B$12,0)+L563+M563+N563+O563+P563</f>
        <v>5580.93924033854</v>
      </c>
      <c r="X563" s="14" t="n">
        <f aca="false">$B$4-90*($B$5+$B$6)/30-IF($B$11&lt;=90,$B$12,0)+L563+M563+N563+O563+P563+Q563</f>
        <v>8913.54840004952</v>
      </c>
      <c r="AA563" s="14" t="n">
        <f aca="false">MIN(R563:X563)</f>
        <v>876.900696860123</v>
      </c>
    </row>
    <row r="564" customFormat="false" ht="15" hidden="false" customHeight="false" outlineLevel="0" collapsed="false">
      <c r="K564" s="2" t="n">
        <v>559</v>
      </c>
      <c r="L564" s="14" t="n">
        <f aca="true">$B$16+NORMINV(RAND(),0,SQRT($B$13*($B$7+$B$8^2))*$B$9*(1-$B$10))</f>
        <v>4654.69535248905</v>
      </c>
      <c r="M564" s="14" t="n">
        <f aca="true">$B$16+NORMINV(RAND(),0,SQRT($B$13*($B$7+$B$8^2))*$B$9*(1-$B$10))</f>
        <v>4644.77154431647</v>
      </c>
      <c r="N564" s="14" t="n">
        <f aca="true">$B$16+NORMINV(RAND(),0,SQRT($B$13*($B$7+$B$8^2))*$B$9*(1-$B$10))</f>
        <v>4266.34433727394</v>
      </c>
      <c r="O564" s="14" t="n">
        <f aca="true">$B$16+NORMINV(RAND(),0,SQRT($B$13*($B$7+$B$8^2))*$B$9*(1-$B$10))</f>
        <v>3694.58284561542</v>
      </c>
      <c r="P564" s="14" t="n">
        <f aca="true">$B$16+NORMINV(RAND(),0,SQRT($B$13*($B$7+$B$8^2))*$B$9*(1-$B$10))</f>
        <v>3893.00286858545</v>
      </c>
      <c r="Q564" s="14" t="n">
        <f aca="true">$B$16+NORMINV(RAND(),0,SQRT($B$13*($B$7+$B$8^2))*$B$9*(1-$B$10))</f>
        <v>3849.72297996523</v>
      </c>
      <c r="R564" s="14" t="n">
        <f aca="false">$B$4-13*($B$5+$B$6)/30-IF($B$11&lt;=13,$B$12,0)+0</f>
        <v>8876.66666666667</v>
      </c>
      <c r="S564" s="14" t="n">
        <f aca="false">$B$4-27*($B$5+$B$6)/30-IF($B$11&lt;=27,$B$12,0)+L564</f>
        <v>11244.695352489</v>
      </c>
      <c r="T564" s="14" t="n">
        <f aca="false">$B$4-41*($B$5+$B$6)/30-IF($B$11&lt;=41,$B$12,0)+L564+M564</f>
        <v>2418.00023013884</v>
      </c>
      <c r="U564" s="14" t="n">
        <f aca="false">$B$4-55*($B$5+$B$6)/30-IF($B$11&lt;=55,$B$12,0)+L564+M564+N564</f>
        <v>4397.67790074612</v>
      </c>
      <c r="V564" s="14" t="n">
        <f aca="false">$B$4-69*($B$5+$B$6)/30-IF($B$11&lt;=69,$B$12,0)+L564+M564+N564+O564</f>
        <v>5805.59407969487</v>
      </c>
      <c r="W564" s="14" t="n">
        <f aca="false">$B$4-83*($B$5+$B$6)/30-IF($B$11&lt;=83,$B$12,0)+L564+M564+N564+O564+P564</f>
        <v>7411.93028161365</v>
      </c>
      <c r="X564" s="14" t="n">
        <f aca="false">$B$4-90*($B$5+$B$6)/30-IF($B$11&lt;=90,$B$12,0)+L564+M564+N564+O564+P564+Q564</f>
        <v>10118.3199282456</v>
      </c>
      <c r="AA564" s="14" t="n">
        <f aca="false">MIN(R564:X564)</f>
        <v>2418.00023013884</v>
      </c>
    </row>
    <row r="565" customFormat="false" ht="15" hidden="false" customHeight="false" outlineLevel="0" collapsed="false">
      <c r="K565" s="2" t="n">
        <v>560</v>
      </c>
      <c r="L565" s="14" t="n">
        <f aca="true">$B$16+NORMINV(RAND(),0,SQRT($B$13*($B$7+$B$8^2))*$B$9*(1-$B$10))</f>
        <v>3694.89992084625</v>
      </c>
      <c r="M565" s="14" t="n">
        <f aca="true">$B$16+NORMINV(RAND(),0,SQRT($B$13*($B$7+$B$8^2))*$B$9*(1-$B$10))</f>
        <v>4354.59724489066</v>
      </c>
      <c r="N565" s="14" t="n">
        <f aca="true">$B$16+NORMINV(RAND(),0,SQRT($B$13*($B$7+$B$8^2))*$B$9*(1-$B$10))</f>
        <v>4807.87934219154</v>
      </c>
      <c r="O565" s="14" t="n">
        <f aca="true">$B$16+NORMINV(RAND(),0,SQRT($B$13*($B$7+$B$8^2))*$B$9*(1-$B$10))</f>
        <v>4245.71455793506</v>
      </c>
      <c r="P565" s="14" t="n">
        <f aca="true">$B$16+NORMINV(RAND(),0,SQRT($B$13*($B$7+$B$8^2))*$B$9*(1-$B$10))</f>
        <v>3576.88416311332</v>
      </c>
      <c r="Q565" s="14" t="n">
        <f aca="true">$B$16+NORMINV(RAND(),0,SQRT($B$13*($B$7+$B$8^2))*$B$9*(1-$B$10))</f>
        <v>4121.44266251199</v>
      </c>
      <c r="R565" s="14" t="n">
        <f aca="false">$B$4-13*($B$5+$B$6)/30-IF($B$11&lt;=13,$B$12,0)+0</f>
        <v>8876.66666666667</v>
      </c>
      <c r="S565" s="14" t="n">
        <f aca="false">$B$4-27*($B$5+$B$6)/30-IF($B$11&lt;=27,$B$12,0)+L565</f>
        <v>10284.8999208463</v>
      </c>
      <c r="T565" s="14" t="n">
        <f aca="false">$B$4-41*($B$5+$B$6)/30-IF($B$11&lt;=41,$B$12,0)+L565+M565</f>
        <v>1168.03049907024</v>
      </c>
      <c r="U565" s="14" t="n">
        <f aca="false">$B$4-55*($B$5+$B$6)/30-IF($B$11&lt;=55,$B$12,0)+L565+M565+N565</f>
        <v>3689.24317459511</v>
      </c>
      <c r="V565" s="14" t="n">
        <f aca="false">$B$4-69*($B$5+$B$6)/30-IF($B$11&lt;=69,$B$12,0)+L565+M565+N565+O565</f>
        <v>5648.29106586351</v>
      </c>
      <c r="W565" s="14" t="n">
        <f aca="false">$B$4-83*($B$5+$B$6)/30-IF($B$11&lt;=83,$B$12,0)+L565+M565+N565+O565+P565</f>
        <v>6938.50856231017</v>
      </c>
      <c r="X565" s="14" t="n">
        <f aca="false">$B$4-90*($B$5+$B$6)/30-IF($B$11&lt;=90,$B$12,0)+L565+M565+N565+O565+P565+Q565</f>
        <v>9916.61789148882</v>
      </c>
      <c r="AA565" s="14" t="n">
        <f aca="false">MIN(R565:X565)</f>
        <v>1168.03049907024</v>
      </c>
    </row>
    <row r="566" customFormat="false" ht="15" hidden="false" customHeight="false" outlineLevel="0" collapsed="false">
      <c r="K566" s="2" t="n">
        <v>561</v>
      </c>
      <c r="L566" s="14" t="n">
        <f aca="true">$B$16+NORMINV(RAND(),0,SQRT($B$13*($B$7+$B$8^2))*$B$9*(1-$B$10))</f>
        <v>3747.34661459112</v>
      </c>
      <c r="M566" s="14" t="n">
        <f aca="true">$B$16+NORMINV(RAND(),0,SQRT($B$13*($B$7+$B$8^2))*$B$9*(1-$B$10))</f>
        <v>3842.0147183503</v>
      </c>
      <c r="N566" s="14" t="n">
        <f aca="true">$B$16+NORMINV(RAND(),0,SQRT($B$13*($B$7+$B$8^2))*$B$9*(1-$B$10))</f>
        <v>3451.59442714514</v>
      </c>
      <c r="O566" s="14" t="n">
        <f aca="true">$B$16+NORMINV(RAND(),0,SQRT($B$13*($B$7+$B$8^2))*$B$9*(1-$B$10))</f>
        <v>3838.64284186287</v>
      </c>
      <c r="P566" s="14" t="n">
        <f aca="true">$B$16+NORMINV(RAND(),0,SQRT($B$13*($B$7+$B$8^2))*$B$9*(1-$B$10))</f>
        <v>3925.66691208796</v>
      </c>
      <c r="Q566" s="14" t="n">
        <f aca="true">$B$16+NORMINV(RAND(),0,SQRT($B$13*($B$7+$B$8^2))*$B$9*(1-$B$10))</f>
        <v>3875.36231288192</v>
      </c>
      <c r="R566" s="14" t="n">
        <f aca="false">$B$4-13*($B$5+$B$6)/30-IF($B$11&lt;=13,$B$12,0)+0</f>
        <v>8876.66666666667</v>
      </c>
      <c r="S566" s="14" t="n">
        <f aca="false">$B$4-27*($B$5+$B$6)/30-IF($B$11&lt;=27,$B$12,0)+L566</f>
        <v>10337.3466145911</v>
      </c>
      <c r="T566" s="14" t="n">
        <f aca="false">$B$4-41*($B$5+$B$6)/30-IF($B$11&lt;=41,$B$12,0)+L566+M566</f>
        <v>707.894666274754</v>
      </c>
      <c r="U566" s="14" t="n">
        <f aca="false">$B$4-55*($B$5+$B$6)/30-IF($B$11&lt;=55,$B$12,0)+L566+M566+N566</f>
        <v>1872.82242675322</v>
      </c>
      <c r="V566" s="14" t="n">
        <f aca="false">$B$4-69*($B$5+$B$6)/30-IF($B$11&lt;=69,$B$12,0)+L566+M566+N566+O566</f>
        <v>3424.79860194943</v>
      </c>
      <c r="W566" s="14" t="n">
        <f aca="false">$B$4-83*($B$5+$B$6)/30-IF($B$11&lt;=83,$B$12,0)+L566+M566+N566+O566+P566</f>
        <v>5063.79884737072</v>
      </c>
      <c r="X566" s="14" t="n">
        <f aca="false">$B$4-90*($B$5+$B$6)/30-IF($B$11&lt;=90,$B$12,0)+L566+M566+N566+O566+P566+Q566</f>
        <v>7795.82782691931</v>
      </c>
      <c r="AA566" s="14" t="n">
        <f aca="false">MIN(R566:X566)</f>
        <v>707.894666274754</v>
      </c>
    </row>
    <row r="567" customFormat="false" ht="15" hidden="false" customHeight="false" outlineLevel="0" collapsed="false">
      <c r="K567" s="2" t="n">
        <v>562</v>
      </c>
      <c r="L567" s="14" t="n">
        <f aca="true">$B$16+NORMINV(RAND(),0,SQRT($B$13*($B$7+$B$8^2))*$B$9*(1-$B$10))</f>
        <v>3967.92644322838</v>
      </c>
      <c r="M567" s="14" t="n">
        <f aca="true">$B$16+NORMINV(RAND(),0,SQRT($B$13*($B$7+$B$8^2))*$B$9*(1-$B$10))</f>
        <v>4059.90498270104</v>
      </c>
      <c r="N567" s="14" t="n">
        <f aca="true">$B$16+NORMINV(RAND(),0,SQRT($B$13*($B$7+$B$8^2))*$B$9*(1-$B$10))</f>
        <v>3362.97655511928</v>
      </c>
      <c r="O567" s="14" t="n">
        <f aca="true">$B$16+NORMINV(RAND(),0,SQRT($B$13*($B$7+$B$8^2))*$B$9*(1-$B$10))</f>
        <v>4391.19999317015</v>
      </c>
      <c r="P567" s="14" t="n">
        <f aca="true">$B$16+NORMINV(RAND(),0,SQRT($B$13*($B$7+$B$8^2))*$B$9*(1-$B$10))</f>
        <v>3559.34966339595</v>
      </c>
      <c r="Q567" s="14" t="n">
        <f aca="true">$B$16+NORMINV(RAND(),0,SQRT($B$13*($B$7+$B$8^2))*$B$9*(1-$B$10))</f>
        <v>4787.33963057426</v>
      </c>
      <c r="R567" s="14" t="n">
        <f aca="false">$B$4-13*($B$5+$B$6)/30-IF($B$11&lt;=13,$B$12,0)+0</f>
        <v>8876.66666666667</v>
      </c>
      <c r="S567" s="14" t="n">
        <f aca="false">$B$4-27*($B$5+$B$6)/30-IF($B$11&lt;=27,$B$12,0)+L567</f>
        <v>10557.9264432284</v>
      </c>
      <c r="T567" s="14" t="n">
        <f aca="false">$B$4-41*($B$5+$B$6)/30-IF($B$11&lt;=41,$B$12,0)+L567+M567</f>
        <v>1146.36475926276</v>
      </c>
      <c r="U567" s="14" t="n">
        <f aca="false">$B$4-55*($B$5+$B$6)/30-IF($B$11&lt;=55,$B$12,0)+L567+M567+N567</f>
        <v>2222.67464771537</v>
      </c>
      <c r="V567" s="14" t="n">
        <f aca="false">$B$4-69*($B$5+$B$6)/30-IF($B$11&lt;=69,$B$12,0)+L567+M567+N567+O567</f>
        <v>4327.20797421885</v>
      </c>
      <c r="W567" s="14" t="n">
        <f aca="false">$B$4-83*($B$5+$B$6)/30-IF($B$11&lt;=83,$B$12,0)+L567+M567+N567+O567+P567</f>
        <v>5599.89097094813</v>
      </c>
      <c r="X567" s="14" t="n">
        <f aca="false">$B$4-90*($B$5+$B$6)/30-IF($B$11&lt;=90,$B$12,0)+L567+M567+N567+O567+P567+Q567</f>
        <v>9243.89726818906</v>
      </c>
      <c r="AA567" s="14" t="n">
        <f aca="false">MIN(R567:X567)</f>
        <v>1146.36475926276</v>
      </c>
    </row>
    <row r="568" customFormat="false" ht="15" hidden="false" customHeight="false" outlineLevel="0" collapsed="false">
      <c r="K568" s="2" t="n">
        <v>563</v>
      </c>
      <c r="L568" s="14" t="n">
        <f aca="true">$B$16+NORMINV(RAND(),0,SQRT($B$13*($B$7+$B$8^2))*$B$9*(1-$B$10))</f>
        <v>4900.13862987929</v>
      </c>
      <c r="M568" s="14" t="n">
        <f aca="true">$B$16+NORMINV(RAND(),0,SQRT($B$13*($B$7+$B$8^2))*$B$9*(1-$B$10))</f>
        <v>4145.61294749366</v>
      </c>
      <c r="N568" s="14" t="n">
        <f aca="true">$B$16+NORMINV(RAND(),0,SQRT($B$13*($B$7+$B$8^2))*$B$9*(1-$B$10))</f>
        <v>4370.77950323289</v>
      </c>
      <c r="O568" s="14" t="n">
        <f aca="true">$B$16+NORMINV(RAND(),0,SQRT($B$13*($B$7+$B$8^2))*$B$9*(1-$B$10))</f>
        <v>3469.58698496921</v>
      </c>
      <c r="P568" s="14" t="n">
        <f aca="true">$B$16+NORMINV(RAND(),0,SQRT($B$13*($B$7+$B$8^2))*$B$9*(1-$B$10))</f>
        <v>4369.57348988411</v>
      </c>
      <c r="Q568" s="14" t="n">
        <f aca="true">$B$16+NORMINV(RAND(),0,SQRT($B$13*($B$7+$B$8^2))*$B$9*(1-$B$10))</f>
        <v>4119.91517734279</v>
      </c>
      <c r="R568" s="14" t="n">
        <f aca="false">$B$4-13*($B$5+$B$6)/30-IF($B$11&lt;=13,$B$12,0)+0</f>
        <v>8876.66666666667</v>
      </c>
      <c r="S568" s="14" t="n">
        <f aca="false">$B$4-27*($B$5+$B$6)/30-IF($B$11&lt;=27,$B$12,0)+L568</f>
        <v>11490.1386298793</v>
      </c>
      <c r="T568" s="14" t="n">
        <f aca="false">$B$4-41*($B$5+$B$6)/30-IF($B$11&lt;=41,$B$12,0)+L568+M568</f>
        <v>2164.28491070628</v>
      </c>
      <c r="U568" s="14" t="n">
        <f aca="false">$B$4-55*($B$5+$B$6)/30-IF($B$11&lt;=55,$B$12,0)+L568+M568+N568</f>
        <v>4248.3977472725</v>
      </c>
      <c r="V568" s="14" t="n">
        <f aca="false">$B$4-69*($B$5+$B$6)/30-IF($B$11&lt;=69,$B$12,0)+L568+M568+N568+O568</f>
        <v>5431.31806557504</v>
      </c>
      <c r="W568" s="14" t="n">
        <f aca="false">$B$4-83*($B$5+$B$6)/30-IF($B$11&lt;=83,$B$12,0)+L568+M568+N568+O568+P568</f>
        <v>7514.22488879248</v>
      </c>
      <c r="X568" s="14" t="n">
        <f aca="false">$B$4-90*($B$5+$B$6)/30-IF($B$11&lt;=90,$B$12,0)+L568+M568+N568+O568+P568+Q568</f>
        <v>10490.8067328019</v>
      </c>
      <c r="AA568" s="14" t="n">
        <f aca="false">MIN(R568:X568)</f>
        <v>2164.28491070628</v>
      </c>
    </row>
    <row r="569" customFormat="false" ht="15" hidden="false" customHeight="false" outlineLevel="0" collapsed="false">
      <c r="K569" s="2" t="n">
        <v>564</v>
      </c>
      <c r="L569" s="14" t="n">
        <f aca="true">$B$16+NORMINV(RAND(),0,SQRT($B$13*($B$7+$B$8^2))*$B$9*(1-$B$10))</f>
        <v>4153.26686892883</v>
      </c>
      <c r="M569" s="14" t="n">
        <f aca="true">$B$16+NORMINV(RAND(),0,SQRT($B$13*($B$7+$B$8^2))*$B$9*(1-$B$10))</f>
        <v>3819.88927213054</v>
      </c>
      <c r="N569" s="14" t="n">
        <f aca="true">$B$16+NORMINV(RAND(),0,SQRT($B$13*($B$7+$B$8^2))*$B$9*(1-$B$10))</f>
        <v>3715.57090150902</v>
      </c>
      <c r="O569" s="14" t="n">
        <f aca="true">$B$16+NORMINV(RAND(),0,SQRT($B$13*($B$7+$B$8^2))*$B$9*(1-$B$10))</f>
        <v>3551.07603010767</v>
      </c>
      <c r="P569" s="14" t="n">
        <f aca="true">$B$16+NORMINV(RAND(),0,SQRT($B$13*($B$7+$B$8^2))*$B$9*(1-$B$10))</f>
        <v>4182.66810011265</v>
      </c>
      <c r="Q569" s="14" t="n">
        <f aca="true">$B$16+NORMINV(RAND(),0,SQRT($B$13*($B$7+$B$8^2))*$B$9*(1-$B$10))</f>
        <v>4184.75458774357</v>
      </c>
      <c r="R569" s="14" t="n">
        <f aca="false">$B$4-13*($B$5+$B$6)/30-IF($B$11&lt;=13,$B$12,0)+0</f>
        <v>8876.66666666667</v>
      </c>
      <c r="S569" s="14" t="n">
        <f aca="false">$B$4-27*($B$5+$B$6)/30-IF($B$11&lt;=27,$B$12,0)+L569</f>
        <v>10743.2668689288</v>
      </c>
      <c r="T569" s="14" t="n">
        <f aca="false">$B$4-41*($B$5+$B$6)/30-IF($B$11&lt;=41,$B$12,0)+L569+M569</f>
        <v>1091.6894743927</v>
      </c>
      <c r="U569" s="14" t="n">
        <f aca="false">$B$4-55*($B$5+$B$6)/30-IF($B$11&lt;=55,$B$12,0)+L569+M569+N569</f>
        <v>2520.59370923506</v>
      </c>
      <c r="V569" s="14" t="n">
        <f aca="false">$B$4-69*($B$5+$B$6)/30-IF($B$11&lt;=69,$B$12,0)+L569+M569+N569+O569</f>
        <v>3785.00307267606</v>
      </c>
      <c r="W569" s="14" t="n">
        <f aca="false">$B$4-83*($B$5+$B$6)/30-IF($B$11&lt;=83,$B$12,0)+L569+M569+N569+O569+P569</f>
        <v>5681.00450612205</v>
      </c>
      <c r="X569" s="14" t="n">
        <f aca="false">$B$4-90*($B$5+$B$6)/30-IF($B$11&lt;=90,$B$12,0)+L569+M569+N569+O569+P569+Q569</f>
        <v>8722.42576053229</v>
      </c>
      <c r="AA569" s="14" t="n">
        <f aca="false">MIN(R569:X569)</f>
        <v>1091.6894743927</v>
      </c>
    </row>
    <row r="570" customFormat="false" ht="15" hidden="false" customHeight="false" outlineLevel="0" collapsed="false">
      <c r="K570" s="2" t="n">
        <v>565</v>
      </c>
      <c r="L570" s="14" t="n">
        <f aca="true">$B$16+NORMINV(RAND(),0,SQRT($B$13*($B$7+$B$8^2))*$B$9*(1-$B$10))</f>
        <v>3560.28054965288</v>
      </c>
      <c r="M570" s="14" t="n">
        <f aca="true">$B$16+NORMINV(RAND(),0,SQRT($B$13*($B$7+$B$8^2))*$B$9*(1-$B$10))</f>
        <v>4133.81307875629</v>
      </c>
      <c r="N570" s="14" t="n">
        <f aca="true">$B$16+NORMINV(RAND(),0,SQRT($B$13*($B$7+$B$8^2))*$B$9*(1-$B$10))</f>
        <v>3601.66278706502</v>
      </c>
      <c r="O570" s="14" t="n">
        <f aca="true">$B$16+NORMINV(RAND(),0,SQRT($B$13*($B$7+$B$8^2))*$B$9*(1-$B$10))</f>
        <v>4637.26949523341</v>
      </c>
      <c r="P570" s="14" t="n">
        <f aca="true">$B$16+NORMINV(RAND(),0,SQRT($B$13*($B$7+$B$8^2))*$B$9*(1-$B$10))</f>
        <v>4629.97413574484</v>
      </c>
      <c r="Q570" s="14" t="n">
        <f aca="true">$B$16+NORMINV(RAND(),0,SQRT($B$13*($B$7+$B$8^2))*$B$9*(1-$B$10))</f>
        <v>3948.83699059873</v>
      </c>
      <c r="R570" s="14" t="n">
        <f aca="false">$B$4-13*($B$5+$B$6)/30-IF($B$11&lt;=13,$B$12,0)+0</f>
        <v>8876.66666666667</v>
      </c>
      <c r="S570" s="14" t="n">
        <f aca="false">$B$4-27*($B$5+$B$6)/30-IF($B$11&lt;=27,$B$12,0)+L570</f>
        <v>10150.2805496529</v>
      </c>
      <c r="T570" s="14" t="n">
        <f aca="false">$B$4-41*($B$5+$B$6)/30-IF($B$11&lt;=41,$B$12,0)+L570+M570</f>
        <v>812.6269617425</v>
      </c>
      <c r="U570" s="14" t="n">
        <f aca="false">$B$4-55*($B$5+$B$6)/30-IF($B$11&lt;=55,$B$12,0)+L570+M570+N570</f>
        <v>2127.62308214086</v>
      </c>
      <c r="V570" s="14" t="n">
        <f aca="false">$B$4-69*($B$5+$B$6)/30-IF($B$11&lt;=69,$B$12,0)+L570+M570+N570+O570</f>
        <v>4478.2259107076</v>
      </c>
      <c r="W570" s="14" t="n">
        <f aca="false">$B$4-83*($B$5+$B$6)/30-IF($B$11&lt;=83,$B$12,0)+L570+M570+N570+O570+P570</f>
        <v>6821.53337978577</v>
      </c>
      <c r="X570" s="14" t="n">
        <f aca="false">$B$4-90*($B$5+$B$6)/30-IF($B$11&lt;=90,$B$12,0)+L570+M570+N570+O570+P570+Q570</f>
        <v>9627.03703705116</v>
      </c>
      <c r="AA570" s="14" t="n">
        <f aca="false">MIN(R570:X570)</f>
        <v>812.6269617425</v>
      </c>
    </row>
    <row r="571" customFormat="false" ht="15" hidden="false" customHeight="false" outlineLevel="0" collapsed="false">
      <c r="K571" s="2" t="n">
        <v>566</v>
      </c>
      <c r="L571" s="14" t="n">
        <f aca="true">$B$16+NORMINV(RAND(),0,SQRT($B$13*($B$7+$B$8^2))*$B$9*(1-$B$10))</f>
        <v>3555.69753913832</v>
      </c>
      <c r="M571" s="14" t="n">
        <f aca="true">$B$16+NORMINV(RAND(),0,SQRT($B$13*($B$7+$B$8^2))*$B$9*(1-$B$10))</f>
        <v>4204.50823442467</v>
      </c>
      <c r="N571" s="14" t="n">
        <f aca="true">$B$16+NORMINV(RAND(),0,SQRT($B$13*($B$7+$B$8^2))*$B$9*(1-$B$10))</f>
        <v>3605.26123339665</v>
      </c>
      <c r="O571" s="14" t="n">
        <f aca="true">$B$16+NORMINV(RAND(),0,SQRT($B$13*($B$7+$B$8^2))*$B$9*(1-$B$10))</f>
        <v>4045.62449131202</v>
      </c>
      <c r="P571" s="14" t="n">
        <f aca="true">$B$16+NORMINV(RAND(),0,SQRT($B$13*($B$7+$B$8^2))*$B$9*(1-$B$10))</f>
        <v>3629.32253583336</v>
      </c>
      <c r="Q571" s="14" t="n">
        <f aca="true">$B$16+NORMINV(RAND(),0,SQRT($B$13*($B$7+$B$8^2))*$B$9*(1-$B$10))</f>
        <v>4323.71082576023</v>
      </c>
      <c r="R571" s="14" t="n">
        <f aca="false">$B$4-13*($B$5+$B$6)/30-IF($B$11&lt;=13,$B$12,0)+0</f>
        <v>8876.66666666667</v>
      </c>
      <c r="S571" s="14" t="n">
        <f aca="false">$B$4-27*($B$5+$B$6)/30-IF($B$11&lt;=27,$B$12,0)+L571</f>
        <v>10145.6975391383</v>
      </c>
      <c r="T571" s="14" t="n">
        <f aca="false">$B$4-41*($B$5+$B$6)/30-IF($B$11&lt;=41,$B$12,0)+L571+M571</f>
        <v>878.739106896319</v>
      </c>
      <c r="U571" s="14" t="n">
        <f aca="false">$B$4-55*($B$5+$B$6)/30-IF($B$11&lt;=55,$B$12,0)+L571+M571+N571</f>
        <v>2197.3336736263</v>
      </c>
      <c r="V571" s="14" t="n">
        <f aca="false">$B$4-69*($B$5+$B$6)/30-IF($B$11&lt;=69,$B$12,0)+L571+M571+N571+O571</f>
        <v>3956.29149827166</v>
      </c>
      <c r="W571" s="14" t="n">
        <f aca="false">$B$4-83*($B$5+$B$6)/30-IF($B$11&lt;=83,$B$12,0)+L571+M571+N571+O571+P571</f>
        <v>5298.94736743835</v>
      </c>
      <c r="X571" s="14" t="n">
        <f aca="false">$B$4-90*($B$5+$B$6)/30-IF($B$11&lt;=90,$B$12,0)+L571+M571+N571+O571+P571+Q571</f>
        <v>8479.32485986525</v>
      </c>
      <c r="AA571" s="14" t="n">
        <f aca="false">MIN(R571:X571)</f>
        <v>878.739106896319</v>
      </c>
    </row>
    <row r="572" customFormat="false" ht="15" hidden="false" customHeight="false" outlineLevel="0" collapsed="false">
      <c r="K572" s="2" t="n">
        <v>567</v>
      </c>
      <c r="L572" s="14" t="n">
        <f aca="true">$B$16+NORMINV(RAND(),0,SQRT($B$13*($B$7+$B$8^2))*$B$9*(1-$B$10))</f>
        <v>3636.43932041745</v>
      </c>
      <c r="M572" s="14" t="n">
        <f aca="true">$B$16+NORMINV(RAND(),0,SQRT($B$13*($B$7+$B$8^2))*$B$9*(1-$B$10))</f>
        <v>4188.00591874339</v>
      </c>
      <c r="N572" s="14" t="n">
        <f aca="true">$B$16+NORMINV(RAND(),0,SQRT($B$13*($B$7+$B$8^2))*$B$9*(1-$B$10))</f>
        <v>4148.30614602541</v>
      </c>
      <c r="O572" s="14" t="n">
        <f aca="true">$B$16+NORMINV(RAND(),0,SQRT($B$13*($B$7+$B$8^2))*$B$9*(1-$B$10))</f>
        <v>3309.02033398558</v>
      </c>
      <c r="P572" s="14" t="n">
        <f aca="true">$B$16+NORMINV(RAND(),0,SQRT($B$13*($B$7+$B$8^2))*$B$9*(1-$B$10))</f>
        <v>3701.83539437574</v>
      </c>
      <c r="Q572" s="14" t="n">
        <f aca="true">$B$16+NORMINV(RAND(),0,SQRT($B$13*($B$7+$B$8^2))*$B$9*(1-$B$10))</f>
        <v>4445.73342311392</v>
      </c>
      <c r="R572" s="14" t="n">
        <f aca="false">$B$4-13*($B$5+$B$6)/30-IF($B$11&lt;=13,$B$12,0)+0</f>
        <v>8876.66666666667</v>
      </c>
      <c r="S572" s="14" t="n">
        <f aca="false">$B$4-27*($B$5+$B$6)/30-IF($B$11&lt;=27,$B$12,0)+L572</f>
        <v>10226.4393204175</v>
      </c>
      <c r="T572" s="14" t="n">
        <f aca="false">$B$4-41*($B$5+$B$6)/30-IF($B$11&lt;=41,$B$12,0)+L572+M572</f>
        <v>942.978572494174</v>
      </c>
      <c r="U572" s="14" t="n">
        <f aca="false">$B$4-55*($B$5+$B$6)/30-IF($B$11&lt;=55,$B$12,0)+L572+M572+N572</f>
        <v>2804.61805185292</v>
      </c>
      <c r="V572" s="14" t="n">
        <f aca="false">$B$4-69*($B$5+$B$6)/30-IF($B$11&lt;=69,$B$12,0)+L572+M572+N572+O572</f>
        <v>3826.97171917183</v>
      </c>
      <c r="W572" s="14" t="n">
        <f aca="false">$B$4-83*($B$5+$B$6)/30-IF($B$11&lt;=83,$B$12,0)+L572+M572+N572+O572+P572</f>
        <v>5242.14044688091</v>
      </c>
      <c r="X572" s="14" t="n">
        <f aca="false">$B$4-90*($B$5+$B$6)/30-IF($B$11&lt;=90,$B$12,0)+L572+M572+N572+O572+P572+Q572</f>
        <v>8544.5405366615</v>
      </c>
      <c r="AA572" s="14" t="n">
        <f aca="false">MIN(R572:X572)</f>
        <v>942.978572494174</v>
      </c>
    </row>
    <row r="573" customFormat="false" ht="15" hidden="false" customHeight="false" outlineLevel="0" collapsed="false">
      <c r="K573" s="2" t="n">
        <v>568</v>
      </c>
      <c r="L573" s="14" t="n">
        <f aca="true">$B$16+NORMINV(RAND(),0,SQRT($B$13*($B$7+$B$8^2))*$B$9*(1-$B$10))</f>
        <v>4048.30015848142</v>
      </c>
      <c r="M573" s="14" t="n">
        <f aca="true">$B$16+NORMINV(RAND(),0,SQRT($B$13*($B$7+$B$8^2))*$B$9*(1-$B$10))</f>
        <v>4218.29670856526</v>
      </c>
      <c r="N573" s="14" t="n">
        <f aca="true">$B$16+NORMINV(RAND(),0,SQRT($B$13*($B$7+$B$8^2))*$B$9*(1-$B$10))</f>
        <v>4419.89566532861</v>
      </c>
      <c r="O573" s="14" t="n">
        <f aca="true">$B$16+NORMINV(RAND(),0,SQRT($B$13*($B$7+$B$8^2))*$B$9*(1-$B$10))</f>
        <v>4039.22040620143</v>
      </c>
      <c r="P573" s="14" t="n">
        <f aca="true">$B$16+NORMINV(RAND(),0,SQRT($B$13*($B$7+$B$8^2))*$B$9*(1-$B$10))</f>
        <v>4038.7316104075</v>
      </c>
      <c r="Q573" s="14" t="n">
        <f aca="true">$B$16+NORMINV(RAND(),0,SQRT($B$13*($B$7+$B$8^2))*$B$9*(1-$B$10))</f>
        <v>4068.15278721865</v>
      </c>
      <c r="R573" s="14" t="n">
        <f aca="false">$B$4-13*($B$5+$B$6)/30-IF($B$11&lt;=13,$B$12,0)+0</f>
        <v>8876.66666666667</v>
      </c>
      <c r="S573" s="14" t="n">
        <f aca="false">$B$4-27*($B$5+$B$6)/30-IF($B$11&lt;=27,$B$12,0)+L573</f>
        <v>10638.3001584814</v>
      </c>
      <c r="T573" s="14" t="n">
        <f aca="false">$B$4-41*($B$5+$B$6)/30-IF($B$11&lt;=41,$B$12,0)+L573+M573</f>
        <v>1385.13020038001</v>
      </c>
      <c r="U573" s="14" t="n">
        <f aca="false">$B$4-55*($B$5+$B$6)/30-IF($B$11&lt;=55,$B$12,0)+L573+M573+N573</f>
        <v>3518.35919904195</v>
      </c>
      <c r="V573" s="14" t="n">
        <f aca="false">$B$4-69*($B$5+$B$6)/30-IF($B$11&lt;=69,$B$12,0)+L573+M573+N573+O573</f>
        <v>5270.91293857672</v>
      </c>
      <c r="W573" s="14" t="n">
        <f aca="false">$B$4-83*($B$5+$B$6)/30-IF($B$11&lt;=83,$B$12,0)+L573+M573+N573+O573+P573</f>
        <v>7022.97788231756</v>
      </c>
      <c r="X573" s="14" t="n">
        <f aca="false">$B$4-90*($B$5+$B$6)/30-IF($B$11&lt;=90,$B$12,0)+L573+M573+N573+O573+P573+Q573</f>
        <v>9947.79733620287</v>
      </c>
      <c r="AA573" s="14" t="n">
        <f aca="false">MIN(R573:X573)</f>
        <v>1385.13020038001</v>
      </c>
    </row>
    <row r="574" customFormat="false" ht="15" hidden="false" customHeight="false" outlineLevel="0" collapsed="false">
      <c r="K574" s="2" t="n">
        <v>569</v>
      </c>
      <c r="L574" s="14" t="n">
        <f aca="true">$B$16+NORMINV(RAND(),0,SQRT($B$13*($B$7+$B$8^2))*$B$9*(1-$B$10))</f>
        <v>3793.20922379507</v>
      </c>
      <c r="M574" s="14" t="n">
        <f aca="true">$B$16+NORMINV(RAND(),0,SQRT($B$13*($B$7+$B$8^2))*$B$9*(1-$B$10))</f>
        <v>4948.05316338104</v>
      </c>
      <c r="N574" s="14" t="n">
        <f aca="true">$B$16+NORMINV(RAND(),0,SQRT($B$13*($B$7+$B$8^2))*$B$9*(1-$B$10))</f>
        <v>3930.90278551767</v>
      </c>
      <c r="O574" s="14" t="n">
        <f aca="true">$B$16+NORMINV(RAND(),0,SQRT($B$13*($B$7+$B$8^2))*$B$9*(1-$B$10))</f>
        <v>4508.30851113105</v>
      </c>
      <c r="P574" s="14" t="n">
        <f aca="true">$B$16+NORMINV(RAND(),0,SQRT($B$13*($B$7+$B$8^2))*$B$9*(1-$B$10))</f>
        <v>4405.69372841192</v>
      </c>
      <c r="Q574" s="14" t="n">
        <f aca="true">$B$16+NORMINV(RAND(),0,SQRT($B$13*($B$7+$B$8^2))*$B$9*(1-$B$10))</f>
        <v>4106.98430787644</v>
      </c>
      <c r="R574" s="14" t="n">
        <f aca="false">$B$4-13*($B$5+$B$6)/30-IF($B$11&lt;=13,$B$12,0)+0</f>
        <v>8876.66666666667</v>
      </c>
      <c r="S574" s="14" t="n">
        <f aca="false">$B$4-27*($B$5+$B$6)/30-IF($B$11&lt;=27,$B$12,0)+L574</f>
        <v>10383.2092237951</v>
      </c>
      <c r="T574" s="14" t="n">
        <f aca="false">$B$4-41*($B$5+$B$6)/30-IF($B$11&lt;=41,$B$12,0)+L574+M574</f>
        <v>1859.79572050944</v>
      </c>
      <c r="U574" s="14" t="n">
        <f aca="false">$B$4-55*($B$5+$B$6)/30-IF($B$11&lt;=55,$B$12,0)+L574+M574+N574</f>
        <v>3504.03183936045</v>
      </c>
      <c r="V574" s="14" t="n">
        <f aca="false">$B$4-69*($B$5+$B$6)/30-IF($B$11&lt;=69,$B$12,0)+L574+M574+N574+O574</f>
        <v>5725.67368382483</v>
      </c>
      <c r="W574" s="14" t="n">
        <f aca="false">$B$4-83*($B$5+$B$6)/30-IF($B$11&lt;=83,$B$12,0)+L574+M574+N574+O574+P574</f>
        <v>7844.70074557008</v>
      </c>
      <c r="X574" s="14" t="n">
        <f aca="false">$B$4-90*($B$5+$B$6)/30-IF($B$11&lt;=90,$B$12,0)+L574+M574+N574+O574+P574+Q574</f>
        <v>10808.3517201132</v>
      </c>
      <c r="AA574" s="14" t="n">
        <f aca="false">MIN(R574:X574)</f>
        <v>1859.79572050944</v>
      </c>
    </row>
    <row r="575" customFormat="false" ht="15" hidden="false" customHeight="false" outlineLevel="0" collapsed="false">
      <c r="K575" s="2" t="n">
        <v>570</v>
      </c>
      <c r="L575" s="14" t="n">
        <f aca="true">$B$16+NORMINV(RAND(),0,SQRT($B$13*($B$7+$B$8^2))*$B$9*(1-$B$10))</f>
        <v>3537.87624758214</v>
      </c>
      <c r="M575" s="14" t="n">
        <f aca="true">$B$16+NORMINV(RAND(),0,SQRT($B$13*($B$7+$B$8^2))*$B$9*(1-$B$10))</f>
        <v>3980.059243162</v>
      </c>
      <c r="N575" s="14" t="n">
        <f aca="true">$B$16+NORMINV(RAND(),0,SQRT($B$13*($B$7+$B$8^2))*$B$9*(1-$B$10))</f>
        <v>4129.25650488573</v>
      </c>
      <c r="O575" s="14" t="n">
        <f aca="true">$B$16+NORMINV(RAND(),0,SQRT($B$13*($B$7+$B$8^2))*$B$9*(1-$B$10))</f>
        <v>3619.43717677448</v>
      </c>
      <c r="P575" s="14" t="n">
        <f aca="true">$B$16+NORMINV(RAND(),0,SQRT($B$13*($B$7+$B$8^2))*$B$9*(1-$B$10))</f>
        <v>4361.68666274844</v>
      </c>
      <c r="Q575" s="14" t="n">
        <f aca="true">$B$16+NORMINV(RAND(),0,SQRT($B$13*($B$7+$B$8^2))*$B$9*(1-$B$10))</f>
        <v>4011.67237490021</v>
      </c>
      <c r="R575" s="14" t="n">
        <f aca="false">$B$4-13*($B$5+$B$6)/30-IF($B$11&lt;=13,$B$12,0)+0</f>
        <v>8876.66666666667</v>
      </c>
      <c r="S575" s="14" t="n">
        <f aca="false">$B$4-27*($B$5+$B$6)/30-IF($B$11&lt;=27,$B$12,0)+L575</f>
        <v>10127.8762475821</v>
      </c>
      <c r="T575" s="14" t="n">
        <f aca="false">$B$4-41*($B$5+$B$6)/30-IF($B$11&lt;=41,$B$12,0)+L575+M575</f>
        <v>636.468824077469</v>
      </c>
      <c r="U575" s="14" t="n">
        <f aca="false">$B$4-55*($B$5+$B$6)/30-IF($B$11&lt;=55,$B$12,0)+L575+M575+N575</f>
        <v>2479.05866229653</v>
      </c>
      <c r="V575" s="14" t="n">
        <f aca="false">$B$4-69*($B$5+$B$6)/30-IF($B$11&lt;=69,$B$12,0)+L575+M575+N575+O575</f>
        <v>3811.82917240435</v>
      </c>
      <c r="W575" s="14" t="n">
        <f aca="false">$B$4-83*($B$5+$B$6)/30-IF($B$11&lt;=83,$B$12,0)+L575+M575+N575+O575+P575</f>
        <v>5886.84916848612</v>
      </c>
      <c r="X575" s="14" t="n">
        <f aca="false">$B$4-90*($B$5+$B$6)/30-IF($B$11&lt;=90,$B$12,0)+L575+M575+N575+O575+P575+Q575</f>
        <v>8755.188210053</v>
      </c>
      <c r="AA575" s="14" t="n">
        <f aca="false">MIN(R575:X575)</f>
        <v>636.468824077469</v>
      </c>
    </row>
    <row r="576" customFormat="false" ht="15" hidden="false" customHeight="false" outlineLevel="0" collapsed="false">
      <c r="K576" s="2" t="n">
        <v>571</v>
      </c>
      <c r="L576" s="14" t="n">
        <f aca="true">$B$16+NORMINV(RAND(),0,SQRT($B$13*($B$7+$B$8^2))*$B$9*(1-$B$10))</f>
        <v>3953.43135839899</v>
      </c>
      <c r="M576" s="14" t="n">
        <f aca="true">$B$16+NORMINV(RAND(),0,SQRT($B$13*($B$7+$B$8^2))*$B$9*(1-$B$10))</f>
        <v>3664.71188889961</v>
      </c>
      <c r="N576" s="14" t="n">
        <f aca="true">$B$16+NORMINV(RAND(),0,SQRT($B$13*($B$7+$B$8^2))*$B$9*(1-$B$10))</f>
        <v>4392.21169098181</v>
      </c>
      <c r="O576" s="14" t="n">
        <f aca="true">$B$16+NORMINV(RAND(),0,SQRT($B$13*($B$7+$B$8^2))*$B$9*(1-$B$10))</f>
        <v>4313.36126750522</v>
      </c>
      <c r="P576" s="14" t="n">
        <f aca="true">$B$16+NORMINV(RAND(),0,SQRT($B$13*($B$7+$B$8^2))*$B$9*(1-$B$10))</f>
        <v>3999.45523454521</v>
      </c>
      <c r="Q576" s="14" t="n">
        <f aca="true">$B$16+NORMINV(RAND(),0,SQRT($B$13*($B$7+$B$8^2))*$B$9*(1-$B$10))</f>
        <v>4380.09143831011</v>
      </c>
      <c r="R576" s="14" t="n">
        <f aca="false">$B$4-13*($B$5+$B$6)/30-IF($B$11&lt;=13,$B$12,0)+0</f>
        <v>8876.66666666667</v>
      </c>
      <c r="S576" s="14" t="n">
        <f aca="false">$B$4-27*($B$5+$B$6)/30-IF($B$11&lt;=27,$B$12,0)+L576</f>
        <v>10543.431358399</v>
      </c>
      <c r="T576" s="14" t="n">
        <f aca="false">$B$4-41*($B$5+$B$6)/30-IF($B$11&lt;=41,$B$12,0)+L576+M576</f>
        <v>736.676580631932</v>
      </c>
      <c r="U576" s="14" t="n">
        <f aca="false">$B$4-55*($B$5+$B$6)/30-IF($B$11&lt;=55,$B$12,0)+L576+M576+N576</f>
        <v>2842.22160494708</v>
      </c>
      <c r="V576" s="14" t="n">
        <f aca="false">$B$4-69*($B$5+$B$6)/30-IF($B$11&lt;=69,$B$12,0)+L576+M576+N576+O576</f>
        <v>4868.91620578564</v>
      </c>
      <c r="W576" s="14" t="n">
        <f aca="false">$B$4-83*($B$5+$B$6)/30-IF($B$11&lt;=83,$B$12,0)+L576+M576+N576+O576+P576</f>
        <v>6581.70477366418</v>
      </c>
      <c r="X576" s="14" t="n">
        <f aca="false">$B$4-90*($B$5+$B$6)/30-IF($B$11&lt;=90,$B$12,0)+L576+M576+N576+O576+P576+Q576</f>
        <v>9818.46287864096</v>
      </c>
      <c r="AA576" s="14" t="n">
        <f aca="false">MIN(R576:X576)</f>
        <v>736.676580631932</v>
      </c>
    </row>
    <row r="577" customFormat="false" ht="15" hidden="false" customHeight="false" outlineLevel="0" collapsed="false">
      <c r="K577" s="2" t="n">
        <v>572</v>
      </c>
      <c r="L577" s="14" t="n">
        <f aca="true">$B$16+NORMINV(RAND(),0,SQRT($B$13*($B$7+$B$8^2))*$B$9*(1-$B$10))</f>
        <v>4154.305183563</v>
      </c>
      <c r="M577" s="14" t="n">
        <f aca="true">$B$16+NORMINV(RAND(),0,SQRT($B$13*($B$7+$B$8^2))*$B$9*(1-$B$10))</f>
        <v>3958.45473564484</v>
      </c>
      <c r="N577" s="14" t="n">
        <f aca="true">$B$16+NORMINV(RAND(),0,SQRT($B$13*($B$7+$B$8^2))*$B$9*(1-$B$10))</f>
        <v>4276.61782691563</v>
      </c>
      <c r="O577" s="14" t="n">
        <f aca="true">$B$16+NORMINV(RAND(),0,SQRT($B$13*($B$7+$B$8^2))*$B$9*(1-$B$10))</f>
        <v>4101.75335348712</v>
      </c>
      <c r="P577" s="14" t="n">
        <f aca="true">$B$16+NORMINV(RAND(),0,SQRT($B$13*($B$7+$B$8^2))*$B$9*(1-$B$10))</f>
        <v>3412.70424565337</v>
      </c>
      <c r="Q577" s="14" t="n">
        <f aca="true">$B$16+NORMINV(RAND(),0,SQRT($B$13*($B$7+$B$8^2))*$B$9*(1-$B$10))</f>
        <v>4111.83975554504</v>
      </c>
      <c r="R577" s="14" t="n">
        <f aca="false">$B$4-13*($B$5+$B$6)/30-IF($B$11&lt;=13,$B$12,0)+0</f>
        <v>8876.66666666667</v>
      </c>
      <c r="S577" s="14" t="n">
        <f aca="false">$B$4-27*($B$5+$B$6)/30-IF($B$11&lt;=27,$B$12,0)+L577</f>
        <v>10744.305183563</v>
      </c>
      <c r="T577" s="14" t="n">
        <f aca="false">$B$4-41*($B$5+$B$6)/30-IF($B$11&lt;=41,$B$12,0)+L577+M577</f>
        <v>1231.29325254118</v>
      </c>
      <c r="U577" s="14" t="n">
        <f aca="false">$B$4-55*($B$5+$B$6)/30-IF($B$11&lt;=55,$B$12,0)+L577+M577+N577</f>
        <v>3221.24441279014</v>
      </c>
      <c r="V577" s="14" t="n">
        <f aca="false">$B$4-69*($B$5+$B$6)/30-IF($B$11&lt;=69,$B$12,0)+L577+M577+N577+O577</f>
        <v>5036.3310996106</v>
      </c>
      <c r="W577" s="14" t="n">
        <f aca="false">$B$4-83*($B$5+$B$6)/30-IF($B$11&lt;=83,$B$12,0)+L577+M577+N577+O577+P577</f>
        <v>6162.3686785973</v>
      </c>
      <c r="X577" s="14" t="n">
        <f aca="false">$B$4-90*($B$5+$B$6)/30-IF($B$11&lt;=90,$B$12,0)+L577+M577+N577+O577+P577+Q577</f>
        <v>9130.87510080901</v>
      </c>
      <c r="AA577" s="14" t="n">
        <f aca="false">MIN(R577:X577)</f>
        <v>1231.29325254118</v>
      </c>
    </row>
    <row r="578" customFormat="false" ht="15" hidden="false" customHeight="false" outlineLevel="0" collapsed="false">
      <c r="K578" s="2" t="n">
        <v>573</v>
      </c>
      <c r="L578" s="14" t="n">
        <f aca="true">$B$16+NORMINV(RAND(),0,SQRT($B$13*($B$7+$B$8^2))*$B$9*(1-$B$10))</f>
        <v>4128.34355441784</v>
      </c>
      <c r="M578" s="14" t="n">
        <f aca="true">$B$16+NORMINV(RAND(),0,SQRT($B$13*($B$7+$B$8^2))*$B$9*(1-$B$10))</f>
        <v>3469.05243176999</v>
      </c>
      <c r="N578" s="14" t="n">
        <f aca="true">$B$16+NORMINV(RAND(),0,SQRT($B$13*($B$7+$B$8^2))*$B$9*(1-$B$10))</f>
        <v>3708.13619565286</v>
      </c>
      <c r="O578" s="14" t="n">
        <f aca="true">$B$16+NORMINV(RAND(),0,SQRT($B$13*($B$7+$B$8^2))*$B$9*(1-$B$10))</f>
        <v>4379.7072417329</v>
      </c>
      <c r="P578" s="14" t="n">
        <f aca="true">$B$16+NORMINV(RAND(),0,SQRT($B$13*($B$7+$B$8^2))*$B$9*(1-$B$10))</f>
        <v>4347.79135680305</v>
      </c>
      <c r="Q578" s="14" t="n">
        <f aca="true">$B$16+NORMINV(RAND(),0,SQRT($B$13*($B$7+$B$8^2))*$B$9*(1-$B$10))</f>
        <v>3501.91088722472</v>
      </c>
      <c r="R578" s="14" t="n">
        <f aca="false">$B$4-13*($B$5+$B$6)/30-IF($B$11&lt;=13,$B$12,0)+0</f>
        <v>8876.66666666667</v>
      </c>
      <c r="S578" s="14" t="n">
        <f aca="false">$B$4-27*($B$5+$B$6)/30-IF($B$11&lt;=27,$B$12,0)+L578</f>
        <v>10718.3435544178</v>
      </c>
      <c r="T578" s="14" t="n">
        <f aca="false">$B$4-41*($B$5+$B$6)/30-IF($B$11&lt;=41,$B$12,0)+L578+M578</f>
        <v>715.929319521158</v>
      </c>
      <c r="U578" s="14" t="n">
        <f aca="false">$B$4-55*($B$5+$B$6)/30-IF($B$11&lt;=55,$B$12,0)+L578+M578+N578</f>
        <v>2137.39884850735</v>
      </c>
      <c r="V578" s="14" t="n">
        <f aca="false">$B$4-69*($B$5+$B$6)/30-IF($B$11&lt;=69,$B$12,0)+L578+M578+N578+O578</f>
        <v>4230.43942357358</v>
      </c>
      <c r="W578" s="14" t="n">
        <f aca="false">$B$4-83*($B$5+$B$6)/30-IF($B$11&lt;=83,$B$12,0)+L578+M578+N578+O578+P578</f>
        <v>6291.56411370996</v>
      </c>
      <c r="X578" s="14" t="n">
        <f aca="false">$B$4-90*($B$5+$B$6)/30-IF($B$11&lt;=90,$B$12,0)+L578+M578+N578+O578+P578+Q578</f>
        <v>8650.14166760135</v>
      </c>
      <c r="AA578" s="14" t="n">
        <f aca="false">MIN(R578:X578)</f>
        <v>715.929319521158</v>
      </c>
    </row>
    <row r="579" customFormat="false" ht="15" hidden="false" customHeight="false" outlineLevel="0" collapsed="false">
      <c r="K579" s="2" t="n">
        <v>574</v>
      </c>
      <c r="L579" s="14" t="n">
        <f aca="true">$B$16+NORMINV(RAND(),0,SQRT($B$13*($B$7+$B$8^2))*$B$9*(1-$B$10))</f>
        <v>3780.92658304666</v>
      </c>
      <c r="M579" s="14" t="n">
        <f aca="true">$B$16+NORMINV(RAND(),0,SQRT($B$13*($B$7+$B$8^2))*$B$9*(1-$B$10))</f>
        <v>3767.30466258017</v>
      </c>
      <c r="N579" s="14" t="n">
        <f aca="true">$B$16+NORMINV(RAND(),0,SQRT($B$13*($B$7+$B$8^2))*$B$9*(1-$B$10))</f>
        <v>3471.43604001052</v>
      </c>
      <c r="O579" s="14" t="n">
        <f aca="true">$B$16+NORMINV(RAND(),0,SQRT($B$13*($B$7+$B$8^2))*$B$9*(1-$B$10))</f>
        <v>4099.19502961777</v>
      </c>
      <c r="P579" s="14" t="n">
        <f aca="true">$B$16+NORMINV(RAND(),0,SQRT($B$13*($B$7+$B$8^2))*$B$9*(1-$B$10))</f>
        <v>4027.01762047626</v>
      </c>
      <c r="Q579" s="14" t="n">
        <f aca="true">$B$16+NORMINV(RAND(),0,SQRT($B$13*($B$7+$B$8^2))*$B$9*(1-$B$10))</f>
        <v>4067.86936455265</v>
      </c>
      <c r="R579" s="14" t="n">
        <f aca="false">$B$4-13*($B$5+$B$6)/30-IF($B$11&lt;=13,$B$12,0)+0</f>
        <v>8876.66666666667</v>
      </c>
      <c r="S579" s="14" t="n">
        <f aca="false">$B$4-27*($B$5+$B$6)/30-IF($B$11&lt;=27,$B$12,0)+L579</f>
        <v>10370.9265830467</v>
      </c>
      <c r="T579" s="14" t="n">
        <f aca="false">$B$4-41*($B$5+$B$6)/30-IF($B$11&lt;=41,$B$12,0)+L579+M579</f>
        <v>666.764578960163</v>
      </c>
      <c r="U579" s="14" t="n">
        <f aca="false">$B$4-55*($B$5+$B$6)/30-IF($B$11&lt;=55,$B$12,0)+L579+M579+N579</f>
        <v>1851.53395230402</v>
      </c>
      <c r="V579" s="14" t="n">
        <f aca="false">$B$4-69*($B$5+$B$6)/30-IF($B$11&lt;=69,$B$12,0)+L579+M579+N579+O579</f>
        <v>3664.06231525512</v>
      </c>
      <c r="W579" s="14" t="n">
        <f aca="false">$B$4-83*($B$5+$B$6)/30-IF($B$11&lt;=83,$B$12,0)+L579+M579+N579+O579+P579</f>
        <v>5404.41326906472</v>
      </c>
      <c r="X579" s="14" t="n">
        <f aca="false">$B$4-90*($B$5+$B$6)/30-IF($B$11&lt;=90,$B$12,0)+L579+M579+N579+O579+P579+Q579</f>
        <v>8328.94930028403</v>
      </c>
      <c r="AA579" s="14" t="n">
        <f aca="false">MIN(R579:X579)</f>
        <v>666.764578960163</v>
      </c>
    </row>
    <row r="580" customFormat="false" ht="15" hidden="false" customHeight="false" outlineLevel="0" collapsed="false">
      <c r="K580" s="2" t="n">
        <v>575</v>
      </c>
      <c r="L580" s="14" t="n">
        <f aca="true">$B$16+NORMINV(RAND(),0,SQRT($B$13*($B$7+$B$8^2))*$B$9*(1-$B$10))</f>
        <v>4168.14047239042</v>
      </c>
      <c r="M580" s="14" t="n">
        <f aca="true">$B$16+NORMINV(RAND(),0,SQRT($B$13*($B$7+$B$8^2))*$B$9*(1-$B$10))</f>
        <v>3827.78077828278</v>
      </c>
      <c r="N580" s="14" t="n">
        <f aca="true">$B$16+NORMINV(RAND(),0,SQRT($B$13*($B$7+$B$8^2))*$B$9*(1-$B$10))</f>
        <v>4074.60313884154</v>
      </c>
      <c r="O580" s="14" t="n">
        <f aca="true">$B$16+NORMINV(RAND(),0,SQRT($B$13*($B$7+$B$8^2))*$B$9*(1-$B$10))</f>
        <v>4323.27716001365</v>
      </c>
      <c r="P580" s="14" t="n">
        <f aca="true">$B$16+NORMINV(RAND(),0,SQRT($B$13*($B$7+$B$8^2))*$B$9*(1-$B$10))</f>
        <v>4039.39890670391</v>
      </c>
      <c r="Q580" s="14" t="n">
        <f aca="true">$B$16+NORMINV(RAND(),0,SQRT($B$13*($B$7+$B$8^2))*$B$9*(1-$B$10))</f>
        <v>4042.86255110281</v>
      </c>
      <c r="R580" s="14" t="n">
        <f aca="false">$B$4-13*($B$5+$B$6)/30-IF($B$11&lt;=13,$B$12,0)+0</f>
        <v>8876.66666666667</v>
      </c>
      <c r="S580" s="14" t="n">
        <f aca="false">$B$4-27*($B$5+$B$6)/30-IF($B$11&lt;=27,$B$12,0)+L580</f>
        <v>10758.1404723904</v>
      </c>
      <c r="T580" s="14" t="n">
        <f aca="false">$B$4-41*($B$5+$B$6)/30-IF($B$11&lt;=41,$B$12,0)+L580+M580</f>
        <v>1114.45458400653</v>
      </c>
      <c r="U580" s="14" t="n">
        <f aca="false">$B$4-55*($B$5+$B$6)/30-IF($B$11&lt;=55,$B$12,0)+L580+M580+N580</f>
        <v>2902.3910561814</v>
      </c>
      <c r="V580" s="14" t="n">
        <f aca="false">$B$4-69*($B$5+$B$6)/30-IF($B$11&lt;=69,$B$12,0)+L580+M580+N580+O580</f>
        <v>4939.00154952839</v>
      </c>
      <c r="W580" s="14" t="n">
        <f aca="false">$B$4-83*($B$5+$B$6)/30-IF($B$11&lt;=83,$B$12,0)+L580+M580+N580+O580+P580</f>
        <v>6691.73378956563</v>
      </c>
      <c r="X580" s="14" t="n">
        <f aca="false">$B$4-90*($B$5+$B$6)/30-IF($B$11&lt;=90,$B$12,0)+L580+M580+N580+O580+P580+Q580</f>
        <v>9591.26300733511</v>
      </c>
      <c r="AA580" s="14" t="n">
        <f aca="false">MIN(R580:X580)</f>
        <v>1114.45458400653</v>
      </c>
    </row>
    <row r="581" customFormat="false" ht="15" hidden="false" customHeight="false" outlineLevel="0" collapsed="false">
      <c r="K581" s="2" t="n">
        <v>576</v>
      </c>
      <c r="L581" s="14" t="n">
        <f aca="true">$B$16+NORMINV(RAND(),0,SQRT($B$13*($B$7+$B$8^2))*$B$9*(1-$B$10))</f>
        <v>4303.39714838213</v>
      </c>
      <c r="M581" s="14" t="n">
        <f aca="true">$B$16+NORMINV(RAND(),0,SQRT($B$13*($B$7+$B$8^2))*$B$9*(1-$B$10))</f>
        <v>4029.87470229481</v>
      </c>
      <c r="N581" s="14" t="n">
        <f aca="true">$B$16+NORMINV(RAND(),0,SQRT($B$13*($B$7+$B$8^2))*$B$9*(1-$B$10))</f>
        <v>4184.13799066184</v>
      </c>
      <c r="O581" s="14" t="n">
        <f aca="true">$B$16+NORMINV(RAND(),0,SQRT($B$13*($B$7+$B$8^2))*$B$9*(1-$B$10))</f>
        <v>4360.70974887469</v>
      </c>
      <c r="P581" s="14" t="n">
        <f aca="true">$B$16+NORMINV(RAND(),0,SQRT($B$13*($B$7+$B$8^2))*$B$9*(1-$B$10))</f>
        <v>3651.53518062106</v>
      </c>
      <c r="Q581" s="14" t="n">
        <f aca="true">$B$16+NORMINV(RAND(),0,SQRT($B$13*($B$7+$B$8^2))*$B$9*(1-$B$10))</f>
        <v>4011.04550497294</v>
      </c>
      <c r="R581" s="14" t="n">
        <f aca="false">$B$4-13*($B$5+$B$6)/30-IF($B$11&lt;=13,$B$12,0)+0</f>
        <v>8876.66666666667</v>
      </c>
      <c r="S581" s="14" t="n">
        <f aca="false">$B$4-27*($B$5+$B$6)/30-IF($B$11&lt;=27,$B$12,0)+L581</f>
        <v>10893.3971483821</v>
      </c>
      <c r="T581" s="14" t="n">
        <f aca="false">$B$4-41*($B$5+$B$6)/30-IF($B$11&lt;=41,$B$12,0)+L581+M581</f>
        <v>1451.80518401027</v>
      </c>
      <c r="U581" s="14" t="n">
        <f aca="false">$B$4-55*($B$5+$B$6)/30-IF($B$11&lt;=55,$B$12,0)+L581+M581+N581</f>
        <v>3349.27650800544</v>
      </c>
      <c r="V581" s="14" t="n">
        <f aca="false">$B$4-69*($B$5+$B$6)/30-IF($B$11&lt;=69,$B$12,0)+L581+M581+N581+O581</f>
        <v>5423.31959021346</v>
      </c>
      <c r="W581" s="14" t="n">
        <f aca="false">$B$4-83*($B$5+$B$6)/30-IF($B$11&lt;=83,$B$12,0)+L581+M581+N581+O581+P581</f>
        <v>6788.18810416785</v>
      </c>
      <c r="X581" s="14" t="n">
        <f aca="false">$B$4-90*($B$5+$B$6)/30-IF($B$11&lt;=90,$B$12,0)+L581+M581+N581+O581+P581+Q581</f>
        <v>9655.90027580746</v>
      </c>
      <c r="AA581" s="14" t="n">
        <f aca="false">MIN(R581:X581)</f>
        <v>1451.80518401027</v>
      </c>
    </row>
    <row r="582" customFormat="false" ht="15" hidden="false" customHeight="false" outlineLevel="0" collapsed="false">
      <c r="K582" s="2" t="n">
        <v>577</v>
      </c>
      <c r="L582" s="14" t="n">
        <f aca="true">$B$16+NORMINV(RAND(),0,SQRT($B$13*($B$7+$B$8^2))*$B$9*(1-$B$10))</f>
        <v>3872.34433999535</v>
      </c>
      <c r="M582" s="14" t="n">
        <f aca="true">$B$16+NORMINV(RAND(),0,SQRT($B$13*($B$7+$B$8^2))*$B$9*(1-$B$10))</f>
        <v>4344.0524991642</v>
      </c>
      <c r="N582" s="14" t="n">
        <f aca="true">$B$16+NORMINV(RAND(),0,SQRT($B$13*($B$7+$B$8^2))*$B$9*(1-$B$10))</f>
        <v>3997.57081234007</v>
      </c>
      <c r="O582" s="14" t="n">
        <f aca="true">$B$16+NORMINV(RAND(),0,SQRT($B$13*($B$7+$B$8^2))*$B$9*(1-$B$10))</f>
        <v>3698.06191496298</v>
      </c>
      <c r="P582" s="14" t="n">
        <f aca="true">$B$16+NORMINV(RAND(),0,SQRT($B$13*($B$7+$B$8^2))*$B$9*(1-$B$10))</f>
        <v>4532.36836891443</v>
      </c>
      <c r="Q582" s="14" t="n">
        <f aca="true">$B$16+NORMINV(RAND(),0,SQRT($B$13*($B$7+$B$8^2))*$B$9*(1-$B$10))</f>
        <v>3566.06725240938</v>
      </c>
      <c r="R582" s="14" t="n">
        <f aca="false">$B$4-13*($B$5+$B$6)/30-IF($B$11&lt;=13,$B$12,0)+0</f>
        <v>8876.66666666667</v>
      </c>
      <c r="S582" s="14" t="n">
        <f aca="false">$B$4-27*($B$5+$B$6)/30-IF($B$11&lt;=27,$B$12,0)+L582</f>
        <v>10462.3443399954</v>
      </c>
      <c r="T582" s="14" t="n">
        <f aca="false">$B$4-41*($B$5+$B$6)/30-IF($B$11&lt;=41,$B$12,0)+L582+M582</f>
        <v>1334.93017249289</v>
      </c>
      <c r="U582" s="14" t="n">
        <f aca="false">$B$4-55*($B$5+$B$6)/30-IF($B$11&lt;=55,$B$12,0)+L582+M582+N582</f>
        <v>3045.83431816629</v>
      </c>
      <c r="V582" s="14" t="n">
        <f aca="false">$B$4-69*($B$5+$B$6)/30-IF($B$11&lt;=69,$B$12,0)+L582+M582+N582+O582</f>
        <v>4457.22956646261</v>
      </c>
      <c r="W582" s="14" t="n">
        <f aca="false">$B$4-83*($B$5+$B$6)/30-IF($B$11&lt;=83,$B$12,0)+L582+M582+N582+O582+P582</f>
        <v>6702.93126871037</v>
      </c>
      <c r="X582" s="14" t="n">
        <f aca="false">$B$4-90*($B$5+$B$6)/30-IF($B$11&lt;=90,$B$12,0)+L582+M582+N582+O582+P582+Q582</f>
        <v>9125.66518778641</v>
      </c>
      <c r="AA582" s="14" t="n">
        <f aca="false">MIN(R582:X582)</f>
        <v>1334.93017249289</v>
      </c>
    </row>
    <row r="583" customFormat="false" ht="15" hidden="false" customHeight="false" outlineLevel="0" collapsed="false">
      <c r="K583" s="2" t="n">
        <v>578</v>
      </c>
      <c r="L583" s="14" t="n">
        <f aca="true">$B$16+NORMINV(RAND(),0,SQRT($B$13*($B$7+$B$8^2))*$B$9*(1-$B$10))</f>
        <v>3677.09949132694</v>
      </c>
      <c r="M583" s="14" t="n">
        <f aca="true">$B$16+NORMINV(RAND(),0,SQRT($B$13*($B$7+$B$8^2))*$B$9*(1-$B$10))</f>
        <v>3910.97525745147</v>
      </c>
      <c r="N583" s="14" t="n">
        <f aca="true">$B$16+NORMINV(RAND(),0,SQRT($B$13*($B$7+$B$8^2))*$B$9*(1-$B$10))</f>
        <v>4327.6750163104</v>
      </c>
      <c r="O583" s="14" t="n">
        <f aca="true">$B$16+NORMINV(RAND(),0,SQRT($B$13*($B$7+$B$8^2))*$B$9*(1-$B$10))</f>
        <v>3859.81413431873</v>
      </c>
      <c r="P583" s="14" t="n">
        <f aca="true">$B$16+NORMINV(RAND(),0,SQRT($B$13*($B$7+$B$8^2))*$B$9*(1-$B$10))</f>
        <v>4208.39096396785</v>
      </c>
      <c r="Q583" s="14" t="n">
        <f aca="true">$B$16+NORMINV(RAND(),0,SQRT($B$13*($B$7+$B$8^2))*$B$9*(1-$B$10))</f>
        <v>4085.9583354346</v>
      </c>
      <c r="R583" s="14" t="n">
        <f aca="false">$B$4-13*($B$5+$B$6)/30-IF($B$11&lt;=13,$B$12,0)+0</f>
        <v>8876.66666666667</v>
      </c>
      <c r="S583" s="14" t="n">
        <f aca="false">$B$4-27*($B$5+$B$6)/30-IF($B$11&lt;=27,$B$12,0)+L583</f>
        <v>10267.0994913269</v>
      </c>
      <c r="T583" s="14" t="n">
        <f aca="false">$B$4-41*($B$5+$B$6)/30-IF($B$11&lt;=41,$B$12,0)+L583+M583</f>
        <v>706.608082111741</v>
      </c>
      <c r="U583" s="14" t="n">
        <f aca="false">$B$4-55*($B$5+$B$6)/30-IF($B$11&lt;=55,$B$12,0)+L583+M583+N583</f>
        <v>2747.61643175548</v>
      </c>
      <c r="V583" s="14" t="n">
        <f aca="false">$B$4-69*($B$5+$B$6)/30-IF($B$11&lt;=69,$B$12,0)+L583+M583+N583+O583</f>
        <v>4320.76389940754</v>
      </c>
      <c r="W583" s="14" t="n">
        <f aca="false">$B$4-83*($B$5+$B$6)/30-IF($B$11&lt;=83,$B$12,0)+L583+M583+N583+O583+P583</f>
        <v>6242.48819670873</v>
      </c>
      <c r="X583" s="14" t="n">
        <f aca="false">$B$4-90*($B$5+$B$6)/30-IF($B$11&lt;=90,$B$12,0)+L583+M583+N583+O583+P583+Q583</f>
        <v>9185.11319881</v>
      </c>
      <c r="AA583" s="14" t="n">
        <f aca="false">MIN(R583:X583)</f>
        <v>706.608082111741</v>
      </c>
    </row>
    <row r="584" customFormat="false" ht="15" hidden="false" customHeight="false" outlineLevel="0" collapsed="false">
      <c r="K584" s="2" t="n">
        <v>579</v>
      </c>
      <c r="L584" s="14" t="n">
        <f aca="true">$B$16+NORMINV(RAND(),0,SQRT($B$13*($B$7+$B$8^2))*$B$9*(1-$B$10))</f>
        <v>3941.13718528918</v>
      </c>
      <c r="M584" s="14" t="n">
        <f aca="true">$B$16+NORMINV(RAND(),0,SQRT($B$13*($B$7+$B$8^2))*$B$9*(1-$B$10))</f>
        <v>3577.93299897033</v>
      </c>
      <c r="N584" s="14" t="n">
        <f aca="true">$B$16+NORMINV(RAND(),0,SQRT($B$13*($B$7+$B$8^2))*$B$9*(1-$B$10))</f>
        <v>4666.72302408458</v>
      </c>
      <c r="O584" s="14" t="n">
        <f aca="true">$B$16+NORMINV(RAND(),0,SQRT($B$13*($B$7+$B$8^2))*$B$9*(1-$B$10))</f>
        <v>3336.81286440498</v>
      </c>
      <c r="P584" s="14" t="n">
        <f aca="true">$B$16+NORMINV(RAND(),0,SQRT($B$13*($B$7+$B$8^2))*$B$9*(1-$B$10))</f>
        <v>3573.1160189677</v>
      </c>
      <c r="Q584" s="14" t="n">
        <f aca="true">$B$16+NORMINV(RAND(),0,SQRT($B$13*($B$7+$B$8^2))*$B$9*(1-$B$10))</f>
        <v>4686.92634494224</v>
      </c>
      <c r="R584" s="14" t="n">
        <f aca="false">$B$4-13*($B$5+$B$6)/30-IF($B$11&lt;=13,$B$12,0)+0</f>
        <v>8876.66666666667</v>
      </c>
      <c r="S584" s="14" t="n">
        <f aca="false">$B$4-27*($B$5+$B$6)/30-IF($B$11&lt;=27,$B$12,0)+L584</f>
        <v>10531.1371852892</v>
      </c>
      <c r="T584" s="14" t="n">
        <f aca="false">$B$4-41*($B$5+$B$6)/30-IF($B$11&lt;=41,$B$12,0)+L584+M584</f>
        <v>637.603517592847</v>
      </c>
      <c r="U584" s="14" t="n">
        <f aca="false">$B$4-55*($B$5+$B$6)/30-IF($B$11&lt;=55,$B$12,0)+L584+M584+N584</f>
        <v>3017.65987501076</v>
      </c>
      <c r="V584" s="14" t="n">
        <f aca="false">$B$4-69*($B$5+$B$6)/30-IF($B$11&lt;=69,$B$12,0)+L584+M584+N584+O584</f>
        <v>4067.80607274907</v>
      </c>
      <c r="W584" s="14" t="n">
        <f aca="false">$B$4-83*($B$5+$B$6)/30-IF($B$11&lt;=83,$B$12,0)+L584+M584+N584+O584+P584</f>
        <v>5354.2554250501</v>
      </c>
      <c r="X584" s="14" t="n">
        <f aca="false">$B$4-90*($B$5+$B$6)/30-IF($B$11&lt;=90,$B$12,0)+L584+M584+N584+O584+P584+Q584</f>
        <v>8897.84843665901</v>
      </c>
      <c r="AA584" s="14" t="n">
        <f aca="false">MIN(R584:X584)</f>
        <v>637.603517592847</v>
      </c>
    </row>
    <row r="585" customFormat="false" ht="15" hidden="false" customHeight="false" outlineLevel="0" collapsed="false">
      <c r="K585" s="2" t="n">
        <v>580</v>
      </c>
      <c r="L585" s="14" t="n">
        <f aca="true">$B$16+NORMINV(RAND(),0,SQRT($B$13*($B$7+$B$8^2))*$B$9*(1-$B$10))</f>
        <v>3497.59186435145</v>
      </c>
      <c r="M585" s="14" t="n">
        <f aca="true">$B$16+NORMINV(RAND(),0,SQRT($B$13*($B$7+$B$8^2))*$B$9*(1-$B$10))</f>
        <v>3860.63173514759</v>
      </c>
      <c r="N585" s="14" t="n">
        <f aca="true">$B$16+NORMINV(RAND(),0,SQRT($B$13*($B$7+$B$8^2))*$B$9*(1-$B$10))</f>
        <v>3955.72332257219</v>
      </c>
      <c r="O585" s="14" t="n">
        <f aca="true">$B$16+NORMINV(RAND(),0,SQRT($B$13*($B$7+$B$8^2))*$B$9*(1-$B$10))</f>
        <v>3646.11725682342</v>
      </c>
      <c r="P585" s="14" t="n">
        <f aca="true">$B$16+NORMINV(RAND(),0,SQRT($B$13*($B$7+$B$8^2))*$B$9*(1-$B$10))</f>
        <v>3779.64498664402</v>
      </c>
      <c r="Q585" s="14" t="n">
        <f aca="true">$B$16+NORMINV(RAND(),0,SQRT($B$13*($B$7+$B$8^2))*$B$9*(1-$B$10))</f>
        <v>4137.40484583177</v>
      </c>
      <c r="R585" s="14" t="n">
        <f aca="false">$B$4-13*($B$5+$B$6)/30-IF($B$11&lt;=13,$B$12,0)+0</f>
        <v>8876.66666666667</v>
      </c>
      <c r="S585" s="14" t="n">
        <f aca="false">$B$4-27*($B$5+$B$6)/30-IF($B$11&lt;=27,$B$12,0)+L585</f>
        <v>10087.5918643515</v>
      </c>
      <c r="T585" s="14" t="n">
        <f aca="false">$B$4-41*($B$5+$B$6)/30-IF($B$11&lt;=41,$B$12,0)+L585+M585</f>
        <v>476.756932832368</v>
      </c>
      <c r="U585" s="14" t="n">
        <f aca="false">$B$4-55*($B$5+$B$6)/30-IF($B$11&lt;=55,$B$12,0)+L585+M585+N585</f>
        <v>2145.81358873789</v>
      </c>
      <c r="V585" s="14" t="n">
        <f aca="false">$B$4-69*($B$5+$B$6)/30-IF($B$11&lt;=69,$B$12,0)+L585+M585+N585+O585</f>
        <v>3505.26417889464</v>
      </c>
      <c r="W585" s="14" t="n">
        <f aca="false">$B$4-83*($B$5+$B$6)/30-IF($B$11&lt;=83,$B$12,0)+L585+M585+N585+O585+P585</f>
        <v>4998.242498872</v>
      </c>
      <c r="X585" s="14" t="n">
        <f aca="false">$B$4-90*($B$5+$B$6)/30-IF($B$11&lt;=90,$B$12,0)+L585+M585+N585+O585+P585+Q585</f>
        <v>7992.31401137043</v>
      </c>
      <c r="AA585" s="14" t="n">
        <f aca="false">MIN(R585:X585)</f>
        <v>476.756932832368</v>
      </c>
    </row>
    <row r="586" customFormat="false" ht="15" hidden="false" customHeight="false" outlineLevel="0" collapsed="false">
      <c r="K586" s="2" t="n">
        <v>581</v>
      </c>
      <c r="L586" s="14" t="n">
        <f aca="true">$B$16+NORMINV(RAND(),0,SQRT($B$13*($B$7+$B$8^2))*$B$9*(1-$B$10))</f>
        <v>3445.77621190345</v>
      </c>
      <c r="M586" s="14" t="n">
        <f aca="true">$B$16+NORMINV(RAND(),0,SQRT($B$13*($B$7+$B$8^2))*$B$9*(1-$B$10))</f>
        <v>4568.12817979292</v>
      </c>
      <c r="N586" s="14" t="n">
        <f aca="true">$B$16+NORMINV(RAND(),0,SQRT($B$13*($B$7+$B$8^2))*$B$9*(1-$B$10))</f>
        <v>4024.95421273786</v>
      </c>
      <c r="O586" s="14" t="n">
        <f aca="true">$B$16+NORMINV(RAND(),0,SQRT($B$13*($B$7+$B$8^2))*$B$9*(1-$B$10))</f>
        <v>4536.50951425329</v>
      </c>
      <c r="P586" s="14" t="n">
        <f aca="true">$B$16+NORMINV(RAND(),0,SQRT($B$13*($B$7+$B$8^2))*$B$9*(1-$B$10))</f>
        <v>3848.00660737043</v>
      </c>
      <c r="Q586" s="14" t="n">
        <f aca="true">$B$16+NORMINV(RAND(),0,SQRT($B$13*($B$7+$B$8^2))*$B$9*(1-$B$10))</f>
        <v>3697.73501981538</v>
      </c>
      <c r="R586" s="14" t="n">
        <f aca="false">$B$4-13*($B$5+$B$6)/30-IF($B$11&lt;=13,$B$12,0)+0</f>
        <v>8876.66666666667</v>
      </c>
      <c r="S586" s="14" t="n">
        <f aca="false">$B$4-27*($B$5+$B$6)/30-IF($B$11&lt;=27,$B$12,0)+L586</f>
        <v>10035.7762119035</v>
      </c>
      <c r="T586" s="14" t="n">
        <f aca="false">$B$4-41*($B$5+$B$6)/30-IF($B$11&lt;=41,$B$12,0)+L586+M586</f>
        <v>1132.4377250297</v>
      </c>
      <c r="U586" s="14" t="n">
        <f aca="false">$B$4-55*($B$5+$B$6)/30-IF($B$11&lt;=55,$B$12,0)+L586+M586+N586</f>
        <v>2870.72527110089</v>
      </c>
      <c r="V586" s="14" t="n">
        <f aca="false">$B$4-69*($B$5+$B$6)/30-IF($B$11&lt;=69,$B$12,0)+L586+M586+N586+O586</f>
        <v>5120.56811868751</v>
      </c>
      <c r="W586" s="14" t="n">
        <f aca="false">$B$4-83*($B$5+$B$6)/30-IF($B$11&lt;=83,$B$12,0)+L586+M586+N586+O586+P586</f>
        <v>6681.90805939128</v>
      </c>
      <c r="X586" s="14" t="n">
        <f aca="false">$B$4-90*($B$5+$B$6)/30-IF($B$11&lt;=90,$B$12,0)+L586+M586+N586+O586+P586+Q586</f>
        <v>9236.30974587332</v>
      </c>
      <c r="AA586" s="14" t="n">
        <f aca="false">MIN(R586:X586)</f>
        <v>1132.4377250297</v>
      </c>
    </row>
    <row r="587" customFormat="false" ht="15" hidden="false" customHeight="false" outlineLevel="0" collapsed="false">
      <c r="K587" s="2" t="n">
        <v>582</v>
      </c>
      <c r="L587" s="14" t="n">
        <f aca="true">$B$16+NORMINV(RAND(),0,SQRT($B$13*($B$7+$B$8^2))*$B$9*(1-$B$10))</f>
        <v>4097.97240088755</v>
      </c>
      <c r="M587" s="14" t="n">
        <f aca="true">$B$16+NORMINV(RAND(),0,SQRT($B$13*($B$7+$B$8^2))*$B$9*(1-$B$10))</f>
        <v>4021.96908793808</v>
      </c>
      <c r="N587" s="14" t="n">
        <f aca="true">$B$16+NORMINV(RAND(),0,SQRT($B$13*($B$7+$B$8^2))*$B$9*(1-$B$10))</f>
        <v>3634.89693461841</v>
      </c>
      <c r="O587" s="14" t="n">
        <f aca="true">$B$16+NORMINV(RAND(),0,SQRT($B$13*($B$7+$B$8^2))*$B$9*(1-$B$10))</f>
        <v>3873.40689920658</v>
      </c>
      <c r="P587" s="14" t="n">
        <f aca="true">$B$16+NORMINV(RAND(),0,SQRT($B$13*($B$7+$B$8^2))*$B$9*(1-$B$10))</f>
        <v>3939.51697202208</v>
      </c>
      <c r="Q587" s="14" t="n">
        <f aca="true">$B$16+NORMINV(RAND(),0,SQRT($B$13*($B$7+$B$8^2))*$B$9*(1-$B$10))</f>
        <v>4175.09929811946</v>
      </c>
      <c r="R587" s="14" t="n">
        <f aca="false">$B$4-13*($B$5+$B$6)/30-IF($B$11&lt;=13,$B$12,0)+0</f>
        <v>8876.66666666667</v>
      </c>
      <c r="S587" s="14" t="n">
        <f aca="false">$B$4-27*($B$5+$B$6)/30-IF($B$11&lt;=27,$B$12,0)+L587</f>
        <v>10687.9724008875</v>
      </c>
      <c r="T587" s="14" t="n">
        <f aca="false">$B$4-41*($B$5+$B$6)/30-IF($B$11&lt;=41,$B$12,0)+L587+M587</f>
        <v>1238.47482215896</v>
      </c>
      <c r="U587" s="14" t="n">
        <f aca="false">$B$4-55*($B$5+$B$6)/30-IF($B$11&lt;=55,$B$12,0)+L587+M587+N587</f>
        <v>2586.7050901107</v>
      </c>
      <c r="V587" s="14" t="n">
        <f aca="false">$B$4-69*($B$5+$B$6)/30-IF($B$11&lt;=69,$B$12,0)+L587+M587+N587+O587</f>
        <v>4173.44532265061</v>
      </c>
      <c r="W587" s="14" t="n">
        <f aca="false">$B$4-83*($B$5+$B$6)/30-IF($B$11&lt;=83,$B$12,0)+L587+M587+N587+O587+P587</f>
        <v>5826.29562800603</v>
      </c>
      <c r="X587" s="14" t="n">
        <f aca="false">$B$4-90*($B$5+$B$6)/30-IF($B$11&lt;=90,$B$12,0)+L587+M587+N587+O587+P587+Q587</f>
        <v>8858.06159279215</v>
      </c>
      <c r="AA587" s="14" t="n">
        <f aca="false">MIN(R587:X587)</f>
        <v>1238.47482215896</v>
      </c>
    </row>
    <row r="588" customFormat="false" ht="15" hidden="false" customHeight="false" outlineLevel="0" collapsed="false">
      <c r="K588" s="2" t="n">
        <v>583</v>
      </c>
      <c r="L588" s="14" t="n">
        <f aca="true">$B$16+NORMINV(RAND(),0,SQRT($B$13*($B$7+$B$8^2))*$B$9*(1-$B$10))</f>
        <v>3739.8186448896</v>
      </c>
      <c r="M588" s="14" t="n">
        <f aca="true">$B$16+NORMINV(RAND(),0,SQRT($B$13*($B$7+$B$8^2))*$B$9*(1-$B$10))</f>
        <v>4016.61560222916</v>
      </c>
      <c r="N588" s="14" t="n">
        <f aca="true">$B$16+NORMINV(RAND(),0,SQRT($B$13*($B$7+$B$8^2))*$B$9*(1-$B$10))</f>
        <v>4199.760442139</v>
      </c>
      <c r="O588" s="14" t="n">
        <f aca="true">$B$16+NORMINV(RAND(),0,SQRT($B$13*($B$7+$B$8^2))*$B$9*(1-$B$10))</f>
        <v>3988.96455257924</v>
      </c>
      <c r="P588" s="14" t="n">
        <f aca="true">$B$16+NORMINV(RAND(),0,SQRT($B$13*($B$7+$B$8^2))*$B$9*(1-$B$10))</f>
        <v>4370.88045023838</v>
      </c>
      <c r="Q588" s="14" t="n">
        <f aca="true">$B$16+NORMINV(RAND(),0,SQRT($B$13*($B$7+$B$8^2))*$B$9*(1-$B$10))</f>
        <v>4042.92835440353</v>
      </c>
      <c r="R588" s="14" t="n">
        <f aca="false">$B$4-13*($B$5+$B$6)/30-IF($B$11&lt;=13,$B$12,0)+0</f>
        <v>8876.66666666667</v>
      </c>
      <c r="S588" s="14" t="n">
        <f aca="false">$B$4-27*($B$5+$B$6)/30-IF($B$11&lt;=27,$B$12,0)+L588</f>
        <v>10329.8186448896</v>
      </c>
      <c r="T588" s="14" t="n">
        <f aca="false">$B$4-41*($B$5+$B$6)/30-IF($B$11&lt;=41,$B$12,0)+L588+M588</f>
        <v>874.96758045209</v>
      </c>
      <c r="U588" s="14" t="n">
        <f aca="false">$B$4-55*($B$5+$B$6)/30-IF($B$11&lt;=55,$B$12,0)+L588+M588+N588</f>
        <v>2788.06135592442</v>
      </c>
      <c r="V588" s="14" t="n">
        <f aca="false">$B$4-69*($B$5+$B$6)/30-IF($B$11&lt;=69,$B$12,0)+L588+M588+N588+O588</f>
        <v>4490.359241837</v>
      </c>
      <c r="W588" s="14" t="n">
        <f aca="false">$B$4-83*($B$5+$B$6)/30-IF($B$11&lt;=83,$B$12,0)+L588+M588+N588+O588+P588</f>
        <v>6574.57302540871</v>
      </c>
      <c r="X588" s="14" t="n">
        <f aca="false">$B$4-90*($B$5+$B$6)/30-IF($B$11&lt;=90,$B$12,0)+L588+M588+N588+O588+P588+Q588</f>
        <v>9474.1680464789</v>
      </c>
      <c r="AA588" s="14" t="n">
        <f aca="false">MIN(R588:X588)</f>
        <v>874.96758045209</v>
      </c>
    </row>
    <row r="589" customFormat="false" ht="15" hidden="false" customHeight="false" outlineLevel="0" collapsed="false">
      <c r="K589" s="2" t="n">
        <v>584</v>
      </c>
      <c r="L589" s="14" t="n">
        <f aca="true">$B$16+NORMINV(RAND(),0,SQRT($B$13*($B$7+$B$8^2))*$B$9*(1-$B$10))</f>
        <v>4613.29801182723</v>
      </c>
      <c r="M589" s="14" t="n">
        <f aca="true">$B$16+NORMINV(RAND(),0,SQRT($B$13*($B$7+$B$8^2))*$B$9*(1-$B$10))</f>
        <v>3975.18974181812</v>
      </c>
      <c r="N589" s="14" t="n">
        <f aca="true">$B$16+NORMINV(RAND(),0,SQRT($B$13*($B$7+$B$8^2))*$B$9*(1-$B$10))</f>
        <v>3787.34951386766</v>
      </c>
      <c r="O589" s="14" t="n">
        <f aca="true">$B$16+NORMINV(RAND(),0,SQRT($B$13*($B$7+$B$8^2))*$B$9*(1-$B$10))</f>
        <v>3890.61775847375</v>
      </c>
      <c r="P589" s="14" t="n">
        <f aca="true">$B$16+NORMINV(RAND(),0,SQRT($B$13*($B$7+$B$8^2))*$B$9*(1-$B$10))</f>
        <v>3911.08384935032</v>
      </c>
      <c r="Q589" s="14" t="n">
        <f aca="true">$B$16+NORMINV(RAND(),0,SQRT($B$13*($B$7+$B$8^2))*$B$9*(1-$B$10))</f>
        <v>4003.86329604087</v>
      </c>
      <c r="R589" s="14" t="n">
        <f aca="false">$B$4-13*($B$5+$B$6)/30-IF($B$11&lt;=13,$B$12,0)+0</f>
        <v>8876.66666666667</v>
      </c>
      <c r="S589" s="14" t="n">
        <f aca="false">$B$4-27*($B$5+$B$6)/30-IF($B$11&lt;=27,$B$12,0)+L589</f>
        <v>11203.2980118272</v>
      </c>
      <c r="T589" s="14" t="n">
        <f aca="false">$B$4-41*($B$5+$B$6)/30-IF($B$11&lt;=41,$B$12,0)+L589+M589</f>
        <v>1707.02108697868</v>
      </c>
      <c r="U589" s="14" t="n">
        <f aca="false">$B$4-55*($B$5+$B$6)/30-IF($B$11&lt;=55,$B$12,0)+L589+M589+N589</f>
        <v>3207.70393417968</v>
      </c>
      <c r="V589" s="14" t="n">
        <f aca="false">$B$4-69*($B$5+$B$6)/30-IF($B$11&lt;=69,$B$12,0)+L589+M589+N589+O589</f>
        <v>4811.65502598676</v>
      </c>
      <c r="W589" s="14" t="n">
        <f aca="false">$B$4-83*($B$5+$B$6)/30-IF($B$11&lt;=83,$B$12,0)+L589+M589+N589+O589+P589</f>
        <v>6436.07220867042</v>
      </c>
      <c r="X589" s="14" t="n">
        <f aca="false">$B$4-90*($B$5+$B$6)/30-IF($B$11&lt;=90,$B$12,0)+L589+M589+N589+O589+P589+Q589</f>
        <v>9296.60217137796</v>
      </c>
      <c r="AA589" s="14" t="n">
        <f aca="false">MIN(R589:X589)</f>
        <v>1707.02108697868</v>
      </c>
    </row>
    <row r="590" customFormat="false" ht="15" hidden="false" customHeight="false" outlineLevel="0" collapsed="false">
      <c r="K590" s="2" t="n">
        <v>585</v>
      </c>
      <c r="L590" s="14" t="n">
        <f aca="true">$B$16+NORMINV(RAND(),0,SQRT($B$13*($B$7+$B$8^2))*$B$9*(1-$B$10))</f>
        <v>4278.8889704472</v>
      </c>
      <c r="M590" s="14" t="n">
        <f aca="true">$B$16+NORMINV(RAND(),0,SQRT($B$13*($B$7+$B$8^2))*$B$9*(1-$B$10))</f>
        <v>4162.58766576664</v>
      </c>
      <c r="N590" s="14" t="n">
        <f aca="true">$B$16+NORMINV(RAND(),0,SQRT($B$13*($B$7+$B$8^2))*$B$9*(1-$B$10))</f>
        <v>3197.83721192413</v>
      </c>
      <c r="O590" s="14" t="n">
        <f aca="true">$B$16+NORMINV(RAND(),0,SQRT($B$13*($B$7+$B$8^2))*$B$9*(1-$B$10))</f>
        <v>3980.1630699151</v>
      </c>
      <c r="P590" s="14" t="n">
        <f aca="true">$B$16+NORMINV(RAND(),0,SQRT($B$13*($B$7+$B$8^2))*$B$9*(1-$B$10))</f>
        <v>4714.76162406506</v>
      </c>
      <c r="Q590" s="14" t="n">
        <f aca="true">$B$16+NORMINV(RAND(),0,SQRT($B$13*($B$7+$B$8^2))*$B$9*(1-$B$10))</f>
        <v>3765.59329198152</v>
      </c>
      <c r="R590" s="14" t="n">
        <f aca="false">$B$4-13*($B$5+$B$6)/30-IF($B$11&lt;=13,$B$12,0)+0</f>
        <v>8876.66666666667</v>
      </c>
      <c r="S590" s="14" t="n">
        <f aca="false">$B$4-27*($B$5+$B$6)/30-IF($B$11&lt;=27,$B$12,0)+L590</f>
        <v>10868.8889704472</v>
      </c>
      <c r="T590" s="14" t="n">
        <f aca="false">$B$4-41*($B$5+$B$6)/30-IF($B$11&lt;=41,$B$12,0)+L590+M590</f>
        <v>1560.00996954717</v>
      </c>
      <c r="U590" s="14" t="n">
        <f aca="false">$B$4-55*($B$5+$B$6)/30-IF($B$11&lt;=55,$B$12,0)+L590+M590+N590</f>
        <v>2471.18051480464</v>
      </c>
      <c r="V590" s="14" t="n">
        <f aca="false">$B$4-69*($B$5+$B$6)/30-IF($B$11&lt;=69,$B$12,0)+L590+M590+N590+O590</f>
        <v>4164.67691805307</v>
      </c>
      <c r="W590" s="14" t="n">
        <f aca="false">$B$4-83*($B$5+$B$6)/30-IF($B$11&lt;=83,$B$12,0)+L590+M590+N590+O590+P590</f>
        <v>6592.77187545146</v>
      </c>
      <c r="X590" s="14" t="n">
        <f aca="false">$B$4-90*($B$5+$B$6)/30-IF($B$11&lt;=90,$B$12,0)+L590+M590+N590+O590+P590+Q590</f>
        <v>9215.03183409965</v>
      </c>
      <c r="AA590" s="14" t="n">
        <f aca="false">MIN(R590:X590)</f>
        <v>1560.00996954717</v>
      </c>
    </row>
    <row r="591" customFormat="false" ht="15" hidden="false" customHeight="false" outlineLevel="0" collapsed="false">
      <c r="K591" s="2" t="n">
        <v>586</v>
      </c>
      <c r="L591" s="14" t="n">
        <f aca="true">$B$16+NORMINV(RAND(),0,SQRT($B$13*($B$7+$B$8^2))*$B$9*(1-$B$10))</f>
        <v>3912.2320229032</v>
      </c>
      <c r="M591" s="14" t="n">
        <f aca="true">$B$16+NORMINV(RAND(),0,SQRT($B$13*($B$7+$B$8^2))*$B$9*(1-$B$10))</f>
        <v>4241.60376168324</v>
      </c>
      <c r="N591" s="14" t="n">
        <f aca="true">$B$16+NORMINV(RAND(),0,SQRT($B$13*($B$7+$B$8^2))*$B$9*(1-$B$10))</f>
        <v>3831.58827201613</v>
      </c>
      <c r="O591" s="14" t="n">
        <f aca="true">$B$16+NORMINV(RAND(),0,SQRT($B$13*($B$7+$B$8^2))*$B$9*(1-$B$10))</f>
        <v>3544.01730745293</v>
      </c>
      <c r="P591" s="14" t="n">
        <f aca="true">$B$16+NORMINV(RAND(),0,SQRT($B$13*($B$7+$B$8^2))*$B$9*(1-$B$10))</f>
        <v>3962.64190521823</v>
      </c>
      <c r="Q591" s="14" t="n">
        <f aca="true">$B$16+NORMINV(RAND(),0,SQRT($B$13*($B$7+$B$8^2))*$B$9*(1-$B$10))</f>
        <v>4235.99002787862</v>
      </c>
      <c r="R591" s="14" t="n">
        <f aca="false">$B$4-13*($B$5+$B$6)/30-IF($B$11&lt;=13,$B$12,0)+0</f>
        <v>8876.66666666667</v>
      </c>
      <c r="S591" s="14" t="n">
        <f aca="false">$B$4-27*($B$5+$B$6)/30-IF($B$11&lt;=27,$B$12,0)+L591</f>
        <v>10502.2320229032</v>
      </c>
      <c r="T591" s="14" t="n">
        <f aca="false">$B$4-41*($B$5+$B$6)/30-IF($B$11&lt;=41,$B$12,0)+L591+M591</f>
        <v>1272.36911791978</v>
      </c>
      <c r="U591" s="14" t="n">
        <f aca="false">$B$4-55*($B$5+$B$6)/30-IF($B$11&lt;=55,$B$12,0)+L591+M591+N591</f>
        <v>2817.29072326924</v>
      </c>
      <c r="V591" s="14" t="n">
        <f aca="false">$B$4-69*($B$5+$B$6)/30-IF($B$11&lt;=69,$B$12,0)+L591+M591+N591+O591</f>
        <v>4074.6413640555</v>
      </c>
      <c r="W591" s="14" t="n">
        <f aca="false">$B$4-83*($B$5+$B$6)/30-IF($B$11&lt;=83,$B$12,0)+L591+M591+N591+O591+P591</f>
        <v>5750.61660260707</v>
      </c>
      <c r="X591" s="14" t="n">
        <f aca="false">$B$4-90*($B$5+$B$6)/30-IF($B$11&lt;=90,$B$12,0)+L591+M591+N591+O591+P591+Q591</f>
        <v>8843.27329715236</v>
      </c>
      <c r="AA591" s="14" t="n">
        <f aca="false">MIN(R591:X591)</f>
        <v>1272.36911791978</v>
      </c>
    </row>
    <row r="592" customFormat="false" ht="15" hidden="false" customHeight="false" outlineLevel="0" collapsed="false">
      <c r="K592" s="2" t="n">
        <v>587</v>
      </c>
      <c r="L592" s="14" t="n">
        <f aca="true">$B$16+NORMINV(RAND(),0,SQRT($B$13*($B$7+$B$8^2))*$B$9*(1-$B$10))</f>
        <v>3999.54844595432</v>
      </c>
      <c r="M592" s="14" t="n">
        <f aca="true">$B$16+NORMINV(RAND(),0,SQRT($B$13*($B$7+$B$8^2))*$B$9*(1-$B$10))</f>
        <v>4135.99550869101</v>
      </c>
      <c r="N592" s="14" t="n">
        <f aca="true">$B$16+NORMINV(RAND(),0,SQRT($B$13*($B$7+$B$8^2))*$B$9*(1-$B$10))</f>
        <v>4414.85352982983</v>
      </c>
      <c r="O592" s="14" t="n">
        <f aca="true">$B$16+NORMINV(RAND(),0,SQRT($B$13*($B$7+$B$8^2))*$B$9*(1-$B$10))</f>
        <v>4028.51507915019</v>
      </c>
      <c r="P592" s="14" t="n">
        <f aca="true">$B$16+NORMINV(RAND(),0,SQRT($B$13*($B$7+$B$8^2))*$B$9*(1-$B$10))</f>
        <v>4620.17334605087</v>
      </c>
      <c r="Q592" s="14" t="n">
        <f aca="true">$B$16+NORMINV(RAND(),0,SQRT($B$13*($B$7+$B$8^2))*$B$9*(1-$B$10))</f>
        <v>4266.79973177542</v>
      </c>
      <c r="R592" s="14" t="n">
        <f aca="false">$B$4-13*($B$5+$B$6)/30-IF($B$11&lt;=13,$B$12,0)+0</f>
        <v>8876.66666666667</v>
      </c>
      <c r="S592" s="14" t="n">
        <f aca="false">$B$4-27*($B$5+$B$6)/30-IF($B$11&lt;=27,$B$12,0)+L592</f>
        <v>10589.5484459543</v>
      </c>
      <c r="T592" s="14" t="n">
        <f aca="false">$B$4-41*($B$5+$B$6)/30-IF($B$11&lt;=41,$B$12,0)+L592+M592</f>
        <v>1254.07728797867</v>
      </c>
      <c r="U592" s="14" t="n">
        <f aca="false">$B$4-55*($B$5+$B$6)/30-IF($B$11&lt;=55,$B$12,0)+L592+M592+N592</f>
        <v>3382.26415114183</v>
      </c>
      <c r="V592" s="14" t="n">
        <f aca="false">$B$4-69*($B$5+$B$6)/30-IF($B$11&lt;=69,$B$12,0)+L592+M592+N592+O592</f>
        <v>5124.11256362536</v>
      </c>
      <c r="W592" s="14" t="n">
        <f aca="false">$B$4-83*($B$5+$B$6)/30-IF($B$11&lt;=83,$B$12,0)+L592+M592+N592+O592+P592</f>
        <v>7457.61924300956</v>
      </c>
      <c r="X592" s="14" t="n">
        <f aca="false">$B$4-90*($B$5+$B$6)/30-IF($B$11&lt;=90,$B$12,0)+L592+M592+N592+O592+P592+Q592</f>
        <v>10581.0856414517</v>
      </c>
      <c r="AA592" s="14" t="n">
        <f aca="false">MIN(R592:X592)</f>
        <v>1254.07728797867</v>
      </c>
    </row>
    <row r="593" customFormat="false" ht="15" hidden="false" customHeight="false" outlineLevel="0" collapsed="false">
      <c r="K593" s="2" t="n">
        <v>588</v>
      </c>
      <c r="L593" s="14" t="n">
        <f aca="true">$B$16+NORMINV(RAND(),0,SQRT($B$13*($B$7+$B$8^2))*$B$9*(1-$B$10))</f>
        <v>4370.11832862006</v>
      </c>
      <c r="M593" s="14" t="n">
        <f aca="true">$B$16+NORMINV(RAND(),0,SQRT($B$13*($B$7+$B$8^2))*$B$9*(1-$B$10))</f>
        <v>4064.61398263376</v>
      </c>
      <c r="N593" s="14" t="n">
        <f aca="true">$B$16+NORMINV(RAND(),0,SQRT($B$13*($B$7+$B$8^2))*$B$9*(1-$B$10))</f>
        <v>4691.86292760724</v>
      </c>
      <c r="O593" s="14" t="n">
        <f aca="true">$B$16+NORMINV(RAND(),0,SQRT($B$13*($B$7+$B$8^2))*$B$9*(1-$B$10))</f>
        <v>4148.45118790167</v>
      </c>
      <c r="P593" s="14" t="n">
        <f aca="true">$B$16+NORMINV(RAND(),0,SQRT($B$13*($B$7+$B$8^2))*$B$9*(1-$B$10))</f>
        <v>4529.42517299193</v>
      </c>
      <c r="Q593" s="14" t="n">
        <f aca="true">$B$16+NORMINV(RAND(),0,SQRT($B$13*($B$7+$B$8^2))*$B$9*(1-$B$10))</f>
        <v>4339.57992441658</v>
      </c>
      <c r="R593" s="14" t="n">
        <f aca="false">$B$4-13*($B$5+$B$6)/30-IF($B$11&lt;=13,$B$12,0)+0</f>
        <v>8876.66666666667</v>
      </c>
      <c r="S593" s="14" t="n">
        <f aca="false">$B$4-27*($B$5+$B$6)/30-IF($B$11&lt;=27,$B$12,0)+L593</f>
        <v>10960.1183286201</v>
      </c>
      <c r="T593" s="14" t="n">
        <f aca="false">$B$4-41*($B$5+$B$6)/30-IF($B$11&lt;=41,$B$12,0)+L593+M593</f>
        <v>1553.26564458716</v>
      </c>
      <c r="U593" s="14" t="n">
        <f aca="false">$B$4-55*($B$5+$B$6)/30-IF($B$11&lt;=55,$B$12,0)+L593+M593+N593</f>
        <v>3958.46190552773</v>
      </c>
      <c r="V593" s="14" t="n">
        <f aca="false">$B$4-69*($B$5+$B$6)/30-IF($B$11&lt;=69,$B$12,0)+L593+M593+N593+O593</f>
        <v>5820.24642676274</v>
      </c>
      <c r="W593" s="14" t="n">
        <f aca="false">$B$4-83*($B$5+$B$6)/30-IF($B$11&lt;=83,$B$12,0)+L593+M593+N593+O593+P593</f>
        <v>8063.004933088</v>
      </c>
      <c r="X593" s="14" t="n">
        <f aca="false">$B$4-90*($B$5+$B$6)/30-IF($B$11&lt;=90,$B$12,0)+L593+M593+N593+O593+P593+Q593</f>
        <v>11259.2515241713</v>
      </c>
      <c r="AA593" s="14" t="n">
        <f aca="false">MIN(R593:X593)</f>
        <v>1553.26564458716</v>
      </c>
    </row>
    <row r="594" customFormat="false" ht="15" hidden="false" customHeight="false" outlineLevel="0" collapsed="false">
      <c r="K594" s="2" t="n">
        <v>589</v>
      </c>
      <c r="L594" s="14" t="n">
        <f aca="true">$B$16+NORMINV(RAND(),0,SQRT($B$13*($B$7+$B$8^2))*$B$9*(1-$B$10))</f>
        <v>4670.51270078532</v>
      </c>
      <c r="M594" s="14" t="n">
        <f aca="true">$B$16+NORMINV(RAND(),0,SQRT($B$13*($B$7+$B$8^2))*$B$9*(1-$B$10))</f>
        <v>3584.52268889446</v>
      </c>
      <c r="N594" s="14" t="n">
        <f aca="true">$B$16+NORMINV(RAND(),0,SQRT($B$13*($B$7+$B$8^2))*$B$9*(1-$B$10))</f>
        <v>4249.42885236445</v>
      </c>
      <c r="O594" s="14" t="n">
        <f aca="true">$B$16+NORMINV(RAND(),0,SQRT($B$13*($B$7+$B$8^2))*$B$9*(1-$B$10))</f>
        <v>3781.48961276242</v>
      </c>
      <c r="P594" s="14" t="n">
        <f aca="true">$B$16+NORMINV(RAND(),0,SQRT($B$13*($B$7+$B$8^2))*$B$9*(1-$B$10))</f>
        <v>3402.46471315175</v>
      </c>
      <c r="Q594" s="14" t="n">
        <f aca="true">$B$16+NORMINV(RAND(),0,SQRT($B$13*($B$7+$B$8^2))*$B$9*(1-$B$10))</f>
        <v>4458.66102501289</v>
      </c>
      <c r="R594" s="14" t="n">
        <f aca="false">$B$4-13*($B$5+$B$6)/30-IF($B$11&lt;=13,$B$12,0)+0</f>
        <v>8876.66666666667</v>
      </c>
      <c r="S594" s="14" t="n">
        <f aca="false">$B$4-27*($B$5+$B$6)/30-IF($B$11&lt;=27,$B$12,0)+L594</f>
        <v>11260.5127007853</v>
      </c>
      <c r="T594" s="14" t="n">
        <f aca="false">$B$4-41*($B$5+$B$6)/30-IF($B$11&lt;=41,$B$12,0)+L594+M594</f>
        <v>1373.56872301311</v>
      </c>
      <c r="U594" s="14" t="n">
        <f aca="false">$B$4-55*($B$5+$B$6)/30-IF($B$11&lt;=55,$B$12,0)+L594+M594+N594</f>
        <v>3336.33090871089</v>
      </c>
      <c r="V594" s="14" t="n">
        <f aca="false">$B$4-69*($B$5+$B$6)/30-IF($B$11&lt;=69,$B$12,0)+L594+M594+N594+O594</f>
        <v>4831.15385480664</v>
      </c>
      <c r="W594" s="14" t="n">
        <f aca="false">$B$4-83*($B$5+$B$6)/30-IF($B$11&lt;=83,$B$12,0)+L594+M594+N594+O594+P594</f>
        <v>5946.95190129173</v>
      </c>
      <c r="X594" s="14" t="n">
        <f aca="false">$B$4-90*($B$5+$B$6)/30-IF($B$11&lt;=90,$B$12,0)+L594+M594+N594+O594+P594+Q594</f>
        <v>9262.27959297129</v>
      </c>
      <c r="AA594" s="14" t="n">
        <f aca="false">MIN(R594:X594)</f>
        <v>1373.56872301311</v>
      </c>
    </row>
    <row r="595" customFormat="false" ht="15" hidden="false" customHeight="false" outlineLevel="0" collapsed="false">
      <c r="K595" s="2" t="n">
        <v>590</v>
      </c>
      <c r="L595" s="14" t="n">
        <f aca="true">$B$16+NORMINV(RAND(),0,SQRT($B$13*($B$7+$B$8^2))*$B$9*(1-$B$10))</f>
        <v>3494.37316597672</v>
      </c>
      <c r="M595" s="14" t="n">
        <f aca="true">$B$16+NORMINV(RAND(),0,SQRT($B$13*($B$7+$B$8^2))*$B$9*(1-$B$10))</f>
        <v>4723.12144582597</v>
      </c>
      <c r="N595" s="14" t="n">
        <f aca="true">$B$16+NORMINV(RAND(),0,SQRT($B$13*($B$7+$B$8^2))*$B$9*(1-$B$10))</f>
        <v>4330.22773771217</v>
      </c>
      <c r="O595" s="14" t="n">
        <f aca="true">$B$16+NORMINV(RAND(),0,SQRT($B$13*($B$7+$B$8^2))*$B$9*(1-$B$10))</f>
        <v>3825.25294688201</v>
      </c>
      <c r="P595" s="14" t="n">
        <f aca="true">$B$16+NORMINV(RAND(),0,SQRT($B$13*($B$7+$B$8^2))*$B$9*(1-$B$10))</f>
        <v>3610.31982092404</v>
      </c>
      <c r="Q595" s="14" t="n">
        <f aca="true">$B$16+NORMINV(RAND(),0,SQRT($B$13*($B$7+$B$8^2))*$B$9*(1-$B$10))</f>
        <v>4139.16770099334</v>
      </c>
      <c r="R595" s="14" t="n">
        <f aca="false">$B$4-13*($B$5+$B$6)/30-IF($B$11&lt;=13,$B$12,0)+0</f>
        <v>8876.66666666667</v>
      </c>
      <c r="S595" s="14" t="n">
        <f aca="false">$B$4-27*($B$5+$B$6)/30-IF($B$11&lt;=27,$B$12,0)+L595</f>
        <v>10084.3731659767</v>
      </c>
      <c r="T595" s="14" t="n">
        <f aca="false">$B$4-41*($B$5+$B$6)/30-IF($B$11&lt;=41,$B$12,0)+L595+M595</f>
        <v>1336.02794513602</v>
      </c>
      <c r="U595" s="14" t="n">
        <f aca="false">$B$4-55*($B$5+$B$6)/30-IF($B$11&lt;=55,$B$12,0)+L595+M595+N595</f>
        <v>3379.58901618152</v>
      </c>
      <c r="V595" s="14" t="n">
        <f aca="false">$B$4-69*($B$5+$B$6)/30-IF($B$11&lt;=69,$B$12,0)+L595+M595+N595+O595</f>
        <v>4918.17529639687</v>
      </c>
      <c r="W595" s="14" t="n">
        <f aca="false">$B$4-83*($B$5+$B$6)/30-IF($B$11&lt;=83,$B$12,0)+L595+M595+N595+O595+P595</f>
        <v>6241.82845065424</v>
      </c>
      <c r="X595" s="14" t="n">
        <f aca="false">$B$4-90*($B$5+$B$6)/30-IF($B$11&lt;=90,$B$12,0)+L595+M595+N595+O595+P595+Q595</f>
        <v>9237.66281831424</v>
      </c>
      <c r="AA595" s="14" t="n">
        <f aca="false">MIN(R595:X595)</f>
        <v>1336.02794513602</v>
      </c>
    </row>
    <row r="596" customFormat="false" ht="15" hidden="false" customHeight="false" outlineLevel="0" collapsed="false">
      <c r="K596" s="2" t="n">
        <v>591</v>
      </c>
      <c r="L596" s="14" t="n">
        <f aca="true">$B$16+NORMINV(RAND(),0,SQRT($B$13*($B$7+$B$8^2))*$B$9*(1-$B$10))</f>
        <v>4034.48595420145</v>
      </c>
      <c r="M596" s="14" t="n">
        <f aca="true">$B$16+NORMINV(RAND(),0,SQRT($B$13*($B$7+$B$8^2))*$B$9*(1-$B$10))</f>
        <v>4211.74858873737</v>
      </c>
      <c r="N596" s="14" t="n">
        <f aca="true">$B$16+NORMINV(RAND(),0,SQRT($B$13*($B$7+$B$8^2))*$B$9*(1-$B$10))</f>
        <v>3669.87404781899</v>
      </c>
      <c r="O596" s="14" t="n">
        <f aca="true">$B$16+NORMINV(RAND(),0,SQRT($B$13*($B$7+$B$8^2))*$B$9*(1-$B$10))</f>
        <v>4317.3625238224</v>
      </c>
      <c r="P596" s="14" t="n">
        <f aca="true">$B$16+NORMINV(RAND(),0,SQRT($B$13*($B$7+$B$8^2))*$B$9*(1-$B$10))</f>
        <v>4104.81793091691</v>
      </c>
      <c r="Q596" s="14" t="n">
        <f aca="true">$B$16+NORMINV(RAND(),0,SQRT($B$13*($B$7+$B$8^2))*$B$9*(1-$B$10))</f>
        <v>4247.10829644718</v>
      </c>
      <c r="R596" s="14" t="n">
        <f aca="false">$B$4-13*($B$5+$B$6)/30-IF($B$11&lt;=13,$B$12,0)+0</f>
        <v>8876.66666666667</v>
      </c>
      <c r="S596" s="14" t="n">
        <f aca="false">$B$4-27*($B$5+$B$6)/30-IF($B$11&lt;=27,$B$12,0)+L596</f>
        <v>10624.4859542014</v>
      </c>
      <c r="T596" s="14" t="n">
        <f aca="false">$B$4-41*($B$5+$B$6)/30-IF($B$11&lt;=41,$B$12,0)+L596+M596</f>
        <v>1364.76787627215</v>
      </c>
      <c r="U596" s="14" t="n">
        <f aca="false">$B$4-55*($B$5+$B$6)/30-IF($B$11&lt;=55,$B$12,0)+L596+M596+N596</f>
        <v>2747.97525742448</v>
      </c>
      <c r="V596" s="14" t="n">
        <f aca="false">$B$4-69*($B$5+$B$6)/30-IF($B$11&lt;=69,$B$12,0)+L596+M596+N596+O596</f>
        <v>4778.67111458021</v>
      </c>
      <c r="W596" s="14" t="n">
        <f aca="false">$B$4-83*($B$5+$B$6)/30-IF($B$11&lt;=83,$B$12,0)+L596+M596+N596+O596+P596</f>
        <v>6596.82237883045</v>
      </c>
      <c r="X596" s="14" t="n">
        <f aca="false">$B$4-90*($B$5+$B$6)/30-IF($B$11&lt;=90,$B$12,0)+L596+M596+N596+O596+P596+Q596</f>
        <v>9700.5973419443</v>
      </c>
      <c r="AA596" s="14" t="n">
        <f aca="false">MIN(R596:X596)</f>
        <v>1364.76787627215</v>
      </c>
    </row>
    <row r="597" customFormat="false" ht="15" hidden="false" customHeight="false" outlineLevel="0" collapsed="false">
      <c r="K597" s="2" t="n">
        <v>592</v>
      </c>
      <c r="L597" s="14" t="n">
        <f aca="true">$B$16+NORMINV(RAND(),0,SQRT($B$13*($B$7+$B$8^2))*$B$9*(1-$B$10))</f>
        <v>4496.95251467272</v>
      </c>
      <c r="M597" s="14" t="n">
        <f aca="true">$B$16+NORMINV(RAND(),0,SQRT($B$13*($B$7+$B$8^2))*$B$9*(1-$B$10))</f>
        <v>4136.48758053863</v>
      </c>
      <c r="N597" s="14" t="n">
        <f aca="true">$B$16+NORMINV(RAND(),0,SQRT($B$13*($B$7+$B$8^2))*$B$9*(1-$B$10))</f>
        <v>3907.70978953067</v>
      </c>
      <c r="O597" s="14" t="n">
        <f aca="true">$B$16+NORMINV(RAND(),0,SQRT($B$13*($B$7+$B$8^2))*$B$9*(1-$B$10))</f>
        <v>3859.56778832729</v>
      </c>
      <c r="P597" s="14" t="n">
        <f aca="true">$B$16+NORMINV(RAND(),0,SQRT($B$13*($B$7+$B$8^2))*$B$9*(1-$B$10))</f>
        <v>4154.1667262297</v>
      </c>
      <c r="Q597" s="14" t="n">
        <f aca="true">$B$16+NORMINV(RAND(),0,SQRT($B$13*($B$7+$B$8^2))*$B$9*(1-$B$10))</f>
        <v>4379.18208536831</v>
      </c>
      <c r="R597" s="14" t="n">
        <f aca="false">$B$4-13*($B$5+$B$6)/30-IF($B$11&lt;=13,$B$12,0)+0</f>
        <v>8876.66666666667</v>
      </c>
      <c r="S597" s="14" t="n">
        <f aca="false">$B$4-27*($B$5+$B$6)/30-IF($B$11&lt;=27,$B$12,0)+L597</f>
        <v>11086.9525146727</v>
      </c>
      <c r="T597" s="14" t="n">
        <f aca="false">$B$4-41*($B$5+$B$6)/30-IF($B$11&lt;=41,$B$12,0)+L597+M597</f>
        <v>1751.97342854468</v>
      </c>
      <c r="U597" s="14" t="n">
        <f aca="false">$B$4-55*($B$5+$B$6)/30-IF($B$11&lt;=55,$B$12,0)+L597+M597+N597</f>
        <v>3373.01655140869</v>
      </c>
      <c r="V597" s="14" t="n">
        <f aca="false">$B$4-69*($B$5+$B$6)/30-IF($B$11&lt;=69,$B$12,0)+L597+M597+N597+O597</f>
        <v>4945.91767306932</v>
      </c>
      <c r="W597" s="14" t="n">
        <f aca="false">$B$4-83*($B$5+$B$6)/30-IF($B$11&lt;=83,$B$12,0)+L597+M597+N597+O597+P597</f>
        <v>6813.41773263235</v>
      </c>
      <c r="X597" s="14" t="n">
        <f aca="false">$B$4-90*($B$5+$B$6)/30-IF($B$11&lt;=90,$B$12,0)+L597+M597+N597+O597+P597+Q597</f>
        <v>10049.2664846673</v>
      </c>
      <c r="AA597" s="14" t="n">
        <f aca="false">MIN(R597:X597)</f>
        <v>1751.97342854468</v>
      </c>
    </row>
    <row r="598" customFormat="false" ht="15" hidden="false" customHeight="false" outlineLevel="0" collapsed="false">
      <c r="K598" s="2" t="n">
        <v>593</v>
      </c>
      <c r="L598" s="14" t="n">
        <f aca="true">$B$16+NORMINV(RAND(),0,SQRT($B$13*($B$7+$B$8^2))*$B$9*(1-$B$10))</f>
        <v>4213.52781100597</v>
      </c>
      <c r="M598" s="14" t="n">
        <f aca="true">$B$16+NORMINV(RAND(),0,SQRT($B$13*($B$7+$B$8^2))*$B$9*(1-$B$10))</f>
        <v>4000.89345632542</v>
      </c>
      <c r="N598" s="14" t="n">
        <f aca="true">$B$16+NORMINV(RAND(),0,SQRT($B$13*($B$7+$B$8^2))*$B$9*(1-$B$10))</f>
        <v>3765.18676274595</v>
      </c>
      <c r="O598" s="14" t="n">
        <f aca="true">$B$16+NORMINV(RAND(),0,SQRT($B$13*($B$7+$B$8^2))*$B$9*(1-$B$10))</f>
        <v>4208.5322198247</v>
      </c>
      <c r="P598" s="14" t="n">
        <f aca="true">$B$16+NORMINV(RAND(),0,SQRT($B$13*($B$7+$B$8^2))*$B$9*(1-$B$10))</f>
        <v>3770.68769419528</v>
      </c>
      <c r="Q598" s="14" t="n">
        <f aca="true">$B$16+NORMINV(RAND(),0,SQRT($B$13*($B$7+$B$8^2))*$B$9*(1-$B$10))</f>
        <v>3984.2578013617</v>
      </c>
      <c r="R598" s="14" t="n">
        <f aca="false">$B$4-13*($B$5+$B$6)/30-IF($B$11&lt;=13,$B$12,0)+0</f>
        <v>8876.66666666667</v>
      </c>
      <c r="S598" s="14" t="n">
        <f aca="false">$B$4-27*($B$5+$B$6)/30-IF($B$11&lt;=27,$B$12,0)+L598</f>
        <v>10803.527811006</v>
      </c>
      <c r="T598" s="14" t="n">
        <f aca="false">$B$4-41*($B$5+$B$6)/30-IF($B$11&lt;=41,$B$12,0)+L598+M598</f>
        <v>1332.95460066472</v>
      </c>
      <c r="U598" s="14" t="n">
        <f aca="false">$B$4-55*($B$5+$B$6)/30-IF($B$11&lt;=55,$B$12,0)+L598+M598+N598</f>
        <v>2811.474696744</v>
      </c>
      <c r="V598" s="14" t="n">
        <f aca="false">$B$4-69*($B$5+$B$6)/30-IF($B$11&lt;=69,$B$12,0)+L598+M598+N598+O598</f>
        <v>4733.34024990204</v>
      </c>
      <c r="W598" s="14" t="n">
        <f aca="false">$B$4-83*($B$5+$B$6)/30-IF($B$11&lt;=83,$B$12,0)+L598+M598+N598+O598+P598</f>
        <v>6217.36127743064</v>
      </c>
      <c r="X598" s="14" t="n">
        <f aca="false">$B$4-90*($B$5+$B$6)/30-IF($B$11&lt;=90,$B$12,0)+L598+M598+N598+O598+P598+Q598</f>
        <v>9058.28574545901</v>
      </c>
      <c r="AA598" s="14" t="n">
        <f aca="false">MIN(R598:X598)</f>
        <v>1332.95460066472</v>
      </c>
    </row>
    <row r="599" customFormat="false" ht="15" hidden="false" customHeight="false" outlineLevel="0" collapsed="false">
      <c r="K599" s="2" t="n">
        <v>594</v>
      </c>
      <c r="L599" s="14" t="n">
        <f aca="true">$B$16+NORMINV(RAND(),0,SQRT($B$13*($B$7+$B$8^2))*$B$9*(1-$B$10))</f>
        <v>4266.36862040499</v>
      </c>
      <c r="M599" s="14" t="n">
        <f aca="true">$B$16+NORMINV(RAND(),0,SQRT($B$13*($B$7+$B$8^2))*$B$9*(1-$B$10))</f>
        <v>3917.73421178294</v>
      </c>
      <c r="N599" s="14" t="n">
        <f aca="true">$B$16+NORMINV(RAND(),0,SQRT($B$13*($B$7+$B$8^2))*$B$9*(1-$B$10))</f>
        <v>4414.35545463945</v>
      </c>
      <c r="O599" s="14" t="n">
        <f aca="true">$B$16+NORMINV(RAND(),0,SQRT($B$13*($B$7+$B$8^2))*$B$9*(1-$B$10))</f>
        <v>4051.23780437549</v>
      </c>
      <c r="P599" s="14" t="n">
        <f aca="true">$B$16+NORMINV(RAND(),0,SQRT($B$13*($B$7+$B$8^2))*$B$9*(1-$B$10))</f>
        <v>4282.95622975842</v>
      </c>
      <c r="Q599" s="14" t="n">
        <f aca="true">$B$16+NORMINV(RAND(),0,SQRT($B$13*($B$7+$B$8^2))*$B$9*(1-$B$10))</f>
        <v>4091.89335503358</v>
      </c>
      <c r="R599" s="14" t="n">
        <f aca="false">$B$4-13*($B$5+$B$6)/30-IF($B$11&lt;=13,$B$12,0)+0</f>
        <v>8876.66666666667</v>
      </c>
      <c r="S599" s="14" t="n">
        <f aca="false">$B$4-27*($B$5+$B$6)/30-IF($B$11&lt;=27,$B$12,0)+L599</f>
        <v>10856.368620405</v>
      </c>
      <c r="T599" s="14" t="n">
        <f aca="false">$B$4-41*($B$5+$B$6)/30-IF($B$11&lt;=41,$B$12,0)+L599+M599</f>
        <v>1302.63616552126</v>
      </c>
      <c r="U599" s="14" t="n">
        <f aca="false">$B$4-55*($B$5+$B$6)/30-IF($B$11&lt;=55,$B$12,0)+L599+M599+N599</f>
        <v>3430.32495349405</v>
      </c>
      <c r="V599" s="14" t="n">
        <f aca="false">$B$4-69*($B$5+$B$6)/30-IF($B$11&lt;=69,$B$12,0)+L599+M599+N599+O599</f>
        <v>5194.89609120288</v>
      </c>
      <c r="W599" s="14" t="n">
        <f aca="false">$B$4-83*($B$5+$B$6)/30-IF($B$11&lt;=83,$B$12,0)+L599+M599+N599+O599+P599</f>
        <v>7191.18565429463</v>
      </c>
      <c r="X599" s="14" t="n">
        <f aca="false">$B$4-90*($B$5+$B$6)/30-IF($B$11&lt;=90,$B$12,0)+L599+M599+N599+O599+P599+Q599</f>
        <v>10139.7456759949</v>
      </c>
      <c r="AA599" s="14" t="n">
        <f aca="false">MIN(R599:X599)</f>
        <v>1302.63616552126</v>
      </c>
    </row>
    <row r="600" customFormat="false" ht="15" hidden="false" customHeight="false" outlineLevel="0" collapsed="false">
      <c r="K600" s="2" t="n">
        <v>595</v>
      </c>
      <c r="L600" s="14" t="n">
        <f aca="true">$B$16+NORMINV(RAND(),0,SQRT($B$13*($B$7+$B$8^2))*$B$9*(1-$B$10))</f>
        <v>4470.81833977002</v>
      </c>
      <c r="M600" s="14" t="n">
        <f aca="true">$B$16+NORMINV(RAND(),0,SQRT($B$13*($B$7+$B$8^2))*$B$9*(1-$B$10))</f>
        <v>4252.07429239106</v>
      </c>
      <c r="N600" s="14" t="n">
        <f aca="true">$B$16+NORMINV(RAND(),0,SQRT($B$13*($B$7+$B$8^2))*$B$9*(1-$B$10))</f>
        <v>3654.74110649266</v>
      </c>
      <c r="O600" s="14" t="n">
        <f aca="true">$B$16+NORMINV(RAND(),0,SQRT($B$13*($B$7+$B$8^2))*$B$9*(1-$B$10))</f>
        <v>4229.75705896456</v>
      </c>
      <c r="P600" s="14" t="n">
        <f aca="true">$B$16+NORMINV(RAND(),0,SQRT($B$13*($B$7+$B$8^2))*$B$9*(1-$B$10))</f>
        <v>4252.72807888513</v>
      </c>
      <c r="Q600" s="14" t="n">
        <f aca="true">$B$16+NORMINV(RAND(),0,SQRT($B$13*($B$7+$B$8^2))*$B$9*(1-$B$10))</f>
        <v>4164.24658467777</v>
      </c>
      <c r="R600" s="14" t="n">
        <f aca="false">$B$4-13*($B$5+$B$6)/30-IF($B$11&lt;=13,$B$12,0)+0</f>
        <v>8876.66666666667</v>
      </c>
      <c r="S600" s="14" t="n">
        <f aca="false">$B$4-27*($B$5+$B$6)/30-IF($B$11&lt;=27,$B$12,0)+L600</f>
        <v>11060.81833977</v>
      </c>
      <c r="T600" s="14" t="n">
        <f aca="false">$B$4-41*($B$5+$B$6)/30-IF($B$11&lt;=41,$B$12,0)+L600+M600</f>
        <v>1841.42596549442</v>
      </c>
      <c r="U600" s="14" t="n">
        <f aca="false">$B$4-55*($B$5+$B$6)/30-IF($B$11&lt;=55,$B$12,0)+L600+M600+N600</f>
        <v>3209.50040532041</v>
      </c>
      <c r="V600" s="14" t="n">
        <f aca="false">$B$4-69*($B$5+$B$6)/30-IF($B$11&lt;=69,$B$12,0)+L600+M600+N600+O600</f>
        <v>5152.59079761829</v>
      </c>
      <c r="W600" s="14" t="n">
        <f aca="false">$B$4-83*($B$5+$B$6)/30-IF($B$11&lt;=83,$B$12,0)+L600+M600+N600+O600+P600</f>
        <v>7118.65220983676</v>
      </c>
      <c r="X600" s="14" t="n">
        <f aca="false">$B$4-90*($B$5+$B$6)/30-IF($B$11&lt;=90,$B$12,0)+L600+M600+N600+O600+P600+Q600</f>
        <v>10139.5654611812</v>
      </c>
      <c r="AA600" s="14" t="n">
        <f aca="false">MIN(R600:X600)</f>
        <v>1841.42596549442</v>
      </c>
    </row>
    <row r="601" customFormat="false" ht="15" hidden="false" customHeight="false" outlineLevel="0" collapsed="false">
      <c r="K601" s="2" t="n">
        <v>596</v>
      </c>
      <c r="L601" s="14" t="n">
        <f aca="true">$B$16+NORMINV(RAND(),0,SQRT($B$13*($B$7+$B$8^2))*$B$9*(1-$B$10))</f>
        <v>4232.04801977716</v>
      </c>
      <c r="M601" s="14" t="n">
        <f aca="true">$B$16+NORMINV(RAND(),0,SQRT($B$13*($B$7+$B$8^2))*$B$9*(1-$B$10))</f>
        <v>3811.25398819172</v>
      </c>
      <c r="N601" s="14" t="n">
        <f aca="true">$B$16+NORMINV(RAND(),0,SQRT($B$13*($B$7+$B$8^2))*$B$9*(1-$B$10))</f>
        <v>3521.14324317218</v>
      </c>
      <c r="O601" s="14" t="n">
        <f aca="true">$B$16+NORMINV(RAND(),0,SQRT($B$13*($B$7+$B$8^2))*$B$9*(1-$B$10))</f>
        <v>3842.6902410082</v>
      </c>
      <c r="P601" s="14" t="n">
        <f aca="true">$B$16+NORMINV(RAND(),0,SQRT($B$13*($B$7+$B$8^2))*$B$9*(1-$B$10))</f>
        <v>4057.62334365823</v>
      </c>
      <c r="Q601" s="14" t="n">
        <f aca="true">$B$16+NORMINV(RAND(),0,SQRT($B$13*($B$7+$B$8^2))*$B$9*(1-$B$10))</f>
        <v>4134.26234550892</v>
      </c>
      <c r="R601" s="14" t="n">
        <f aca="false">$B$4-13*($B$5+$B$6)/30-IF($B$11&lt;=13,$B$12,0)+0</f>
        <v>8876.66666666667</v>
      </c>
      <c r="S601" s="14" t="n">
        <f aca="false">$B$4-27*($B$5+$B$6)/30-IF($B$11&lt;=27,$B$12,0)+L601</f>
        <v>10822.0480197772</v>
      </c>
      <c r="T601" s="14" t="n">
        <f aca="false">$B$4-41*($B$5+$B$6)/30-IF($B$11&lt;=41,$B$12,0)+L601+M601</f>
        <v>1161.83534130221</v>
      </c>
      <c r="U601" s="14" t="n">
        <f aca="false">$B$4-55*($B$5+$B$6)/30-IF($B$11&lt;=55,$B$12,0)+L601+M601+N601</f>
        <v>2396.31191780772</v>
      </c>
      <c r="V601" s="14" t="n">
        <f aca="false">$B$4-69*($B$5+$B$6)/30-IF($B$11&lt;=69,$B$12,0)+L601+M601+N601+O601</f>
        <v>3952.33549214925</v>
      </c>
      <c r="W601" s="14" t="n">
        <f aca="false">$B$4-83*($B$5+$B$6)/30-IF($B$11&lt;=83,$B$12,0)+L601+M601+N601+O601+P601</f>
        <v>5723.29216914081</v>
      </c>
      <c r="X601" s="14" t="n">
        <f aca="false">$B$4-90*($B$5+$B$6)/30-IF($B$11&lt;=90,$B$12,0)+L601+M601+N601+O601+P601+Q601</f>
        <v>8714.22118131639</v>
      </c>
      <c r="AA601" s="14" t="n">
        <f aca="false">MIN(R601:X601)</f>
        <v>1161.83534130221</v>
      </c>
    </row>
    <row r="602" customFormat="false" ht="15" hidden="false" customHeight="false" outlineLevel="0" collapsed="false">
      <c r="K602" s="2" t="n">
        <v>597</v>
      </c>
      <c r="L602" s="14" t="n">
        <f aca="true">$B$16+NORMINV(RAND(),0,SQRT($B$13*($B$7+$B$8^2))*$B$9*(1-$B$10))</f>
        <v>4097.2778918294</v>
      </c>
      <c r="M602" s="14" t="n">
        <f aca="true">$B$16+NORMINV(RAND(),0,SQRT($B$13*($B$7+$B$8^2))*$B$9*(1-$B$10))</f>
        <v>3675.28868750117</v>
      </c>
      <c r="N602" s="14" t="n">
        <f aca="true">$B$16+NORMINV(RAND(),0,SQRT($B$13*($B$7+$B$8^2))*$B$9*(1-$B$10))</f>
        <v>4159.28971141187</v>
      </c>
      <c r="O602" s="14" t="n">
        <f aca="true">$B$16+NORMINV(RAND(),0,SQRT($B$13*($B$7+$B$8^2))*$B$9*(1-$B$10))</f>
        <v>4499.71405144048</v>
      </c>
      <c r="P602" s="14" t="n">
        <f aca="true">$B$16+NORMINV(RAND(),0,SQRT($B$13*($B$7+$B$8^2))*$B$9*(1-$B$10))</f>
        <v>4346.74917353085</v>
      </c>
      <c r="Q602" s="14" t="n">
        <f aca="true">$B$16+NORMINV(RAND(),0,SQRT($B$13*($B$7+$B$8^2))*$B$9*(1-$B$10))</f>
        <v>3930.07634996855</v>
      </c>
      <c r="R602" s="14" t="n">
        <f aca="false">$B$4-13*($B$5+$B$6)/30-IF($B$11&lt;=13,$B$12,0)+0</f>
        <v>8876.66666666667</v>
      </c>
      <c r="S602" s="14" t="n">
        <f aca="false">$B$4-27*($B$5+$B$6)/30-IF($B$11&lt;=27,$B$12,0)+L602</f>
        <v>10687.2778918294</v>
      </c>
      <c r="T602" s="14" t="n">
        <f aca="false">$B$4-41*($B$5+$B$6)/30-IF($B$11&lt;=41,$B$12,0)+L602+M602</f>
        <v>891.099912663894</v>
      </c>
      <c r="U602" s="14" t="n">
        <f aca="false">$B$4-55*($B$5+$B$6)/30-IF($B$11&lt;=55,$B$12,0)+L602+M602+N602</f>
        <v>2763.7229574091</v>
      </c>
      <c r="V602" s="14" t="n">
        <f aca="false">$B$4-69*($B$5+$B$6)/30-IF($B$11&lt;=69,$B$12,0)+L602+M602+N602+O602</f>
        <v>4976.77034218291</v>
      </c>
      <c r="W602" s="14" t="n">
        <f aca="false">$B$4-83*($B$5+$B$6)/30-IF($B$11&lt;=83,$B$12,0)+L602+M602+N602+O602+P602</f>
        <v>7036.8528490471</v>
      </c>
      <c r="X602" s="14" t="n">
        <f aca="false">$B$4-90*($B$5+$B$6)/30-IF($B$11&lt;=90,$B$12,0)+L602+M602+N602+O602+P602+Q602</f>
        <v>9823.59586568232</v>
      </c>
      <c r="AA602" s="14" t="n">
        <f aca="false">MIN(R602:X602)</f>
        <v>891.099912663894</v>
      </c>
    </row>
    <row r="603" customFormat="false" ht="15" hidden="false" customHeight="false" outlineLevel="0" collapsed="false">
      <c r="K603" s="2" t="n">
        <v>598</v>
      </c>
      <c r="L603" s="14" t="n">
        <f aca="true">$B$16+NORMINV(RAND(),0,SQRT($B$13*($B$7+$B$8^2))*$B$9*(1-$B$10))</f>
        <v>4133.59866441268</v>
      </c>
      <c r="M603" s="14" t="n">
        <f aca="true">$B$16+NORMINV(RAND(),0,SQRT($B$13*($B$7+$B$8^2))*$B$9*(1-$B$10))</f>
        <v>3590.96138634887</v>
      </c>
      <c r="N603" s="14" t="n">
        <f aca="true">$B$16+NORMINV(RAND(),0,SQRT($B$13*($B$7+$B$8^2))*$B$9*(1-$B$10))</f>
        <v>4096.26345444074</v>
      </c>
      <c r="O603" s="14" t="n">
        <f aca="true">$B$16+NORMINV(RAND(),0,SQRT($B$13*($B$7+$B$8^2))*$B$9*(1-$B$10))</f>
        <v>4119.19589574382</v>
      </c>
      <c r="P603" s="14" t="n">
        <f aca="true">$B$16+NORMINV(RAND(),0,SQRT($B$13*($B$7+$B$8^2))*$B$9*(1-$B$10))</f>
        <v>3788.21997354237</v>
      </c>
      <c r="Q603" s="14" t="n">
        <f aca="true">$B$16+NORMINV(RAND(),0,SQRT($B$13*($B$7+$B$8^2))*$B$9*(1-$B$10))</f>
        <v>4409.02871009627</v>
      </c>
      <c r="R603" s="14" t="n">
        <f aca="false">$B$4-13*($B$5+$B$6)/30-IF($B$11&lt;=13,$B$12,0)+0</f>
        <v>8876.66666666667</v>
      </c>
      <c r="S603" s="14" t="n">
        <f aca="false">$B$4-27*($B$5+$B$6)/30-IF($B$11&lt;=27,$B$12,0)+L603</f>
        <v>10723.5986644127</v>
      </c>
      <c r="T603" s="14" t="n">
        <f aca="false">$B$4-41*($B$5+$B$6)/30-IF($B$11&lt;=41,$B$12,0)+L603+M603</f>
        <v>843.093384094878</v>
      </c>
      <c r="U603" s="14" t="n">
        <f aca="false">$B$4-55*($B$5+$B$6)/30-IF($B$11&lt;=55,$B$12,0)+L603+M603+N603</f>
        <v>2652.69017186895</v>
      </c>
      <c r="V603" s="14" t="n">
        <f aca="false">$B$4-69*($B$5+$B$6)/30-IF($B$11&lt;=69,$B$12,0)+L603+M603+N603+O603</f>
        <v>4485.21940094611</v>
      </c>
      <c r="W603" s="14" t="n">
        <f aca="false">$B$4-83*($B$5+$B$6)/30-IF($B$11&lt;=83,$B$12,0)+L603+M603+N603+O603+P603</f>
        <v>5986.77270782182</v>
      </c>
      <c r="X603" s="14" t="n">
        <f aca="false">$B$4-90*($B$5+$B$6)/30-IF($B$11&lt;=90,$B$12,0)+L603+M603+N603+O603+P603+Q603</f>
        <v>9252.46808458475</v>
      </c>
      <c r="AA603" s="14" t="n">
        <f aca="false">MIN(R603:X603)</f>
        <v>843.093384094878</v>
      </c>
    </row>
    <row r="604" customFormat="false" ht="15" hidden="false" customHeight="false" outlineLevel="0" collapsed="false">
      <c r="K604" s="2" t="n">
        <v>599</v>
      </c>
      <c r="L604" s="14" t="n">
        <f aca="true">$B$16+NORMINV(RAND(),0,SQRT($B$13*($B$7+$B$8^2))*$B$9*(1-$B$10))</f>
        <v>4215.91010932168</v>
      </c>
      <c r="M604" s="14" t="n">
        <f aca="true">$B$16+NORMINV(RAND(),0,SQRT($B$13*($B$7+$B$8^2))*$B$9*(1-$B$10))</f>
        <v>4645.91446222971</v>
      </c>
      <c r="N604" s="14" t="n">
        <f aca="true">$B$16+NORMINV(RAND(),0,SQRT($B$13*($B$7+$B$8^2))*$B$9*(1-$B$10))</f>
        <v>4256.10459565608</v>
      </c>
      <c r="O604" s="14" t="n">
        <f aca="true">$B$16+NORMINV(RAND(),0,SQRT($B$13*($B$7+$B$8^2))*$B$9*(1-$B$10))</f>
        <v>3940.35369237462</v>
      </c>
      <c r="P604" s="14" t="n">
        <f aca="true">$B$16+NORMINV(RAND(),0,SQRT($B$13*($B$7+$B$8^2))*$B$9*(1-$B$10))</f>
        <v>4185.55092785407</v>
      </c>
      <c r="Q604" s="14" t="n">
        <f aca="true">$B$16+NORMINV(RAND(),0,SQRT($B$13*($B$7+$B$8^2))*$B$9*(1-$B$10))</f>
        <v>4637.43200603361</v>
      </c>
      <c r="R604" s="14" t="n">
        <f aca="false">$B$4-13*($B$5+$B$6)/30-IF($B$11&lt;=13,$B$12,0)+0</f>
        <v>8876.66666666667</v>
      </c>
      <c r="S604" s="14" t="n">
        <f aca="false">$B$4-27*($B$5+$B$6)/30-IF($B$11&lt;=27,$B$12,0)+L604</f>
        <v>10805.9101093217</v>
      </c>
      <c r="T604" s="14" t="n">
        <f aca="false">$B$4-41*($B$5+$B$6)/30-IF($B$11&lt;=41,$B$12,0)+L604+M604</f>
        <v>1980.35790488472</v>
      </c>
      <c r="U604" s="14" t="n">
        <f aca="false">$B$4-55*($B$5+$B$6)/30-IF($B$11&lt;=55,$B$12,0)+L604+M604+N604</f>
        <v>3949.79583387414</v>
      </c>
      <c r="V604" s="14" t="n">
        <f aca="false">$B$4-69*($B$5+$B$6)/30-IF($B$11&lt;=69,$B$12,0)+L604+M604+N604+O604</f>
        <v>5603.48285958209</v>
      </c>
      <c r="W604" s="14" t="n">
        <f aca="false">$B$4-83*($B$5+$B$6)/30-IF($B$11&lt;=83,$B$12,0)+L604+M604+N604+O604+P604</f>
        <v>7502.3671207695</v>
      </c>
      <c r="X604" s="14" t="n">
        <f aca="false">$B$4-90*($B$5+$B$6)/30-IF($B$11&lt;=90,$B$12,0)+L604+M604+N604+O604+P604+Q604</f>
        <v>10996.4657934698</v>
      </c>
      <c r="AA604" s="14" t="n">
        <f aca="false">MIN(R604:X604)</f>
        <v>1980.35790488472</v>
      </c>
    </row>
    <row r="605" customFormat="false" ht="15" hidden="false" customHeight="false" outlineLevel="0" collapsed="false">
      <c r="K605" s="2" t="n">
        <v>600</v>
      </c>
      <c r="L605" s="14" t="n">
        <f aca="true">$B$16+NORMINV(RAND(),0,SQRT($B$13*($B$7+$B$8^2))*$B$9*(1-$B$10))</f>
        <v>3495.02440931303</v>
      </c>
      <c r="M605" s="14" t="n">
        <f aca="true">$B$16+NORMINV(RAND(),0,SQRT($B$13*($B$7+$B$8^2))*$B$9*(1-$B$10))</f>
        <v>4109.36587339144</v>
      </c>
      <c r="N605" s="14" t="n">
        <f aca="true">$B$16+NORMINV(RAND(),0,SQRT($B$13*($B$7+$B$8^2))*$B$9*(1-$B$10))</f>
        <v>4343.76108545622</v>
      </c>
      <c r="O605" s="14" t="n">
        <f aca="true">$B$16+NORMINV(RAND(),0,SQRT($B$13*($B$7+$B$8^2))*$B$9*(1-$B$10))</f>
        <v>3760.79960787092</v>
      </c>
      <c r="P605" s="14" t="n">
        <f aca="true">$B$16+NORMINV(RAND(),0,SQRT($B$13*($B$7+$B$8^2))*$B$9*(1-$B$10))</f>
        <v>4494.54013639915</v>
      </c>
      <c r="Q605" s="14" t="n">
        <f aca="true">$B$16+NORMINV(RAND(),0,SQRT($B$13*($B$7+$B$8^2))*$B$9*(1-$B$10))</f>
        <v>3846.18069791563</v>
      </c>
      <c r="R605" s="14" t="n">
        <f aca="false">$B$4-13*($B$5+$B$6)/30-IF($B$11&lt;=13,$B$12,0)+0</f>
        <v>8876.66666666667</v>
      </c>
      <c r="S605" s="14" t="n">
        <f aca="false">$B$4-27*($B$5+$B$6)/30-IF($B$11&lt;=27,$B$12,0)+L605</f>
        <v>10085.024409313</v>
      </c>
      <c r="T605" s="14" t="n">
        <f aca="false">$B$4-41*($B$5+$B$6)/30-IF($B$11&lt;=41,$B$12,0)+L605+M605</f>
        <v>722.923616037804</v>
      </c>
      <c r="U605" s="14" t="n">
        <f aca="false">$B$4-55*($B$5+$B$6)/30-IF($B$11&lt;=55,$B$12,0)+L605+M605+N605</f>
        <v>2780.01803482736</v>
      </c>
      <c r="V605" s="14" t="n">
        <f aca="false">$B$4-69*($B$5+$B$6)/30-IF($B$11&lt;=69,$B$12,0)+L605+M605+N605+O605</f>
        <v>4254.15097603161</v>
      </c>
      <c r="W605" s="14" t="n">
        <f aca="false">$B$4-83*($B$5+$B$6)/30-IF($B$11&lt;=83,$B$12,0)+L605+M605+N605+O605+P605</f>
        <v>6462.02444576409</v>
      </c>
      <c r="X605" s="14" t="n">
        <f aca="false">$B$4-90*($B$5+$B$6)/30-IF($B$11&lt;=90,$B$12,0)+L605+M605+N605+O605+P605+Q605</f>
        <v>9164.87181034639</v>
      </c>
      <c r="AA605" s="14" t="n">
        <f aca="false">MIN(R605:X605)</f>
        <v>722.923616037804</v>
      </c>
    </row>
    <row r="606" customFormat="false" ht="15" hidden="false" customHeight="false" outlineLevel="0" collapsed="false">
      <c r="K606" s="2" t="n">
        <v>601</v>
      </c>
      <c r="L606" s="14" t="n">
        <f aca="true">$B$16+NORMINV(RAND(),0,SQRT($B$13*($B$7+$B$8^2))*$B$9*(1-$B$10))</f>
        <v>3453.46116706922</v>
      </c>
      <c r="M606" s="14" t="n">
        <f aca="true">$B$16+NORMINV(RAND(),0,SQRT($B$13*($B$7+$B$8^2))*$B$9*(1-$B$10))</f>
        <v>4215.11653554586</v>
      </c>
      <c r="N606" s="14" t="n">
        <f aca="true">$B$16+NORMINV(RAND(),0,SQRT($B$13*($B$7+$B$8^2))*$B$9*(1-$B$10))</f>
        <v>3807.26793422709</v>
      </c>
      <c r="O606" s="14" t="n">
        <f aca="true">$B$16+NORMINV(RAND(),0,SQRT($B$13*($B$7+$B$8^2))*$B$9*(1-$B$10))</f>
        <v>3948.96736539793</v>
      </c>
      <c r="P606" s="14" t="n">
        <f aca="true">$B$16+NORMINV(RAND(),0,SQRT($B$13*($B$7+$B$8^2))*$B$9*(1-$B$10))</f>
        <v>4399.03592625398</v>
      </c>
      <c r="Q606" s="14" t="n">
        <f aca="true">$B$16+NORMINV(RAND(),0,SQRT($B$13*($B$7+$B$8^2))*$B$9*(1-$B$10))</f>
        <v>3996.01741967211</v>
      </c>
      <c r="R606" s="14" t="n">
        <f aca="false">$B$4-13*($B$5+$B$6)/30-IF($B$11&lt;=13,$B$12,0)+0</f>
        <v>8876.66666666667</v>
      </c>
      <c r="S606" s="14" t="n">
        <f aca="false">$B$4-27*($B$5+$B$6)/30-IF($B$11&lt;=27,$B$12,0)+L606</f>
        <v>10043.4611670692</v>
      </c>
      <c r="T606" s="14" t="n">
        <f aca="false">$B$4-41*($B$5+$B$6)/30-IF($B$11&lt;=41,$B$12,0)+L606+M606</f>
        <v>787.111035948407</v>
      </c>
      <c r="U606" s="14" t="n">
        <f aca="false">$B$4-55*($B$5+$B$6)/30-IF($B$11&lt;=55,$B$12,0)+L606+M606+N606</f>
        <v>2307.71230350884</v>
      </c>
      <c r="V606" s="14" t="n">
        <f aca="false">$B$4-69*($B$5+$B$6)/30-IF($B$11&lt;=69,$B$12,0)+L606+M606+N606+O606</f>
        <v>3970.0130022401</v>
      </c>
      <c r="W606" s="14" t="n">
        <f aca="false">$B$4-83*($B$5+$B$6)/30-IF($B$11&lt;=83,$B$12,0)+L606+M606+N606+O606+P606</f>
        <v>6082.38226182742</v>
      </c>
      <c r="X606" s="14" t="n">
        <f aca="false">$B$4-90*($B$5+$B$6)/30-IF($B$11&lt;=90,$B$12,0)+L606+M606+N606+O606+P606+Q606</f>
        <v>8935.06634816619</v>
      </c>
      <c r="AA606" s="14" t="n">
        <f aca="false">MIN(R606:X606)</f>
        <v>787.111035948407</v>
      </c>
    </row>
    <row r="607" customFormat="false" ht="15" hidden="false" customHeight="false" outlineLevel="0" collapsed="false">
      <c r="K607" s="2" t="n">
        <v>602</v>
      </c>
      <c r="L607" s="14" t="n">
        <f aca="true">$B$16+NORMINV(RAND(),0,SQRT($B$13*($B$7+$B$8^2))*$B$9*(1-$B$10))</f>
        <v>3035.26502091497</v>
      </c>
      <c r="M607" s="14" t="n">
        <f aca="true">$B$16+NORMINV(RAND(),0,SQRT($B$13*($B$7+$B$8^2))*$B$9*(1-$B$10))</f>
        <v>4717.24180720217</v>
      </c>
      <c r="N607" s="14" t="n">
        <f aca="true">$B$16+NORMINV(RAND(),0,SQRT($B$13*($B$7+$B$8^2))*$B$9*(1-$B$10))</f>
        <v>4218.10685124044</v>
      </c>
      <c r="O607" s="14" t="n">
        <f aca="true">$B$16+NORMINV(RAND(),0,SQRT($B$13*($B$7+$B$8^2))*$B$9*(1-$B$10))</f>
        <v>4066.27730862777</v>
      </c>
      <c r="P607" s="14" t="n">
        <f aca="true">$B$16+NORMINV(RAND(),0,SQRT($B$13*($B$7+$B$8^2))*$B$9*(1-$B$10))</f>
        <v>4118.78232209482</v>
      </c>
      <c r="Q607" s="14" t="n">
        <f aca="true">$B$16+NORMINV(RAND(),0,SQRT($B$13*($B$7+$B$8^2))*$B$9*(1-$B$10))</f>
        <v>4482.86994750846</v>
      </c>
      <c r="R607" s="14" t="n">
        <f aca="false">$B$4-13*($B$5+$B$6)/30-IF($B$11&lt;=13,$B$12,0)+0</f>
        <v>8876.66666666667</v>
      </c>
      <c r="S607" s="14" t="n">
        <f aca="false">$B$4-27*($B$5+$B$6)/30-IF($B$11&lt;=27,$B$12,0)+L607</f>
        <v>9625.26502091497</v>
      </c>
      <c r="T607" s="14" t="n">
        <f aca="false">$B$4-41*($B$5+$B$6)/30-IF($B$11&lt;=41,$B$12,0)+L607+M607</f>
        <v>871.040161450471</v>
      </c>
      <c r="U607" s="14" t="n">
        <f aca="false">$B$4-55*($B$5+$B$6)/30-IF($B$11&lt;=55,$B$12,0)+L607+M607+N607</f>
        <v>2802.48034602424</v>
      </c>
      <c r="V607" s="14" t="n">
        <f aca="false">$B$4-69*($B$5+$B$6)/30-IF($B$11&lt;=69,$B$12,0)+L607+M607+N607+O607</f>
        <v>4582.09098798535</v>
      </c>
      <c r="W607" s="14" t="n">
        <f aca="false">$B$4-83*($B$5+$B$6)/30-IF($B$11&lt;=83,$B$12,0)+L607+M607+N607+O607+P607</f>
        <v>6414.2066434135</v>
      </c>
      <c r="X607" s="14" t="n">
        <f aca="false">$B$4-90*($B$5+$B$6)/30-IF($B$11&lt;=90,$B$12,0)+L607+M607+N607+O607+P607+Q607</f>
        <v>9753.74325758862</v>
      </c>
      <c r="AA607" s="14" t="n">
        <f aca="false">MIN(R607:X607)</f>
        <v>871.040161450471</v>
      </c>
    </row>
    <row r="608" customFormat="false" ht="15" hidden="false" customHeight="false" outlineLevel="0" collapsed="false">
      <c r="K608" s="2" t="n">
        <v>603</v>
      </c>
      <c r="L608" s="14" t="n">
        <f aca="true">$B$16+NORMINV(RAND(),0,SQRT($B$13*($B$7+$B$8^2))*$B$9*(1-$B$10))</f>
        <v>4453.50944225633</v>
      </c>
      <c r="M608" s="14" t="n">
        <f aca="true">$B$16+NORMINV(RAND(),0,SQRT($B$13*($B$7+$B$8^2))*$B$9*(1-$B$10))</f>
        <v>3955.14583011224</v>
      </c>
      <c r="N608" s="14" t="n">
        <f aca="true">$B$16+NORMINV(RAND(),0,SQRT($B$13*($B$7+$B$8^2))*$B$9*(1-$B$10))</f>
        <v>3662.21554882446</v>
      </c>
      <c r="O608" s="14" t="n">
        <f aca="true">$B$16+NORMINV(RAND(),0,SQRT($B$13*($B$7+$B$8^2))*$B$9*(1-$B$10))</f>
        <v>4727.74976953341</v>
      </c>
      <c r="P608" s="14" t="n">
        <f aca="true">$B$16+NORMINV(RAND(),0,SQRT($B$13*($B$7+$B$8^2))*$B$9*(1-$B$10))</f>
        <v>4106.93497373005</v>
      </c>
      <c r="Q608" s="14" t="n">
        <f aca="true">$B$16+NORMINV(RAND(),0,SQRT($B$13*($B$7+$B$8^2))*$B$9*(1-$B$10))</f>
        <v>3555.43197345574</v>
      </c>
      <c r="R608" s="14" t="n">
        <f aca="false">$B$4-13*($B$5+$B$6)/30-IF($B$11&lt;=13,$B$12,0)+0</f>
        <v>8876.66666666667</v>
      </c>
      <c r="S608" s="14" t="n">
        <f aca="false">$B$4-27*($B$5+$B$6)/30-IF($B$11&lt;=27,$B$12,0)+L608</f>
        <v>11043.5094422563</v>
      </c>
      <c r="T608" s="14" t="n">
        <f aca="false">$B$4-41*($B$5+$B$6)/30-IF($B$11&lt;=41,$B$12,0)+L608+M608</f>
        <v>1527.1886057019</v>
      </c>
      <c r="U608" s="14" t="n">
        <f aca="false">$B$4-55*($B$5+$B$6)/30-IF($B$11&lt;=55,$B$12,0)+L608+M608+N608</f>
        <v>2902.73748785969</v>
      </c>
      <c r="V608" s="14" t="n">
        <f aca="false">$B$4-69*($B$5+$B$6)/30-IF($B$11&lt;=69,$B$12,0)+L608+M608+N608+O608</f>
        <v>5343.82059072644</v>
      </c>
      <c r="W608" s="14" t="n">
        <f aca="false">$B$4-83*($B$5+$B$6)/30-IF($B$11&lt;=83,$B$12,0)+L608+M608+N608+O608+P608</f>
        <v>7164.08889778983</v>
      </c>
      <c r="X608" s="14" t="n">
        <f aca="false">$B$4-90*($B$5+$B$6)/30-IF($B$11&lt;=90,$B$12,0)+L608+M608+N608+O608+P608+Q608</f>
        <v>9576.18753791223</v>
      </c>
      <c r="AA608" s="14" t="n">
        <f aca="false">MIN(R608:X608)</f>
        <v>1527.1886057019</v>
      </c>
    </row>
    <row r="609" customFormat="false" ht="15" hidden="false" customHeight="false" outlineLevel="0" collapsed="false">
      <c r="K609" s="2" t="n">
        <v>604</v>
      </c>
      <c r="L609" s="14" t="n">
        <f aca="true">$B$16+NORMINV(RAND(),0,SQRT($B$13*($B$7+$B$8^2))*$B$9*(1-$B$10))</f>
        <v>4317.64639165256</v>
      </c>
      <c r="M609" s="14" t="n">
        <f aca="true">$B$16+NORMINV(RAND(),0,SQRT($B$13*($B$7+$B$8^2))*$B$9*(1-$B$10))</f>
        <v>3886.84441069553</v>
      </c>
      <c r="N609" s="14" t="n">
        <f aca="true">$B$16+NORMINV(RAND(),0,SQRT($B$13*($B$7+$B$8^2))*$B$9*(1-$B$10))</f>
        <v>4272.01370871724</v>
      </c>
      <c r="O609" s="14" t="n">
        <f aca="true">$B$16+NORMINV(RAND(),0,SQRT($B$13*($B$7+$B$8^2))*$B$9*(1-$B$10))</f>
        <v>4737.56628535645</v>
      </c>
      <c r="P609" s="14" t="n">
        <f aca="true">$B$16+NORMINV(RAND(),0,SQRT($B$13*($B$7+$B$8^2))*$B$9*(1-$B$10))</f>
        <v>3431.8664667769</v>
      </c>
      <c r="Q609" s="14" t="n">
        <f aca="true">$B$16+NORMINV(RAND(),0,SQRT($B$13*($B$7+$B$8^2))*$B$9*(1-$B$10))</f>
        <v>3386.69582374485</v>
      </c>
      <c r="R609" s="14" t="n">
        <f aca="false">$B$4-13*($B$5+$B$6)/30-IF($B$11&lt;=13,$B$12,0)+0</f>
        <v>8876.66666666667</v>
      </c>
      <c r="S609" s="14" t="n">
        <f aca="false">$B$4-27*($B$5+$B$6)/30-IF($B$11&lt;=27,$B$12,0)+L609</f>
        <v>10907.6463916526</v>
      </c>
      <c r="T609" s="14" t="n">
        <f aca="false">$B$4-41*($B$5+$B$6)/30-IF($B$11&lt;=41,$B$12,0)+L609+M609</f>
        <v>1323.02413568142</v>
      </c>
      <c r="U609" s="14" t="n">
        <f aca="false">$B$4-55*($B$5+$B$6)/30-IF($B$11&lt;=55,$B$12,0)+L609+M609+N609</f>
        <v>3308.37117773199</v>
      </c>
      <c r="V609" s="14" t="n">
        <f aca="false">$B$4-69*($B$5+$B$6)/30-IF($B$11&lt;=69,$B$12,0)+L609+M609+N609+O609</f>
        <v>5759.27079642178</v>
      </c>
      <c r="W609" s="14" t="n">
        <f aca="false">$B$4-83*($B$5+$B$6)/30-IF($B$11&lt;=83,$B$12,0)+L609+M609+N609+O609+P609</f>
        <v>6904.47059653202</v>
      </c>
      <c r="X609" s="14" t="n">
        <f aca="false">$B$4-90*($B$5+$B$6)/30-IF($B$11&lt;=90,$B$12,0)+L609+M609+N609+O609+P609+Q609</f>
        <v>9147.83308694354</v>
      </c>
      <c r="AA609" s="14" t="n">
        <f aca="false">MIN(R609:X609)</f>
        <v>1323.02413568142</v>
      </c>
    </row>
    <row r="610" customFormat="false" ht="15" hidden="false" customHeight="false" outlineLevel="0" collapsed="false">
      <c r="K610" s="2" t="n">
        <v>605</v>
      </c>
      <c r="L610" s="14" t="n">
        <f aca="true">$B$16+NORMINV(RAND(),0,SQRT($B$13*($B$7+$B$8^2))*$B$9*(1-$B$10))</f>
        <v>4167.79556969432</v>
      </c>
      <c r="M610" s="14" t="n">
        <f aca="true">$B$16+NORMINV(RAND(),0,SQRT($B$13*($B$7+$B$8^2))*$B$9*(1-$B$10))</f>
        <v>4046.23004795009</v>
      </c>
      <c r="N610" s="14" t="n">
        <f aca="true">$B$16+NORMINV(RAND(),0,SQRT($B$13*($B$7+$B$8^2))*$B$9*(1-$B$10))</f>
        <v>3969.1235819024</v>
      </c>
      <c r="O610" s="14" t="n">
        <f aca="true">$B$16+NORMINV(RAND(),0,SQRT($B$13*($B$7+$B$8^2))*$B$9*(1-$B$10))</f>
        <v>4175.66948243668</v>
      </c>
      <c r="P610" s="14" t="n">
        <f aca="true">$B$16+NORMINV(RAND(),0,SQRT($B$13*($B$7+$B$8^2))*$B$9*(1-$B$10))</f>
        <v>3753.80136050104</v>
      </c>
      <c r="Q610" s="14" t="n">
        <f aca="true">$B$16+NORMINV(RAND(),0,SQRT($B$13*($B$7+$B$8^2))*$B$9*(1-$B$10))</f>
        <v>4393.52719218806</v>
      </c>
      <c r="R610" s="14" t="n">
        <f aca="false">$B$4-13*($B$5+$B$6)/30-IF($B$11&lt;=13,$B$12,0)+0</f>
        <v>8876.66666666667</v>
      </c>
      <c r="S610" s="14" t="n">
        <f aca="false">$B$4-27*($B$5+$B$6)/30-IF($B$11&lt;=27,$B$12,0)+L610</f>
        <v>10757.7955696943</v>
      </c>
      <c r="T610" s="14" t="n">
        <f aca="false">$B$4-41*($B$5+$B$6)/30-IF($B$11&lt;=41,$B$12,0)+L610+M610</f>
        <v>1332.55895097774</v>
      </c>
      <c r="U610" s="14" t="n">
        <f aca="false">$B$4-55*($B$5+$B$6)/30-IF($B$11&lt;=55,$B$12,0)+L610+M610+N610</f>
        <v>3015.01586621348</v>
      </c>
      <c r="V610" s="14" t="n">
        <f aca="false">$B$4-69*($B$5+$B$6)/30-IF($B$11&lt;=69,$B$12,0)+L610+M610+N610+O610</f>
        <v>4904.01868198349</v>
      </c>
      <c r="W610" s="14" t="n">
        <f aca="false">$B$4-83*($B$5+$B$6)/30-IF($B$11&lt;=83,$B$12,0)+L610+M610+N610+O610+P610</f>
        <v>6371.15337581786</v>
      </c>
      <c r="X610" s="14" t="n">
        <f aca="false">$B$4-90*($B$5+$B$6)/30-IF($B$11&lt;=90,$B$12,0)+L610+M610+N610+O610+P610+Q610</f>
        <v>9621.34723467259</v>
      </c>
      <c r="AA610" s="14" t="n">
        <f aca="false">MIN(R610:X610)</f>
        <v>1332.55895097774</v>
      </c>
    </row>
    <row r="611" customFormat="false" ht="15" hidden="false" customHeight="false" outlineLevel="0" collapsed="false">
      <c r="K611" s="2" t="n">
        <v>606</v>
      </c>
      <c r="L611" s="14" t="n">
        <f aca="true">$B$16+NORMINV(RAND(),0,SQRT($B$13*($B$7+$B$8^2))*$B$9*(1-$B$10))</f>
        <v>4271.78302427472</v>
      </c>
      <c r="M611" s="14" t="n">
        <f aca="true">$B$16+NORMINV(RAND(),0,SQRT($B$13*($B$7+$B$8^2))*$B$9*(1-$B$10))</f>
        <v>4498.73669479225</v>
      </c>
      <c r="N611" s="14" t="n">
        <f aca="true">$B$16+NORMINV(RAND(),0,SQRT($B$13*($B$7+$B$8^2))*$B$9*(1-$B$10))</f>
        <v>4460.05470449134</v>
      </c>
      <c r="O611" s="14" t="n">
        <f aca="true">$B$16+NORMINV(RAND(),0,SQRT($B$13*($B$7+$B$8^2))*$B$9*(1-$B$10))</f>
        <v>3860.2136033203</v>
      </c>
      <c r="P611" s="14" t="n">
        <f aca="true">$B$16+NORMINV(RAND(),0,SQRT($B$13*($B$7+$B$8^2))*$B$9*(1-$B$10))</f>
        <v>4130.42458222259</v>
      </c>
      <c r="Q611" s="14" t="n">
        <f aca="true">$B$16+NORMINV(RAND(),0,SQRT($B$13*($B$7+$B$8^2))*$B$9*(1-$B$10))</f>
        <v>4372.86171988755</v>
      </c>
      <c r="R611" s="14" t="n">
        <f aca="false">$B$4-13*($B$5+$B$6)/30-IF($B$11&lt;=13,$B$12,0)+0</f>
        <v>8876.66666666667</v>
      </c>
      <c r="S611" s="14" t="n">
        <f aca="false">$B$4-27*($B$5+$B$6)/30-IF($B$11&lt;=27,$B$12,0)+L611</f>
        <v>10861.7830242747</v>
      </c>
      <c r="T611" s="14" t="n">
        <f aca="false">$B$4-41*($B$5+$B$6)/30-IF($B$11&lt;=41,$B$12,0)+L611+M611</f>
        <v>1889.05305240031</v>
      </c>
      <c r="U611" s="14" t="n">
        <f aca="false">$B$4-55*($B$5+$B$6)/30-IF($B$11&lt;=55,$B$12,0)+L611+M611+N611</f>
        <v>4062.44109022498</v>
      </c>
      <c r="V611" s="14" t="n">
        <f aca="false">$B$4-69*($B$5+$B$6)/30-IF($B$11&lt;=69,$B$12,0)+L611+M611+N611+O611</f>
        <v>5635.98802687862</v>
      </c>
      <c r="W611" s="14" t="n">
        <f aca="false">$B$4-83*($B$5+$B$6)/30-IF($B$11&lt;=83,$B$12,0)+L611+M611+N611+O611+P611</f>
        <v>7479.74594243453</v>
      </c>
      <c r="X611" s="14" t="n">
        <f aca="false">$B$4-90*($B$5+$B$6)/30-IF($B$11&lt;=90,$B$12,0)+L611+M611+N611+O611+P611+Q611</f>
        <v>10709.2743289888</v>
      </c>
      <c r="AA611" s="14" t="n">
        <f aca="false">MIN(R611:X611)</f>
        <v>1889.05305240031</v>
      </c>
    </row>
    <row r="612" customFormat="false" ht="15" hidden="false" customHeight="false" outlineLevel="0" collapsed="false">
      <c r="K612" s="2" t="n">
        <v>607</v>
      </c>
      <c r="L612" s="14" t="n">
        <f aca="true">$B$16+NORMINV(RAND(),0,SQRT($B$13*($B$7+$B$8^2))*$B$9*(1-$B$10))</f>
        <v>3715.04847961795</v>
      </c>
      <c r="M612" s="14" t="n">
        <f aca="true">$B$16+NORMINV(RAND(),0,SQRT($B$13*($B$7+$B$8^2))*$B$9*(1-$B$10))</f>
        <v>4575.84453860731</v>
      </c>
      <c r="N612" s="14" t="n">
        <f aca="true">$B$16+NORMINV(RAND(),0,SQRT($B$13*($B$7+$B$8^2))*$B$9*(1-$B$10))</f>
        <v>4947.80005003035</v>
      </c>
      <c r="O612" s="14" t="n">
        <f aca="true">$B$16+NORMINV(RAND(),0,SQRT($B$13*($B$7+$B$8^2))*$B$9*(1-$B$10))</f>
        <v>3937.44867121273</v>
      </c>
      <c r="P612" s="14" t="n">
        <f aca="true">$B$16+NORMINV(RAND(),0,SQRT($B$13*($B$7+$B$8^2))*$B$9*(1-$B$10))</f>
        <v>4152.10210611186</v>
      </c>
      <c r="Q612" s="14" t="n">
        <f aca="true">$B$16+NORMINV(RAND(),0,SQRT($B$13*($B$7+$B$8^2))*$B$9*(1-$B$10))</f>
        <v>4681.09921280094</v>
      </c>
      <c r="R612" s="14" t="n">
        <f aca="false">$B$4-13*($B$5+$B$6)/30-IF($B$11&lt;=13,$B$12,0)+0</f>
        <v>8876.66666666667</v>
      </c>
      <c r="S612" s="14" t="n">
        <f aca="false">$B$4-27*($B$5+$B$6)/30-IF($B$11&lt;=27,$B$12,0)+L612</f>
        <v>10305.0484796179</v>
      </c>
      <c r="T612" s="14" t="n">
        <f aca="false">$B$4-41*($B$5+$B$6)/30-IF($B$11&lt;=41,$B$12,0)+L612+M612</f>
        <v>1409.42635155859</v>
      </c>
      <c r="U612" s="14" t="n">
        <f aca="false">$B$4-55*($B$5+$B$6)/30-IF($B$11&lt;=55,$B$12,0)+L612+M612+N612</f>
        <v>4070.55973492227</v>
      </c>
      <c r="V612" s="14" t="n">
        <f aca="false">$B$4-69*($B$5+$B$6)/30-IF($B$11&lt;=69,$B$12,0)+L612+M612+N612+O612</f>
        <v>5721.34173946834</v>
      </c>
      <c r="W612" s="14" t="n">
        <f aca="false">$B$4-83*($B$5+$B$6)/30-IF($B$11&lt;=83,$B$12,0)+L612+M612+N612+O612+P612</f>
        <v>7586.77717891353</v>
      </c>
      <c r="X612" s="14" t="n">
        <f aca="false">$B$4-90*($B$5+$B$6)/30-IF($B$11&lt;=90,$B$12,0)+L612+M612+N612+O612+P612+Q612</f>
        <v>11124.5430583811</v>
      </c>
      <c r="AA612" s="14" t="n">
        <f aca="false">MIN(R612:X612)</f>
        <v>1409.42635155859</v>
      </c>
    </row>
    <row r="613" customFormat="false" ht="15" hidden="false" customHeight="false" outlineLevel="0" collapsed="false">
      <c r="K613" s="2" t="n">
        <v>608</v>
      </c>
      <c r="L613" s="14" t="n">
        <f aca="true">$B$16+NORMINV(RAND(),0,SQRT($B$13*($B$7+$B$8^2))*$B$9*(1-$B$10))</f>
        <v>3799.61541659343</v>
      </c>
      <c r="M613" s="14" t="n">
        <f aca="true">$B$16+NORMINV(RAND(),0,SQRT($B$13*($B$7+$B$8^2))*$B$9*(1-$B$10))</f>
        <v>3924.37642423426</v>
      </c>
      <c r="N613" s="14" t="n">
        <f aca="true">$B$16+NORMINV(RAND(),0,SQRT($B$13*($B$7+$B$8^2))*$B$9*(1-$B$10))</f>
        <v>4130.08826771772</v>
      </c>
      <c r="O613" s="14" t="n">
        <f aca="true">$B$16+NORMINV(RAND(),0,SQRT($B$13*($B$7+$B$8^2))*$B$9*(1-$B$10))</f>
        <v>4460.2401185514</v>
      </c>
      <c r="P613" s="14" t="n">
        <f aca="true">$B$16+NORMINV(RAND(),0,SQRT($B$13*($B$7+$B$8^2))*$B$9*(1-$B$10))</f>
        <v>3546.73190883222</v>
      </c>
      <c r="Q613" s="14" t="n">
        <f aca="true">$B$16+NORMINV(RAND(),0,SQRT($B$13*($B$7+$B$8^2))*$B$9*(1-$B$10))</f>
        <v>3681.62690581929</v>
      </c>
      <c r="R613" s="14" t="n">
        <f aca="false">$B$4-13*($B$5+$B$6)/30-IF($B$11&lt;=13,$B$12,0)+0</f>
        <v>8876.66666666667</v>
      </c>
      <c r="S613" s="14" t="n">
        <f aca="false">$B$4-27*($B$5+$B$6)/30-IF($B$11&lt;=27,$B$12,0)+L613</f>
        <v>10389.6154165934</v>
      </c>
      <c r="T613" s="14" t="n">
        <f aca="false">$B$4-41*($B$5+$B$6)/30-IF($B$11&lt;=41,$B$12,0)+L613+M613</f>
        <v>842.525174161021</v>
      </c>
      <c r="U613" s="14" t="n">
        <f aca="false">$B$4-55*($B$5+$B$6)/30-IF($B$11&lt;=55,$B$12,0)+L613+M613+N613</f>
        <v>2685.94677521207</v>
      </c>
      <c r="V613" s="14" t="n">
        <f aca="false">$B$4-69*($B$5+$B$6)/30-IF($B$11&lt;=69,$B$12,0)+L613+M613+N613+O613</f>
        <v>4859.52022709681</v>
      </c>
      <c r="W613" s="14" t="n">
        <f aca="false">$B$4-83*($B$5+$B$6)/30-IF($B$11&lt;=83,$B$12,0)+L613+M613+N613+O613+P613</f>
        <v>6119.58546926236</v>
      </c>
      <c r="X613" s="14" t="n">
        <f aca="false">$B$4-90*($B$5+$B$6)/30-IF($B$11&lt;=90,$B$12,0)+L613+M613+N613+O613+P613+Q613</f>
        <v>8657.87904174832</v>
      </c>
      <c r="AA613" s="14" t="n">
        <f aca="false">MIN(R613:X613)</f>
        <v>842.525174161021</v>
      </c>
    </row>
    <row r="614" customFormat="false" ht="15" hidden="false" customHeight="false" outlineLevel="0" collapsed="false">
      <c r="K614" s="2" t="n">
        <v>609</v>
      </c>
      <c r="L614" s="14" t="n">
        <f aca="true">$B$16+NORMINV(RAND(),0,SQRT($B$13*($B$7+$B$8^2))*$B$9*(1-$B$10))</f>
        <v>4312.35706204982</v>
      </c>
      <c r="M614" s="14" t="n">
        <f aca="true">$B$16+NORMINV(RAND(),0,SQRT($B$13*($B$7+$B$8^2))*$B$9*(1-$B$10))</f>
        <v>4049.91923151358</v>
      </c>
      <c r="N614" s="14" t="n">
        <f aca="true">$B$16+NORMINV(RAND(),0,SQRT($B$13*($B$7+$B$8^2))*$B$9*(1-$B$10))</f>
        <v>4224.06874628824</v>
      </c>
      <c r="O614" s="14" t="n">
        <f aca="true">$B$16+NORMINV(RAND(),0,SQRT($B$13*($B$7+$B$8^2))*$B$9*(1-$B$10))</f>
        <v>4102.57570626593</v>
      </c>
      <c r="P614" s="14" t="n">
        <f aca="true">$B$16+NORMINV(RAND(),0,SQRT($B$13*($B$7+$B$8^2))*$B$9*(1-$B$10))</f>
        <v>4206.69276546251</v>
      </c>
      <c r="Q614" s="14" t="n">
        <f aca="true">$B$16+NORMINV(RAND(),0,SQRT($B$13*($B$7+$B$8^2))*$B$9*(1-$B$10))</f>
        <v>4756.72030245484</v>
      </c>
      <c r="R614" s="14" t="n">
        <f aca="false">$B$4-13*($B$5+$B$6)/30-IF($B$11&lt;=13,$B$12,0)+0</f>
        <v>8876.66666666667</v>
      </c>
      <c r="S614" s="14" t="n">
        <f aca="false">$B$4-27*($B$5+$B$6)/30-IF($B$11&lt;=27,$B$12,0)+L614</f>
        <v>10902.3570620498</v>
      </c>
      <c r="T614" s="14" t="n">
        <f aca="false">$B$4-41*($B$5+$B$6)/30-IF($B$11&lt;=41,$B$12,0)+L614+M614</f>
        <v>1480.80962689673</v>
      </c>
      <c r="U614" s="14" t="n">
        <f aca="false">$B$4-55*($B$5+$B$6)/30-IF($B$11&lt;=55,$B$12,0)+L614+M614+N614</f>
        <v>3418.2117065183</v>
      </c>
      <c r="V614" s="14" t="n">
        <f aca="false">$B$4-69*($B$5+$B$6)/30-IF($B$11&lt;=69,$B$12,0)+L614+M614+N614+O614</f>
        <v>5234.12074611756</v>
      </c>
      <c r="W614" s="14" t="n">
        <f aca="false">$B$4-83*($B$5+$B$6)/30-IF($B$11&lt;=83,$B$12,0)+L614+M614+N614+O614+P614</f>
        <v>7154.1468449134</v>
      </c>
      <c r="X614" s="14" t="n">
        <f aca="false">$B$4-90*($B$5+$B$6)/30-IF($B$11&lt;=90,$B$12,0)+L614+M614+N614+O614+P614+Q614</f>
        <v>10767.5338140349</v>
      </c>
      <c r="AA614" s="14" t="n">
        <f aca="false">MIN(R614:X614)</f>
        <v>1480.80962689673</v>
      </c>
    </row>
    <row r="615" customFormat="false" ht="15" hidden="false" customHeight="false" outlineLevel="0" collapsed="false">
      <c r="K615" s="2" t="n">
        <v>610</v>
      </c>
      <c r="L615" s="14" t="n">
        <f aca="true">$B$16+NORMINV(RAND(),0,SQRT($B$13*($B$7+$B$8^2))*$B$9*(1-$B$10))</f>
        <v>4114.76014930156</v>
      </c>
      <c r="M615" s="14" t="n">
        <f aca="true">$B$16+NORMINV(RAND(),0,SQRT($B$13*($B$7+$B$8^2))*$B$9*(1-$B$10))</f>
        <v>4211.62788304588</v>
      </c>
      <c r="N615" s="14" t="n">
        <f aca="true">$B$16+NORMINV(RAND(),0,SQRT($B$13*($B$7+$B$8^2))*$B$9*(1-$B$10))</f>
        <v>4039.97160571038</v>
      </c>
      <c r="O615" s="14" t="n">
        <f aca="true">$B$16+NORMINV(RAND(),0,SQRT($B$13*($B$7+$B$8^2))*$B$9*(1-$B$10))</f>
        <v>3812.63254193464</v>
      </c>
      <c r="P615" s="14" t="n">
        <f aca="true">$B$16+NORMINV(RAND(),0,SQRT($B$13*($B$7+$B$8^2))*$B$9*(1-$B$10))</f>
        <v>4387.17603168317</v>
      </c>
      <c r="Q615" s="14" t="n">
        <f aca="true">$B$16+NORMINV(RAND(),0,SQRT($B$13*($B$7+$B$8^2))*$B$9*(1-$B$10))</f>
        <v>3965.69401220589</v>
      </c>
      <c r="R615" s="14" t="n">
        <f aca="false">$B$4-13*($B$5+$B$6)/30-IF($B$11&lt;=13,$B$12,0)+0</f>
        <v>8876.66666666667</v>
      </c>
      <c r="S615" s="14" t="n">
        <f aca="false">$B$4-27*($B$5+$B$6)/30-IF($B$11&lt;=27,$B$12,0)+L615</f>
        <v>10704.7601493016</v>
      </c>
      <c r="T615" s="14" t="n">
        <f aca="false">$B$4-41*($B$5+$B$6)/30-IF($B$11&lt;=41,$B$12,0)+L615+M615</f>
        <v>1444.92136568077</v>
      </c>
      <c r="U615" s="14" t="n">
        <f aca="false">$B$4-55*($B$5+$B$6)/30-IF($B$11&lt;=55,$B$12,0)+L615+M615+N615</f>
        <v>3198.22630472448</v>
      </c>
      <c r="V615" s="14" t="n">
        <f aca="false">$B$4-69*($B$5+$B$6)/30-IF($B$11&lt;=69,$B$12,0)+L615+M615+N615+O615</f>
        <v>4724.19217999246</v>
      </c>
      <c r="W615" s="14" t="n">
        <f aca="false">$B$4-83*($B$5+$B$6)/30-IF($B$11&lt;=83,$B$12,0)+L615+M615+N615+O615+P615</f>
        <v>6824.70154500896</v>
      </c>
      <c r="X615" s="14" t="n">
        <f aca="false">$B$4-90*($B$5+$B$6)/30-IF($B$11&lt;=90,$B$12,0)+L615+M615+N615+O615+P615+Q615</f>
        <v>9647.06222388151</v>
      </c>
      <c r="AA615" s="14" t="n">
        <f aca="false">MIN(R615:X615)</f>
        <v>1444.92136568077</v>
      </c>
    </row>
    <row r="616" customFormat="false" ht="15" hidden="false" customHeight="false" outlineLevel="0" collapsed="false">
      <c r="K616" s="2" t="n">
        <v>611</v>
      </c>
      <c r="L616" s="14" t="n">
        <f aca="true">$B$16+NORMINV(RAND(),0,SQRT($B$13*($B$7+$B$8^2))*$B$9*(1-$B$10))</f>
        <v>4367.68100282171</v>
      </c>
      <c r="M616" s="14" t="n">
        <f aca="true">$B$16+NORMINV(RAND(),0,SQRT($B$13*($B$7+$B$8^2))*$B$9*(1-$B$10))</f>
        <v>3480.32546119621</v>
      </c>
      <c r="N616" s="14" t="n">
        <f aca="true">$B$16+NORMINV(RAND(),0,SQRT($B$13*($B$7+$B$8^2))*$B$9*(1-$B$10))</f>
        <v>3825.47563664388</v>
      </c>
      <c r="O616" s="14" t="n">
        <f aca="true">$B$16+NORMINV(RAND(),0,SQRT($B$13*($B$7+$B$8^2))*$B$9*(1-$B$10))</f>
        <v>4091.45321929917</v>
      </c>
      <c r="P616" s="14" t="n">
        <f aca="true">$B$16+NORMINV(RAND(),0,SQRT($B$13*($B$7+$B$8^2))*$B$9*(1-$B$10))</f>
        <v>4065.03047432322</v>
      </c>
      <c r="Q616" s="14" t="n">
        <f aca="true">$B$16+NORMINV(RAND(),0,SQRT($B$13*($B$7+$B$8^2))*$B$9*(1-$B$10))</f>
        <v>3909.25862887396</v>
      </c>
      <c r="R616" s="14" t="n">
        <f aca="false">$B$4-13*($B$5+$B$6)/30-IF($B$11&lt;=13,$B$12,0)+0</f>
        <v>8876.66666666667</v>
      </c>
      <c r="S616" s="14" t="n">
        <f aca="false">$B$4-27*($B$5+$B$6)/30-IF($B$11&lt;=27,$B$12,0)+L616</f>
        <v>10957.6810028217</v>
      </c>
      <c r="T616" s="14" t="n">
        <f aca="false">$B$4-41*($B$5+$B$6)/30-IF($B$11&lt;=41,$B$12,0)+L616+M616</f>
        <v>966.53979735125</v>
      </c>
      <c r="U616" s="14" t="n">
        <f aca="false">$B$4-55*($B$5+$B$6)/30-IF($B$11&lt;=55,$B$12,0)+L616+M616+N616</f>
        <v>2505.34876732846</v>
      </c>
      <c r="V616" s="14" t="n">
        <f aca="false">$B$4-69*($B$5+$B$6)/30-IF($B$11&lt;=69,$B$12,0)+L616+M616+N616+O616</f>
        <v>4310.13531996097</v>
      </c>
      <c r="W616" s="14" t="n">
        <f aca="false">$B$4-83*($B$5+$B$6)/30-IF($B$11&lt;=83,$B$12,0)+L616+M616+N616+O616+P616</f>
        <v>6088.49912761752</v>
      </c>
      <c r="X616" s="14" t="n">
        <f aca="false">$B$4-90*($B$5+$B$6)/30-IF($B$11&lt;=90,$B$12,0)+L616+M616+N616+O616+P616+Q616</f>
        <v>8854.42442315814</v>
      </c>
      <c r="AA616" s="14" t="n">
        <f aca="false">MIN(R616:X616)</f>
        <v>966.53979735125</v>
      </c>
    </row>
    <row r="617" customFormat="false" ht="15" hidden="false" customHeight="false" outlineLevel="0" collapsed="false">
      <c r="K617" s="2" t="n">
        <v>612</v>
      </c>
      <c r="L617" s="14" t="n">
        <f aca="true">$B$16+NORMINV(RAND(),0,SQRT($B$13*($B$7+$B$8^2))*$B$9*(1-$B$10))</f>
        <v>4393.3713184443</v>
      </c>
      <c r="M617" s="14" t="n">
        <f aca="true">$B$16+NORMINV(RAND(),0,SQRT($B$13*($B$7+$B$8^2))*$B$9*(1-$B$10))</f>
        <v>4130.98459531088</v>
      </c>
      <c r="N617" s="14" t="n">
        <f aca="true">$B$16+NORMINV(RAND(),0,SQRT($B$13*($B$7+$B$8^2))*$B$9*(1-$B$10))</f>
        <v>4569.23224750496</v>
      </c>
      <c r="O617" s="14" t="n">
        <f aca="true">$B$16+NORMINV(RAND(),0,SQRT($B$13*($B$7+$B$8^2))*$B$9*(1-$B$10))</f>
        <v>4021.10001649797</v>
      </c>
      <c r="P617" s="14" t="n">
        <f aca="true">$B$16+NORMINV(RAND(),0,SQRT($B$13*($B$7+$B$8^2))*$B$9*(1-$B$10))</f>
        <v>4030.42829867814</v>
      </c>
      <c r="Q617" s="14" t="n">
        <f aca="true">$B$16+NORMINV(RAND(),0,SQRT($B$13*($B$7+$B$8^2))*$B$9*(1-$B$10))</f>
        <v>4032.9959360217</v>
      </c>
      <c r="R617" s="14" t="n">
        <f aca="false">$B$4-13*($B$5+$B$6)/30-IF($B$11&lt;=13,$B$12,0)+0</f>
        <v>8876.66666666667</v>
      </c>
      <c r="S617" s="14" t="n">
        <f aca="false">$B$4-27*($B$5+$B$6)/30-IF($B$11&lt;=27,$B$12,0)+L617</f>
        <v>10983.3713184443</v>
      </c>
      <c r="T617" s="14" t="n">
        <f aca="false">$B$4-41*($B$5+$B$6)/30-IF($B$11&lt;=41,$B$12,0)+L617+M617</f>
        <v>1642.88924708851</v>
      </c>
      <c r="U617" s="14" t="n">
        <f aca="false">$B$4-55*($B$5+$B$6)/30-IF($B$11&lt;=55,$B$12,0)+L617+M617+N617</f>
        <v>3925.45482792681</v>
      </c>
      <c r="V617" s="14" t="n">
        <f aca="false">$B$4-69*($B$5+$B$6)/30-IF($B$11&lt;=69,$B$12,0)+L617+M617+N617+O617</f>
        <v>5659.88817775811</v>
      </c>
      <c r="W617" s="14" t="n">
        <f aca="false">$B$4-83*($B$5+$B$6)/30-IF($B$11&lt;=83,$B$12,0)+L617+M617+N617+O617+P617</f>
        <v>7403.64980976958</v>
      </c>
      <c r="X617" s="14" t="n">
        <f aca="false">$B$4-90*($B$5+$B$6)/30-IF($B$11&lt;=90,$B$12,0)+L617+M617+N617+O617+P617+Q617</f>
        <v>10293.3124124579</v>
      </c>
      <c r="AA617" s="14" t="n">
        <f aca="false">MIN(R617:X617)</f>
        <v>1642.88924708851</v>
      </c>
    </row>
    <row r="618" customFormat="false" ht="15" hidden="false" customHeight="false" outlineLevel="0" collapsed="false">
      <c r="K618" s="2" t="n">
        <v>613</v>
      </c>
      <c r="L618" s="14" t="n">
        <f aca="true">$B$16+NORMINV(RAND(),0,SQRT($B$13*($B$7+$B$8^2))*$B$9*(1-$B$10))</f>
        <v>3586.84805483385</v>
      </c>
      <c r="M618" s="14" t="n">
        <f aca="true">$B$16+NORMINV(RAND(),0,SQRT($B$13*($B$7+$B$8^2))*$B$9*(1-$B$10))</f>
        <v>3483.08884979194</v>
      </c>
      <c r="N618" s="14" t="n">
        <f aca="true">$B$16+NORMINV(RAND(),0,SQRT($B$13*($B$7+$B$8^2))*$B$9*(1-$B$10))</f>
        <v>3601.60135787748</v>
      </c>
      <c r="O618" s="14" t="n">
        <f aca="true">$B$16+NORMINV(RAND(),0,SQRT($B$13*($B$7+$B$8^2))*$B$9*(1-$B$10))</f>
        <v>4208.90756422973</v>
      </c>
      <c r="P618" s="14" t="n">
        <f aca="true">$B$16+NORMINV(RAND(),0,SQRT($B$13*($B$7+$B$8^2))*$B$9*(1-$B$10))</f>
        <v>4063.49278479327</v>
      </c>
      <c r="Q618" s="14" t="n">
        <f aca="true">$B$16+NORMINV(RAND(),0,SQRT($B$13*($B$7+$B$8^2))*$B$9*(1-$B$10))</f>
        <v>3703.69783649061</v>
      </c>
      <c r="R618" s="14" t="n">
        <f aca="false">$B$4-13*($B$5+$B$6)/30-IF($B$11&lt;=13,$B$12,0)+0</f>
        <v>8876.66666666667</v>
      </c>
      <c r="S618" s="14" t="n">
        <f aca="false">$B$4-27*($B$5+$B$6)/30-IF($B$11&lt;=27,$B$12,0)+L618</f>
        <v>10176.8480548339</v>
      </c>
      <c r="T618" s="14" t="n">
        <f aca="false">$B$4-41*($B$5+$B$6)/30-IF($B$11&lt;=41,$B$12,0)+L618+M618</f>
        <v>188.470237959122</v>
      </c>
      <c r="U618" s="14" t="n">
        <f aca="false">$B$4-55*($B$5+$B$6)/30-IF($B$11&lt;=55,$B$12,0)+L618+M618+N618</f>
        <v>1503.40492916993</v>
      </c>
      <c r="V618" s="14" t="n">
        <f aca="false">$B$4-69*($B$5+$B$6)/30-IF($B$11&lt;=69,$B$12,0)+L618+M618+N618+O618</f>
        <v>3425.645826733</v>
      </c>
      <c r="W618" s="14" t="n">
        <f aca="false">$B$4-83*($B$5+$B$6)/30-IF($B$11&lt;=83,$B$12,0)+L618+M618+N618+O618+P618</f>
        <v>5202.4719448596</v>
      </c>
      <c r="X618" s="14" t="n">
        <f aca="false">$B$4-90*($B$5+$B$6)/30-IF($B$11&lt;=90,$B$12,0)+L618+M618+N618+O618+P618+Q618</f>
        <v>7762.83644801688</v>
      </c>
      <c r="AA618" s="14" t="n">
        <f aca="false">MIN(R618:X618)</f>
        <v>188.470237959122</v>
      </c>
    </row>
    <row r="619" customFormat="false" ht="15" hidden="false" customHeight="false" outlineLevel="0" collapsed="false">
      <c r="K619" s="2" t="n">
        <v>614</v>
      </c>
      <c r="L619" s="14" t="n">
        <f aca="true">$B$16+NORMINV(RAND(),0,SQRT($B$13*($B$7+$B$8^2))*$B$9*(1-$B$10))</f>
        <v>3845.14010350595</v>
      </c>
      <c r="M619" s="14" t="n">
        <f aca="true">$B$16+NORMINV(RAND(),0,SQRT($B$13*($B$7+$B$8^2))*$B$9*(1-$B$10))</f>
        <v>4105.34920093131</v>
      </c>
      <c r="N619" s="14" t="n">
        <f aca="true">$B$16+NORMINV(RAND(),0,SQRT($B$13*($B$7+$B$8^2))*$B$9*(1-$B$10))</f>
        <v>3665.35346683951</v>
      </c>
      <c r="O619" s="14" t="n">
        <f aca="true">$B$16+NORMINV(RAND(),0,SQRT($B$13*($B$7+$B$8^2))*$B$9*(1-$B$10))</f>
        <v>3959.84730412869</v>
      </c>
      <c r="P619" s="14" t="n">
        <f aca="true">$B$16+NORMINV(RAND(),0,SQRT($B$13*($B$7+$B$8^2))*$B$9*(1-$B$10))</f>
        <v>3921.01378877598</v>
      </c>
      <c r="Q619" s="14" t="n">
        <f aca="true">$B$16+NORMINV(RAND(),0,SQRT($B$13*($B$7+$B$8^2))*$B$9*(1-$B$10))</f>
        <v>3840.48145810256</v>
      </c>
      <c r="R619" s="14" t="n">
        <f aca="false">$B$4-13*($B$5+$B$6)/30-IF($B$11&lt;=13,$B$12,0)+0</f>
        <v>8876.66666666667</v>
      </c>
      <c r="S619" s="14" t="n">
        <f aca="false">$B$4-27*($B$5+$B$6)/30-IF($B$11&lt;=27,$B$12,0)+L619</f>
        <v>10435.140103506</v>
      </c>
      <c r="T619" s="14" t="n">
        <f aca="false">$B$4-41*($B$5+$B$6)/30-IF($B$11&lt;=41,$B$12,0)+L619+M619</f>
        <v>1069.02263777059</v>
      </c>
      <c r="U619" s="14" t="n">
        <f aca="false">$B$4-55*($B$5+$B$6)/30-IF($B$11&lt;=55,$B$12,0)+L619+M619+N619</f>
        <v>2447.70943794344</v>
      </c>
      <c r="V619" s="14" t="n">
        <f aca="false">$B$4-69*($B$5+$B$6)/30-IF($B$11&lt;=69,$B$12,0)+L619+M619+N619+O619</f>
        <v>4120.89007540546</v>
      </c>
      <c r="W619" s="14" t="n">
        <f aca="false">$B$4-83*($B$5+$B$6)/30-IF($B$11&lt;=83,$B$12,0)+L619+M619+N619+O619+P619</f>
        <v>5755.23719751477</v>
      </c>
      <c r="X619" s="14" t="n">
        <f aca="false">$B$4-90*($B$5+$B$6)/30-IF($B$11&lt;=90,$B$12,0)+L619+M619+N619+O619+P619+Q619</f>
        <v>8452.385322284</v>
      </c>
      <c r="AA619" s="14" t="n">
        <f aca="false">MIN(R619:X619)</f>
        <v>1069.02263777059</v>
      </c>
    </row>
    <row r="620" customFormat="false" ht="15" hidden="false" customHeight="false" outlineLevel="0" collapsed="false">
      <c r="K620" s="2" t="n">
        <v>615</v>
      </c>
      <c r="L620" s="14" t="n">
        <f aca="true">$B$16+NORMINV(RAND(),0,SQRT($B$13*($B$7+$B$8^2))*$B$9*(1-$B$10))</f>
        <v>3769.37414433856</v>
      </c>
      <c r="M620" s="14" t="n">
        <f aca="true">$B$16+NORMINV(RAND(),0,SQRT($B$13*($B$7+$B$8^2))*$B$9*(1-$B$10))</f>
        <v>3505.04907322519</v>
      </c>
      <c r="N620" s="14" t="n">
        <f aca="true">$B$16+NORMINV(RAND(),0,SQRT($B$13*($B$7+$B$8^2))*$B$9*(1-$B$10))</f>
        <v>3798.13709734011</v>
      </c>
      <c r="O620" s="14" t="n">
        <f aca="true">$B$16+NORMINV(RAND(),0,SQRT($B$13*($B$7+$B$8^2))*$B$9*(1-$B$10))</f>
        <v>3914.4652361619</v>
      </c>
      <c r="P620" s="14" t="n">
        <f aca="true">$B$16+NORMINV(RAND(),0,SQRT($B$13*($B$7+$B$8^2))*$B$9*(1-$B$10))</f>
        <v>4006.30503943095</v>
      </c>
      <c r="Q620" s="14" t="n">
        <f aca="true">$B$16+NORMINV(RAND(),0,SQRT($B$13*($B$7+$B$8^2))*$B$9*(1-$B$10))</f>
        <v>3936.07595636062</v>
      </c>
      <c r="R620" s="14" t="n">
        <f aca="false">$B$4-13*($B$5+$B$6)/30-IF($B$11&lt;=13,$B$12,0)+0</f>
        <v>8876.66666666667</v>
      </c>
      <c r="S620" s="14" t="n">
        <f aca="false">$B$4-27*($B$5+$B$6)/30-IF($B$11&lt;=27,$B$12,0)+L620</f>
        <v>10359.3741443386</v>
      </c>
      <c r="T620" s="14" t="n">
        <f aca="false">$B$4-41*($B$5+$B$6)/30-IF($B$11&lt;=41,$B$12,0)+L620+M620</f>
        <v>392.956550897078</v>
      </c>
      <c r="U620" s="14" t="n">
        <f aca="false">$B$4-55*($B$5+$B$6)/30-IF($B$11&lt;=55,$B$12,0)+L620+M620+N620</f>
        <v>1904.42698157052</v>
      </c>
      <c r="V620" s="14" t="n">
        <f aca="false">$B$4-69*($B$5+$B$6)/30-IF($B$11&lt;=69,$B$12,0)+L620+M620+N620+O620</f>
        <v>3532.22555106575</v>
      </c>
      <c r="W620" s="14" t="n">
        <f aca="false">$B$4-83*($B$5+$B$6)/30-IF($B$11&lt;=83,$B$12,0)+L620+M620+N620+O620+P620</f>
        <v>5251.86392383003</v>
      </c>
      <c r="X620" s="14" t="n">
        <f aca="false">$B$4-90*($B$5+$B$6)/30-IF($B$11&lt;=90,$B$12,0)+L620+M620+N620+O620+P620+Q620</f>
        <v>8044.60654685732</v>
      </c>
      <c r="AA620" s="14" t="n">
        <f aca="false">MIN(R620:X620)</f>
        <v>392.956550897078</v>
      </c>
    </row>
    <row r="621" customFormat="false" ht="15" hidden="false" customHeight="false" outlineLevel="0" collapsed="false">
      <c r="K621" s="2" t="n">
        <v>616</v>
      </c>
      <c r="L621" s="14" t="n">
        <f aca="true">$B$16+NORMINV(RAND(),0,SQRT($B$13*($B$7+$B$8^2))*$B$9*(1-$B$10))</f>
        <v>3904.69141099282</v>
      </c>
      <c r="M621" s="14" t="n">
        <f aca="true">$B$16+NORMINV(RAND(),0,SQRT($B$13*($B$7+$B$8^2))*$B$9*(1-$B$10))</f>
        <v>4004.51621669388</v>
      </c>
      <c r="N621" s="14" t="n">
        <f aca="true">$B$16+NORMINV(RAND(),0,SQRT($B$13*($B$7+$B$8^2))*$B$9*(1-$B$10))</f>
        <v>3936.94822948048</v>
      </c>
      <c r="O621" s="14" t="n">
        <f aca="true">$B$16+NORMINV(RAND(),0,SQRT($B$13*($B$7+$B$8^2))*$B$9*(1-$B$10))</f>
        <v>4300.11832199259</v>
      </c>
      <c r="P621" s="14" t="n">
        <f aca="true">$B$16+NORMINV(RAND(),0,SQRT($B$13*($B$7+$B$8^2))*$B$9*(1-$B$10))</f>
        <v>4455.11173792685</v>
      </c>
      <c r="Q621" s="14" t="n">
        <f aca="true">$B$16+NORMINV(RAND(),0,SQRT($B$13*($B$7+$B$8^2))*$B$9*(1-$B$10))</f>
        <v>3725.45766442184</v>
      </c>
      <c r="R621" s="14" t="n">
        <f aca="false">$B$4-13*($B$5+$B$6)/30-IF($B$11&lt;=13,$B$12,0)+0</f>
        <v>8876.66666666667</v>
      </c>
      <c r="S621" s="14" t="n">
        <f aca="false">$B$4-27*($B$5+$B$6)/30-IF($B$11&lt;=27,$B$12,0)+L621</f>
        <v>10494.6914109928</v>
      </c>
      <c r="T621" s="14" t="n">
        <f aca="false">$B$4-41*($B$5+$B$6)/30-IF($B$11&lt;=41,$B$12,0)+L621+M621</f>
        <v>1027.74096102004</v>
      </c>
      <c r="U621" s="14" t="n">
        <f aca="false">$B$4-55*($B$5+$B$6)/30-IF($B$11&lt;=55,$B$12,0)+L621+M621+N621</f>
        <v>2678.02252383385</v>
      </c>
      <c r="V621" s="14" t="n">
        <f aca="false">$B$4-69*($B$5+$B$6)/30-IF($B$11&lt;=69,$B$12,0)+L621+M621+N621+O621</f>
        <v>4691.47417915978</v>
      </c>
      <c r="W621" s="14" t="n">
        <f aca="false">$B$4-83*($B$5+$B$6)/30-IF($B$11&lt;=83,$B$12,0)+L621+M621+N621+O621+P621</f>
        <v>6859.91925041996</v>
      </c>
      <c r="X621" s="14" t="n">
        <f aca="false">$B$4-90*($B$5+$B$6)/30-IF($B$11&lt;=90,$B$12,0)+L621+M621+N621+O621+P621+Q621</f>
        <v>9442.04358150846</v>
      </c>
      <c r="AA621" s="14" t="n">
        <f aca="false">MIN(R621:X621)</f>
        <v>1027.74096102004</v>
      </c>
    </row>
    <row r="622" customFormat="false" ht="15" hidden="false" customHeight="false" outlineLevel="0" collapsed="false">
      <c r="K622" s="2" t="n">
        <v>617</v>
      </c>
      <c r="L622" s="14" t="n">
        <f aca="true">$B$16+NORMINV(RAND(),0,SQRT($B$13*($B$7+$B$8^2))*$B$9*(1-$B$10))</f>
        <v>3953.09958992316</v>
      </c>
      <c r="M622" s="14" t="n">
        <f aca="true">$B$16+NORMINV(RAND(),0,SQRT($B$13*($B$7+$B$8^2))*$B$9*(1-$B$10))</f>
        <v>3936.49568070117</v>
      </c>
      <c r="N622" s="14" t="n">
        <f aca="true">$B$16+NORMINV(RAND(),0,SQRT($B$13*($B$7+$B$8^2))*$B$9*(1-$B$10))</f>
        <v>4198.91518408215</v>
      </c>
      <c r="O622" s="14" t="n">
        <f aca="true">$B$16+NORMINV(RAND(),0,SQRT($B$13*($B$7+$B$8^2))*$B$9*(1-$B$10))</f>
        <v>4509.65527103259</v>
      </c>
      <c r="P622" s="14" t="n">
        <f aca="true">$B$16+NORMINV(RAND(),0,SQRT($B$13*($B$7+$B$8^2))*$B$9*(1-$B$10))</f>
        <v>3500.51179244897</v>
      </c>
      <c r="Q622" s="14" t="n">
        <f aca="true">$B$16+NORMINV(RAND(),0,SQRT($B$13*($B$7+$B$8^2))*$B$9*(1-$B$10))</f>
        <v>4200.84777815867</v>
      </c>
      <c r="R622" s="14" t="n">
        <f aca="false">$B$4-13*($B$5+$B$6)/30-IF($B$11&lt;=13,$B$12,0)+0</f>
        <v>8876.66666666667</v>
      </c>
      <c r="S622" s="14" t="n">
        <f aca="false">$B$4-27*($B$5+$B$6)/30-IF($B$11&lt;=27,$B$12,0)+L622</f>
        <v>10543.0995899232</v>
      </c>
      <c r="T622" s="14" t="n">
        <f aca="false">$B$4-41*($B$5+$B$6)/30-IF($B$11&lt;=41,$B$12,0)+L622+M622</f>
        <v>1008.12860395766</v>
      </c>
      <c r="U622" s="14" t="n">
        <f aca="false">$B$4-55*($B$5+$B$6)/30-IF($B$11&lt;=55,$B$12,0)+L622+M622+N622</f>
        <v>2920.37712137314</v>
      </c>
      <c r="V622" s="14" t="n">
        <f aca="false">$B$4-69*($B$5+$B$6)/30-IF($B$11&lt;=69,$B$12,0)+L622+M622+N622+O622</f>
        <v>5143.36572573907</v>
      </c>
      <c r="W622" s="14" t="n">
        <f aca="false">$B$4-83*($B$5+$B$6)/30-IF($B$11&lt;=83,$B$12,0)+L622+M622+N622+O622+P622</f>
        <v>6357.21085152137</v>
      </c>
      <c r="X622" s="14" t="n">
        <f aca="false">$B$4-90*($B$5+$B$6)/30-IF($B$11&lt;=90,$B$12,0)+L622+M622+N622+O622+P622+Q622</f>
        <v>9414.72529634671</v>
      </c>
      <c r="AA622" s="14" t="n">
        <f aca="false">MIN(R622:X622)</f>
        <v>1008.12860395766</v>
      </c>
    </row>
    <row r="623" customFormat="false" ht="15" hidden="false" customHeight="false" outlineLevel="0" collapsed="false">
      <c r="K623" s="2" t="n">
        <v>618</v>
      </c>
      <c r="L623" s="14" t="n">
        <f aca="true">$B$16+NORMINV(RAND(),0,SQRT($B$13*($B$7+$B$8^2))*$B$9*(1-$B$10))</f>
        <v>3574.71960634721</v>
      </c>
      <c r="M623" s="14" t="n">
        <f aca="true">$B$16+NORMINV(RAND(),0,SQRT($B$13*($B$7+$B$8^2))*$B$9*(1-$B$10))</f>
        <v>4059.12535289869</v>
      </c>
      <c r="N623" s="14" t="n">
        <f aca="true">$B$16+NORMINV(RAND(),0,SQRT($B$13*($B$7+$B$8^2))*$B$9*(1-$B$10))</f>
        <v>4506.26072739209</v>
      </c>
      <c r="O623" s="14" t="n">
        <f aca="true">$B$16+NORMINV(RAND(),0,SQRT($B$13*($B$7+$B$8^2))*$B$9*(1-$B$10))</f>
        <v>3630.92452166741</v>
      </c>
      <c r="P623" s="14" t="n">
        <f aca="true">$B$16+NORMINV(RAND(),0,SQRT($B$13*($B$7+$B$8^2))*$B$9*(1-$B$10))</f>
        <v>4251.61115469866</v>
      </c>
      <c r="Q623" s="14" t="n">
        <f aca="true">$B$16+NORMINV(RAND(),0,SQRT($B$13*($B$7+$B$8^2))*$B$9*(1-$B$10))</f>
        <v>4100.85137952083</v>
      </c>
      <c r="R623" s="14" t="n">
        <f aca="false">$B$4-13*($B$5+$B$6)/30-IF($B$11&lt;=13,$B$12,0)+0</f>
        <v>8876.66666666667</v>
      </c>
      <c r="S623" s="14" t="n">
        <f aca="false">$B$4-27*($B$5+$B$6)/30-IF($B$11&lt;=27,$B$12,0)+L623</f>
        <v>10164.7196063472</v>
      </c>
      <c r="T623" s="14" t="n">
        <f aca="false">$B$4-41*($B$5+$B$6)/30-IF($B$11&lt;=41,$B$12,0)+L623+M623</f>
        <v>752.378292579227</v>
      </c>
      <c r="U623" s="14" t="n">
        <f aca="false">$B$4-55*($B$5+$B$6)/30-IF($B$11&lt;=55,$B$12,0)+L623+M623+N623</f>
        <v>2971.97235330465</v>
      </c>
      <c r="V623" s="14" t="n">
        <f aca="false">$B$4-69*($B$5+$B$6)/30-IF($B$11&lt;=69,$B$12,0)+L623+M623+N623+O623</f>
        <v>4316.2302083054</v>
      </c>
      <c r="W623" s="14" t="n">
        <f aca="false">$B$4-83*($B$5+$B$6)/30-IF($B$11&lt;=83,$B$12,0)+L623+M623+N623+O623+P623</f>
        <v>6281.17469633739</v>
      </c>
      <c r="X623" s="14" t="n">
        <f aca="false">$B$4-90*($B$5+$B$6)/30-IF($B$11&lt;=90,$B$12,0)+L623+M623+N623+O623+P623+Q623</f>
        <v>9238.69274252489</v>
      </c>
      <c r="AA623" s="14" t="n">
        <f aca="false">MIN(R623:X623)</f>
        <v>752.378292579227</v>
      </c>
    </row>
    <row r="624" customFormat="false" ht="15" hidden="false" customHeight="false" outlineLevel="0" collapsed="false">
      <c r="K624" s="2" t="n">
        <v>619</v>
      </c>
      <c r="L624" s="14" t="n">
        <f aca="true">$B$16+NORMINV(RAND(),0,SQRT($B$13*($B$7+$B$8^2))*$B$9*(1-$B$10))</f>
        <v>3841.6394670626</v>
      </c>
      <c r="M624" s="14" t="n">
        <f aca="true">$B$16+NORMINV(RAND(),0,SQRT($B$13*($B$7+$B$8^2))*$B$9*(1-$B$10))</f>
        <v>4021.50298826936</v>
      </c>
      <c r="N624" s="14" t="n">
        <f aca="true">$B$16+NORMINV(RAND(),0,SQRT($B$13*($B$7+$B$8^2))*$B$9*(1-$B$10))</f>
        <v>4052.10398865781</v>
      </c>
      <c r="O624" s="14" t="n">
        <f aca="true">$B$16+NORMINV(RAND(),0,SQRT($B$13*($B$7+$B$8^2))*$B$9*(1-$B$10))</f>
        <v>3759.47552702981</v>
      </c>
      <c r="P624" s="14" t="n">
        <f aca="true">$B$16+NORMINV(RAND(),0,SQRT($B$13*($B$7+$B$8^2))*$B$9*(1-$B$10))</f>
        <v>3901.22611571495</v>
      </c>
      <c r="Q624" s="14" t="n">
        <f aca="true">$B$16+NORMINV(RAND(),0,SQRT($B$13*($B$7+$B$8^2))*$B$9*(1-$B$10))</f>
        <v>4071.83906753988</v>
      </c>
      <c r="R624" s="14" t="n">
        <f aca="false">$B$4-13*($B$5+$B$6)/30-IF($B$11&lt;=13,$B$12,0)+0</f>
        <v>8876.66666666667</v>
      </c>
      <c r="S624" s="14" t="n">
        <f aca="false">$B$4-27*($B$5+$B$6)/30-IF($B$11&lt;=27,$B$12,0)+L624</f>
        <v>10431.6394670626</v>
      </c>
      <c r="T624" s="14" t="n">
        <f aca="false">$B$4-41*($B$5+$B$6)/30-IF($B$11&lt;=41,$B$12,0)+L624+M624</f>
        <v>981.675788665295</v>
      </c>
      <c r="U624" s="14" t="n">
        <f aca="false">$B$4-55*($B$5+$B$6)/30-IF($B$11&lt;=55,$B$12,0)+L624+M624+N624</f>
        <v>2747.11311065644</v>
      </c>
      <c r="V624" s="14" t="n">
        <f aca="false">$B$4-69*($B$5+$B$6)/30-IF($B$11&lt;=69,$B$12,0)+L624+M624+N624+O624</f>
        <v>4219.92197101959</v>
      </c>
      <c r="W624" s="14" t="n">
        <f aca="false">$B$4-83*($B$5+$B$6)/30-IF($B$11&lt;=83,$B$12,0)+L624+M624+N624+O624+P624</f>
        <v>5834.48142006787</v>
      </c>
      <c r="X624" s="14" t="n">
        <f aca="false">$B$4-90*($B$5+$B$6)/30-IF($B$11&lt;=90,$B$12,0)+L624+M624+N624+O624+P624+Q624</f>
        <v>8762.98715427441</v>
      </c>
      <c r="AA624" s="14" t="n">
        <f aca="false">MIN(R624:X624)</f>
        <v>981.675788665295</v>
      </c>
    </row>
    <row r="625" customFormat="false" ht="15" hidden="false" customHeight="false" outlineLevel="0" collapsed="false">
      <c r="K625" s="2" t="n">
        <v>620</v>
      </c>
      <c r="L625" s="14" t="n">
        <f aca="true">$B$16+NORMINV(RAND(),0,SQRT($B$13*($B$7+$B$8^2))*$B$9*(1-$B$10))</f>
        <v>3781.87361940013</v>
      </c>
      <c r="M625" s="14" t="n">
        <f aca="true">$B$16+NORMINV(RAND(),0,SQRT($B$13*($B$7+$B$8^2))*$B$9*(1-$B$10))</f>
        <v>3589.26029460356</v>
      </c>
      <c r="N625" s="14" t="n">
        <f aca="true">$B$16+NORMINV(RAND(),0,SQRT($B$13*($B$7+$B$8^2))*$B$9*(1-$B$10))</f>
        <v>3850.36118589075</v>
      </c>
      <c r="O625" s="14" t="n">
        <f aca="true">$B$16+NORMINV(RAND(),0,SQRT($B$13*($B$7+$B$8^2))*$B$9*(1-$B$10))</f>
        <v>4381.88620806827</v>
      </c>
      <c r="P625" s="14" t="n">
        <f aca="true">$B$16+NORMINV(RAND(),0,SQRT($B$13*($B$7+$B$8^2))*$B$9*(1-$B$10))</f>
        <v>3700.46679775523</v>
      </c>
      <c r="Q625" s="14" t="n">
        <f aca="true">$B$16+NORMINV(RAND(),0,SQRT($B$13*($B$7+$B$8^2))*$B$9*(1-$B$10))</f>
        <v>4315.79552182842</v>
      </c>
      <c r="R625" s="14" t="n">
        <f aca="false">$B$4-13*($B$5+$B$6)/30-IF($B$11&lt;=13,$B$12,0)+0</f>
        <v>8876.66666666667</v>
      </c>
      <c r="S625" s="14" t="n">
        <f aca="false">$B$4-27*($B$5+$B$6)/30-IF($B$11&lt;=27,$B$12,0)+L625</f>
        <v>10371.8736194001</v>
      </c>
      <c r="T625" s="14" t="n">
        <f aca="false">$B$4-41*($B$5+$B$6)/30-IF($B$11&lt;=41,$B$12,0)+L625+M625</f>
        <v>489.66724733702</v>
      </c>
      <c r="U625" s="14" t="n">
        <f aca="false">$B$4-55*($B$5+$B$6)/30-IF($B$11&lt;=55,$B$12,0)+L625+M625+N625</f>
        <v>2053.36176656111</v>
      </c>
      <c r="V625" s="14" t="n">
        <f aca="false">$B$4-69*($B$5+$B$6)/30-IF($B$11&lt;=69,$B$12,0)+L625+M625+N625+O625</f>
        <v>4148.58130796271</v>
      </c>
      <c r="W625" s="14" t="n">
        <f aca="false">$B$4-83*($B$5+$B$6)/30-IF($B$11&lt;=83,$B$12,0)+L625+M625+N625+O625+P625</f>
        <v>5562.38143905127</v>
      </c>
      <c r="X625" s="14" t="n">
        <f aca="false">$B$4-90*($B$5+$B$6)/30-IF($B$11&lt;=90,$B$12,0)+L625+M625+N625+O625+P625+Q625</f>
        <v>8734.84362754636</v>
      </c>
      <c r="AA625" s="14" t="n">
        <f aca="false">MIN(R625:X625)</f>
        <v>489.66724733702</v>
      </c>
    </row>
    <row r="626" customFormat="false" ht="15" hidden="false" customHeight="false" outlineLevel="0" collapsed="false">
      <c r="K626" s="2" t="n">
        <v>621</v>
      </c>
      <c r="L626" s="14" t="n">
        <f aca="true">$B$16+NORMINV(RAND(),0,SQRT($B$13*($B$7+$B$8^2))*$B$9*(1-$B$10))</f>
        <v>3796.34700336635</v>
      </c>
      <c r="M626" s="14" t="n">
        <f aca="true">$B$16+NORMINV(RAND(),0,SQRT($B$13*($B$7+$B$8^2))*$B$9*(1-$B$10))</f>
        <v>3706.61714146177</v>
      </c>
      <c r="N626" s="14" t="n">
        <f aca="true">$B$16+NORMINV(RAND(),0,SQRT($B$13*($B$7+$B$8^2))*$B$9*(1-$B$10))</f>
        <v>3850.15664957579</v>
      </c>
      <c r="O626" s="14" t="n">
        <f aca="true">$B$16+NORMINV(RAND(),0,SQRT($B$13*($B$7+$B$8^2))*$B$9*(1-$B$10))</f>
        <v>3543.24573719718</v>
      </c>
      <c r="P626" s="14" t="n">
        <f aca="true">$B$16+NORMINV(RAND(),0,SQRT($B$13*($B$7+$B$8^2))*$B$9*(1-$B$10))</f>
        <v>4277.17090876922</v>
      </c>
      <c r="Q626" s="14" t="n">
        <f aca="true">$B$16+NORMINV(RAND(),0,SQRT($B$13*($B$7+$B$8^2))*$B$9*(1-$B$10))</f>
        <v>3808.52087230844</v>
      </c>
      <c r="R626" s="14" t="n">
        <f aca="false">$B$4-13*($B$5+$B$6)/30-IF($B$11&lt;=13,$B$12,0)+0</f>
        <v>8876.66666666667</v>
      </c>
      <c r="S626" s="14" t="n">
        <f aca="false">$B$4-27*($B$5+$B$6)/30-IF($B$11&lt;=27,$B$12,0)+L626</f>
        <v>10386.3470033664</v>
      </c>
      <c r="T626" s="14" t="n">
        <f aca="false">$B$4-41*($B$5+$B$6)/30-IF($B$11&lt;=41,$B$12,0)+L626+M626</f>
        <v>621.497478161459</v>
      </c>
      <c r="U626" s="14" t="n">
        <f aca="false">$B$4-55*($B$5+$B$6)/30-IF($B$11&lt;=55,$B$12,0)+L626+M626+N626</f>
        <v>2184.98746107058</v>
      </c>
      <c r="V626" s="14" t="n">
        <f aca="false">$B$4-69*($B$5+$B$6)/30-IF($B$11&lt;=69,$B$12,0)+L626+M626+N626+O626</f>
        <v>3441.5665316011</v>
      </c>
      <c r="W626" s="14" t="n">
        <f aca="false">$B$4-83*($B$5+$B$6)/30-IF($B$11&lt;=83,$B$12,0)+L626+M626+N626+O626+P626</f>
        <v>5432.07077370365</v>
      </c>
      <c r="X626" s="14" t="n">
        <f aca="false">$B$4-90*($B$5+$B$6)/30-IF($B$11&lt;=90,$B$12,0)+L626+M626+N626+O626+P626+Q626</f>
        <v>8097.25831267875</v>
      </c>
      <c r="AA626" s="14" t="n">
        <f aca="false">MIN(R626:X626)</f>
        <v>621.497478161459</v>
      </c>
    </row>
    <row r="627" customFormat="false" ht="15" hidden="false" customHeight="false" outlineLevel="0" collapsed="false">
      <c r="K627" s="2" t="n">
        <v>622</v>
      </c>
      <c r="L627" s="14" t="n">
        <f aca="true">$B$16+NORMINV(RAND(),0,SQRT($B$13*($B$7+$B$8^2))*$B$9*(1-$B$10))</f>
        <v>3893.45573296853</v>
      </c>
      <c r="M627" s="14" t="n">
        <f aca="true">$B$16+NORMINV(RAND(),0,SQRT($B$13*($B$7+$B$8^2))*$B$9*(1-$B$10))</f>
        <v>4164.25120970166</v>
      </c>
      <c r="N627" s="14" t="n">
        <f aca="true">$B$16+NORMINV(RAND(),0,SQRT($B$13*($B$7+$B$8^2))*$B$9*(1-$B$10))</f>
        <v>4689.87661164639</v>
      </c>
      <c r="O627" s="14" t="n">
        <f aca="true">$B$16+NORMINV(RAND(),0,SQRT($B$13*($B$7+$B$8^2))*$B$9*(1-$B$10))</f>
        <v>4030.79860169023</v>
      </c>
      <c r="P627" s="14" t="n">
        <f aca="true">$B$16+NORMINV(RAND(),0,SQRT($B$13*($B$7+$B$8^2))*$B$9*(1-$B$10))</f>
        <v>3944.02165396329</v>
      </c>
      <c r="Q627" s="14" t="n">
        <f aca="true">$B$16+NORMINV(RAND(),0,SQRT($B$13*($B$7+$B$8^2))*$B$9*(1-$B$10))</f>
        <v>4134.88007031609</v>
      </c>
      <c r="R627" s="14" t="n">
        <f aca="false">$B$4-13*($B$5+$B$6)/30-IF($B$11&lt;=13,$B$12,0)+0</f>
        <v>8876.66666666667</v>
      </c>
      <c r="S627" s="14" t="n">
        <f aca="false">$B$4-27*($B$5+$B$6)/30-IF($B$11&lt;=27,$B$12,0)+L627</f>
        <v>10483.4557329685</v>
      </c>
      <c r="T627" s="14" t="n">
        <f aca="false">$B$4-41*($B$5+$B$6)/30-IF($B$11&lt;=41,$B$12,0)+L627+M627</f>
        <v>1176.24027600352</v>
      </c>
      <c r="U627" s="14" t="n">
        <f aca="false">$B$4-55*($B$5+$B$6)/30-IF($B$11&lt;=55,$B$12,0)+L627+M627+N627</f>
        <v>3579.45022098325</v>
      </c>
      <c r="V627" s="14" t="n">
        <f aca="false">$B$4-69*($B$5+$B$6)/30-IF($B$11&lt;=69,$B$12,0)+L627+M627+N627+O627</f>
        <v>5323.58215600681</v>
      </c>
      <c r="W627" s="14" t="n">
        <f aca="false">$B$4-83*($B$5+$B$6)/30-IF($B$11&lt;=83,$B$12,0)+L627+M627+N627+O627+P627</f>
        <v>6980.93714330343</v>
      </c>
      <c r="X627" s="14" t="n">
        <f aca="false">$B$4-90*($B$5+$B$6)/30-IF($B$11&lt;=90,$B$12,0)+L627+M627+N627+O627+P627+Q627</f>
        <v>9972.48388028618</v>
      </c>
      <c r="AA627" s="14" t="n">
        <f aca="false">MIN(R627:X627)</f>
        <v>1176.24027600352</v>
      </c>
    </row>
    <row r="628" customFormat="false" ht="15" hidden="false" customHeight="false" outlineLevel="0" collapsed="false">
      <c r="K628" s="2" t="n">
        <v>623</v>
      </c>
      <c r="L628" s="14" t="n">
        <f aca="true">$B$16+NORMINV(RAND(),0,SQRT($B$13*($B$7+$B$8^2))*$B$9*(1-$B$10))</f>
        <v>4371.9456636476</v>
      </c>
      <c r="M628" s="14" t="n">
        <f aca="true">$B$16+NORMINV(RAND(),0,SQRT($B$13*($B$7+$B$8^2))*$B$9*(1-$B$10))</f>
        <v>3535.08965018902</v>
      </c>
      <c r="N628" s="14" t="n">
        <f aca="true">$B$16+NORMINV(RAND(),0,SQRT($B$13*($B$7+$B$8^2))*$B$9*(1-$B$10))</f>
        <v>4060.28258732113</v>
      </c>
      <c r="O628" s="14" t="n">
        <f aca="true">$B$16+NORMINV(RAND(),0,SQRT($B$13*($B$7+$B$8^2))*$B$9*(1-$B$10))</f>
        <v>4353.91774942223</v>
      </c>
      <c r="P628" s="14" t="n">
        <f aca="true">$B$16+NORMINV(RAND(),0,SQRT($B$13*($B$7+$B$8^2))*$B$9*(1-$B$10))</f>
        <v>4273.60611710053</v>
      </c>
      <c r="Q628" s="14" t="n">
        <f aca="true">$B$16+NORMINV(RAND(),0,SQRT($B$13*($B$7+$B$8^2))*$B$9*(1-$B$10))</f>
        <v>3903.35970160244</v>
      </c>
      <c r="R628" s="14" t="n">
        <f aca="false">$B$4-13*($B$5+$B$6)/30-IF($B$11&lt;=13,$B$12,0)+0</f>
        <v>8876.66666666667</v>
      </c>
      <c r="S628" s="14" t="n">
        <f aca="false">$B$4-27*($B$5+$B$6)/30-IF($B$11&lt;=27,$B$12,0)+L628</f>
        <v>10961.9456636476</v>
      </c>
      <c r="T628" s="14" t="n">
        <f aca="false">$B$4-41*($B$5+$B$6)/30-IF($B$11&lt;=41,$B$12,0)+L628+M628</f>
        <v>1025.56864716995</v>
      </c>
      <c r="U628" s="14" t="n">
        <f aca="false">$B$4-55*($B$5+$B$6)/30-IF($B$11&lt;=55,$B$12,0)+L628+M628+N628</f>
        <v>2799.18456782441</v>
      </c>
      <c r="V628" s="14" t="n">
        <f aca="false">$B$4-69*($B$5+$B$6)/30-IF($B$11&lt;=69,$B$12,0)+L628+M628+N628+O628</f>
        <v>4866.43565057997</v>
      </c>
      <c r="W628" s="14" t="n">
        <f aca="false">$B$4-83*($B$5+$B$6)/30-IF($B$11&lt;=83,$B$12,0)+L628+M628+N628+O628+P628</f>
        <v>6853.37510101383</v>
      </c>
      <c r="X628" s="14" t="n">
        <f aca="false">$B$4-90*($B$5+$B$6)/30-IF($B$11&lt;=90,$B$12,0)+L628+M628+N628+O628+P628+Q628</f>
        <v>9613.40146928294</v>
      </c>
      <c r="AA628" s="14" t="n">
        <f aca="false">MIN(R628:X628)</f>
        <v>1025.56864716995</v>
      </c>
    </row>
    <row r="629" customFormat="false" ht="15" hidden="false" customHeight="false" outlineLevel="0" collapsed="false">
      <c r="K629" s="2" t="n">
        <v>624</v>
      </c>
      <c r="L629" s="14" t="n">
        <f aca="true">$B$16+NORMINV(RAND(),0,SQRT($B$13*($B$7+$B$8^2))*$B$9*(1-$B$10))</f>
        <v>4042.0823223137</v>
      </c>
      <c r="M629" s="14" t="n">
        <f aca="true">$B$16+NORMINV(RAND(),0,SQRT($B$13*($B$7+$B$8^2))*$B$9*(1-$B$10))</f>
        <v>4124.87059074666</v>
      </c>
      <c r="N629" s="14" t="n">
        <f aca="true">$B$16+NORMINV(RAND(),0,SQRT($B$13*($B$7+$B$8^2))*$B$9*(1-$B$10))</f>
        <v>4482.36434717966</v>
      </c>
      <c r="O629" s="14" t="n">
        <f aca="true">$B$16+NORMINV(RAND(),0,SQRT($B$13*($B$7+$B$8^2))*$B$9*(1-$B$10))</f>
        <v>4438.38105113274</v>
      </c>
      <c r="P629" s="14" t="n">
        <f aca="true">$B$16+NORMINV(RAND(),0,SQRT($B$13*($B$7+$B$8^2))*$B$9*(1-$B$10))</f>
        <v>3846.86406266476</v>
      </c>
      <c r="Q629" s="14" t="n">
        <f aca="true">$B$16+NORMINV(RAND(),0,SQRT($B$13*($B$7+$B$8^2))*$B$9*(1-$B$10))</f>
        <v>4132.46583862955</v>
      </c>
      <c r="R629" s="14" t="n">
        <f aca="false">$B$4-13*($B$5+$B$6)/30-IF($B$11&lt;=13,$B$12,0)+0</f>
        <v>8876.66666666667</v>
      </c>
      <c r="S629" s="14" t="n">
        <f aca="false">$B$4-27*($B$5+$B$6)/30-IF($B$11&lt;=27,$B$12,0)+L629</f>
        <v>10632.0823223137</v>
      </c>
      <c r="T629" s="14" t="n">
        <f aca="false">$B$4-41*($B$5+$B$6)/30-IF($B$11&lt;=41,$B$12,0)+L629+M629</f>
        <v>1285.48624639369</v>
      </c>
      <c r="U629" s="14" t="n">
        <f aca="false">$B$4-55*($B$5+$B$6)/30-IF($B$11&lt;=55,$B$12,0)+L629+M629+N629</f>
        <v>3481.18392690668</v>
      </c>
      <c r="V629" s="14" t="n">
        <f aca="false">$B$4-69*($B$5+$B$6)/30-IF($B$11&lt;=69,$B$12,0)+L629+M629+N629+O629</f>
        <v>5632.89831137275</v>
      </c>
      <c r="W629" s="14" t="n">
        <f aca="false">$B$4-83*($B$5+$B$6)/30-IF($B$11&lt;=83,$B$12,0)+L629+M629+N629+O629+P629</f>
        <v>7193.09570737085</v>
      </c>
      <c r="X629" s="14" t="n">
        <f aca="false">$B$4-90*($B$5+$B$6)/30-IF($B$11&lt;=90,$B$12,0)+L629+M629+N629+O629+P629+Q629</f>
        <v>10182.2282126671</v>
      </c>
      <c r="AA629" s="14" t="n">
        <f aca="false">MIN(R629:X629)</f>
        <v>1285.48624639369</v>
      </c>
    </row>
    <row r="630" customFormat="false" ht="15" hidden="false" customHeight="false" outlineLevel="0" collapsed="false">
      <c r="K630" s="2" t="n">
        <v>625</v>
      </c>
      <c r="L630" s="14" t="n">
        <f aca="true">$B$16+NORMINV(RAND(),0,SQRT($B$13*($B$7+$B$8^2))*$B$9*(1-$B$10))</f>
        <v>3590.8078903192</v>
      </c>
      <c r="M630" s="14" t="n">
        <f aca="true">$B$16+NORMINV(RAND(),0,SQRT($B$13*($B$7+$B$8^2))*$B$9*(1-$B$10))</f>
        <v>4568.49939572137</v>
      </c>
      <c r="N630" s="14" t="n">
        <f aca="true">$B$16+NORMINV(RAND(),0,SQRT($B$13*($B$7+$B$8^2))*$B$9*(1-$B$10))</f>
        <v>3749.45929573884</v>
      </c>
      <c r="O630" s="14" t="n">
        <f aca="true">$B$16+NORMINV(RAND(),0,SQRT($B$13*($B$7+$B$8^2))*$B$9*(1-$B$10))</f>
        <v>3475.02330946637</v>
      </c>
      <c r="P630" s="14" t="n">
        <f aca="true">$B$16+NORMINV(RAND(),0,SQRT($B$13*($B$7+$B$8^2))*$B$9*(1-$B$10))</f>
        <v>4741.51277096315</v>
      </c>
      <c r="Q630" s="14" t="n">
        <f aca="true">$B$16+NORMINV(RAND(),0,SQRT($B$13*($B$7+$B$8^2))*$B$9*(1-$B$10))</f>
        <v>4134.7921145615</v>
      </c>
      <c r="R630" s="14" t="n">
        <f aca="false">$B$4-13*($B$5+$B$6)/30-IF($B$11&lt;=13,$B$12,0)+0</f>
        <v>8876.66666666667</v>
      </c>
      <c r="S630" s="14" t="n">
        <f aca="false">$B$4-27*($B$5+$B$6)/30-IF($B$11&lt;=27,$B$12,0)+L630</f>
        <v>10180.8078903192</v>
      </c>
      <c r="T630" s="14" t="n">
        <f aca="false">$B$4-41*($B$5+$B$6)/30-IF($B$11&lt;=41,$B$12,0)+L630+M630</f>
        <v>1277.8406193739</v>
      </c>
      <c r="U630" s="14" t="n">
        <f aca="false">$B$4-55*($B$5+$B$6)/30-IF($B$11&lt;=55,$B$12,0)+L630+M630+N630</f>
        <v>2740.63324844608</v>
      </c>
      <c r="V630" s="14" t="n">
        <f aca="false">$B$4-69*($B$5+$B$6)/30-IF($B$11&lt;=69,$B$12,0)+L630+M630+N630+O630</f>
        <v>3928.98989124579</v>
      </c>
      <c r="W630" s="14" t="n">
        <f aca="false">$B$4-83*($B$5+$B$6)/30-IF($B$11&lt;=83,$B$12,0)+L630+M630+N630+O630+P630</f>
        <v>6383.83599554227</v>
      </c>
      <c r="X630" s="14" t="n">
        <f aca="false">$B$4-90*($B$5+$B$6)/30-IF($B$11&lt;=90,$B$12,0)+L630+M630+N630+O630+P630+Q630</f>
        <v>9375.29477677043</v>
      </c>
      <c r="AA630" s="14" t="n">
        <f aca="false">MIN(R630:X630)</f>
        <v>1277.8406193739</v>
      </c>
    </row>
    <row r="631" customFormat="false" ht="15" hidden="false" customHeight="false" outlineLevel="0" collapsed="false">
      <c r="K631" s="2" t="n">
        <v>626</v>
      </c>
      <c r="L631" s="14" t="n">
        <f aca="true">$B$16+NORMINV(RAND(),0,SQRT($B$13*($B$7+$B$8^2))*$B$9*(1-$B$10))</f>
        <v>3890.45052081074</v>
      </c>
      <c r="M631" s="14" t="n">
        <f aca="true">$B$16+NORMINV(RAND(),0,SQRT($B$13*($B$7+$B$8^2))*$B$9*(1-$B$10))</f>
        <v>4269.89945611206</v>
      </c>
      <c r="N631" s="14" t="n">
        <f aca="true">$B$16+NORMINV(RAND(),0,SQRT($B$13*($B$7+$B$8^2))*$B$9*(1-$B$10))</f>
        <v>4436.58643396248</v>
      </c>
      <c r="O631" s="14" t="n">
        <f aca="true">$B$16+NORMINV(RAND(),0,SQRT($B$13*($B$7+$B$8^2))*$B$9*(1-$B$10))</f>
        <v>4030.96521984697</v>
      </c>
      <c r="P631" s="14" t="n">
        <f aca="true">$B$16+NORMINV(RAND(),0,SQRT($B$13*($B$7+$B$8^2))*$B$9*(1-$B$10))</f>
        <v>3442.17568862346</v>
      </c>
      <c r="Q631" s="14" t="n">
        <f aca="true">$B$16+NORMINV(RAND(),0,SQRT($B$13*($B$7+$B$8^2))*$B$9*(1-$B$10))</f>
        <v>4487.42180891885</v>
      </c>
      <c r="R631" s="14" t="n">
        <f aca="false">$B$4-13*($B$5+$B$6)/30-IF($B$11&lt;=13,$B$12,0)+0</f>
        <v>8876.66666666667</v>
      </c>
      <c r="S631" s="14" t="n">
        <f aca="false">$B$4-27*($B$5+$B$6)/30-IF($B$11&lt;=27,$B$12,0)+L631</f>
        <v>10480.4505208107</v>
      </c>
      <c r="T631" s="14" t="n">
        <f aca="false">$B$4-41*($B$5+$B$6)/30-IF($B$11&lt;=41,$B$12,0)+L631+M631</f>
        <v>1278.88331025613</v>
      </c>
      <c r="U631" s="14" t="n">
        <f aca="false">$B$4-55*($B$5+$B$6)/30-IF($B$11&lt;=55,$B$12,0)+L631+M631+N631</f>
        <v>3428.80307755194</v>
      </c>
      <c r="V631" s="14" t="n">
        <f aca="false">$B$4-69*($B$5+$B$6)/30-IF($B$11&lt;=69,$B$12,0)+L631+M631+N631+O631</f>
        <v>5173.10163073225</v>
      </c>
      <c r="W631" s="14" t="n">
        <f aca="false">$B$4-83*($B$5+$B$6)/30-IF($B$11&lt;=83,$B$12,0)+L631+M631+N631+O631+P631</f>
        <v>6328.61065268904</v>
      </c>
      <c r="X631" s="14" t="n">
        <f aca="false">$B$4-90*($B$5+$B$6)/30-IF($B$11&lt;=90,$B$12,0)+L631+M631+N631+O631+P631+Q631</f>
        <v>9672.69912827456</v>
      </c>
      <c r="AA631" s="14" t="n">
        <f aca="false">MIN(R631:X631)</f>
        <v>1278.88331025613</v>
      </c>
    </row>
    <row r="632" customFormat="false" ht="15" hidden="false" customHeight="false" outlineLevel="0" collapsed="false">
      <c r="K632" s="2" t="n">
        <v>627</v>
      </c>
      <c r="L632" s="14" t="n">
        <f aca="true">$B$16+NORMINV(RAND(),0,SQRT($B$13*($B$7+$B$8^2))*$B$9*(1-$B$10))</f>
        <v>3495.80712611748</v>
      </c>
      <c r="M632" s="14" t="n">
        <f aca="true">$B$16+NORMINV(RAND(),0,SQRT($B$13*($B$7+$B$8^2))*$B$9*(1-$B$10))</f>
        <v>3886.6903530442</v>
      </c>
      <c r="N632" s="14" t="n">
        <f aca="true">$B$16+NORMINV(RAND(),0,SQRT($B$13*($B$7+$B$8^2))*$B$9*(1-$B$10))</f>
        <v>3814.43467745285</v>
      </c>
      <c r="O632" s="14" t="n">
        <f aca="true">$B$16+NORMINV(RAND(),0,SQRT($B$13*($B$7+$B$8^2))*$B$9*(1-$B$10))</f>
        <v>3821.87270738702</v>
      </c>
      <c r="P632" s="14" t="n">
        <f aca="true">$B$16+NORMINV(RAND(),0,SQRT($B$13*($B$7+$B$8^2))*$B$9*(1-$B$10))</f>
        <v>4387.9662102304</v>
      </c>
      <c r="Q632" s="14" t="n">
        <f aca="true">$B$16+NORMINV(RAND(),0,SQRT($B$13*($B$7+$B$8^2))*$B$9*(1-$B$10))</f>
        <v>4050.78182501742</v>
      </c>
      <c r="R632" s="14" t="n">
        <f aca="false">$B$4-13*($B$5+$B$6)/30-IF($B$11&lt;=13,$B$12,0)+0</f>
        <v>8876.66666666667</v>
      </c>
      <c r="S632" s="14" t="n">
        <f aca="false">$B$4-27*($B$5+$B$6)/30-IF($B$11&lt;=27,$B$12,0)+L632</f>
        <v>10085.8071261175</v>
      </c>
      <c r="T632" s="14" t="n">
        <f aca="false">$B$4-41*($B$5+$B$6)/30-IF($B$11&lt;=41,$B$12,0)+L632+M632</f>
        <v>501.03081249501</v>
      </c>
      <c r="U632" s="14" t="n">
        <f aca="false">$B$4-55*($B$5+$B$6)/30-IF($B$11&lt;=55,$B$12,0)+L632+M632+N632</f>
        <v>2028.79882328119</v>
      </c>
      <c r="V632" s="14" t="n">
        <f aca="false">$B$4-69*($B$5+$B$6)/30-IF($B$11&lt;=69,$B$12,0)+L632+M632+N632+O632</f>
        <v>3564.00486400155</v>
      </c>
      <c r="W632" s="14" t="n">
        <f aca="false">$B$4-83*($B$5+$B$6)/30-IF($B$11&lt;=83,$B$12,0)+L632+M632+N632+O632+P632</f>
        <v>5665.30440756529</v>
      </c>
      <c r="X632" s="14" t="n">
        <f aca="false">$B$4-90*($B$5+$B$6)/30-IF($B$11&lt;=90,$B$12,0)+L632+M632+N632+O632+P632+Q632</f>
        <v>8572.75289924938</v>
      </c>
      <c r="AA632" s="14" t="n">
        <f aca="false">MIN(R632:X632)</f>
        <v>501.03081249501</v>
      </c>
    </row>
    <row r="633" customFormat="false" ht="15" hidden="false" customHeight="false" outlineLevel="0" collapsed="false">
      <c r="K633" s="2" t="n">
        <v>628</v>
      </c>
      <c r="L633" s="14" t="n">
        <f aca="true">$B$16+NORMINV(RAND(),0,SQRT($B$13*($B$7+$B$8^2))*$B$9*(1-$B$10))</f>
        <v>3688.90410219727</v>
      </c>
      <c r="M633" s="14" t="n">
        <f aca="true">$B$16+NORMINV(RAND(),0,SQRT($B$13*($B$7+$B$8^2))*$B$9*(1-$B$10))</f>
        <v>3656.3202709381</v>
      </c>
      <c r="N633" s="14" t="n">
        <f aca="true">$B$16+NORMINV(RAND(),0,SQRT($B$13*($B$7+$B$8^2))*$B$9*(1-$B$10))</f>
        <v>3935.23345308607</v>
      </c>
      <c r="O633" s="14" t="n">
        <f aca="true">$B$16+NORMINV(RAND(),0,SQRT($B$13*($B$7+$B$8^2))*$B$9*(1-$B$10))</f>
        <v>3359.97012886242</v>
      </c>
      <c r="P633" s="14" t="n">
        <f aca="true">$B$16+NORMINV(RAND(),0,SQRT($B$13*($B$7+$B$8^2))*$B$9*(1-$B$10))</f>
        <v>3904.83021858803</v>
      </c>
      <c r="Q633" s="14" t="n">
        <f aca="true">$B$16+NORMINV(RAND(),0,SQRT($B$13*($B$7+$B$8^2))*$B$9*(1-$B$10))</f>
        <v>3692.98953192174</v>
      </c>
      <c r="R633" s="14" t="n">
        <f aca="false">$B$4-13*($B$5+$B$6)/30-IF($B$11&lt;=13,$B$12,0)+0</f>
        <v>8876.66666666667</v>
      </c>
      <c r="S633" s="14" t="n">
        <f aca="false">$B$4-27*($B$5+$B$6)/30-IF($B$11&lt;=27,$B$12,0)+L633</f>
        <v>10278.9041021973</v>
      </c>
      <c r="T633" s="14" t="n">
        <f aca="false">$B$4-41*($B$5+$B$6)/30-IF($B$11&lt;=41,$B$12,0)+L633+M633</f>
        <v>463.7577064687</v>
      </c>
      <c r="U633" s="14" t="n">
        <f aca="false">$B$4-55*($B$5+$B$6)/30-IF($B$11&lt;=55,$B$12,0)+L633+M633+N633</f>
        <v>2112.3244928881</v>
      </c>
      <c r="V633" s="14" t="n">
        <f aca="false">$B$4-69*($B$5+$B$6)/30-IF($B$11&lt;=69,$B$12,0)+L633+M633+N633+O633</f>
        <v>3185.62795508385</v>
      </c>
      <c r="W633" s="14" t="n">
        <f aca="false">$B$4-83*($B$5+$B$6)/30-IF($B$11&lt;=83,$B$12,0)+L633+M633+N633+O633+P633</f>
        <v>4803.79150700521</v>
      </c>
      <c r="X633" s="14" t="n">
        <f aca="false">$B$4-90*($B$5+$B$6)/30-IF($B$11&lt;=90,$B$12,0)+L633+M633+N633+O633+P633+Q633</f>
        <v>7353.44770559362</v>
      </c>
      <c r="AA633" s="14" t="n">
        <f aca="false">MIN(R633:X633)</f>
        <v>463.7577064687</v>
      </c>
    </row>
    <row r="634" customFormat="false" ht="15" hidden="false" customHeight="false" outlineLevel="0" collapsed="false">
      <c r="K634" s="2" t="n">
        <v>629</v>
      </c>
      <c r="L634" s="14" t="n">
        <f aca="true">$B$16+NORMINV(RAND(),0,SQRT($B$13*($B$7+$B$8^2))*$B$9*(1-$B$10))</f>
        <v>3773.22948884209</v>
      </c>
      <c r="M634" s="14" t="n">
        <f aca="true">$B$16+NORMINV(RAND(),0,SQRT($B$13*($B$7+$B$8^2))*$B$9*(1-$B$10))</f>
        <v>3939.87809104109</v>
      </c>
      <c r="N634" s="14" t="n">
        <f aca="true">$B$16+NORMINV(RAND(),0,SQRT($B$13*($B$7+$B$8^2))*$B$9*(1-$B$10))</f>
        <v>3790.92867401204</v>
      </c>
      <c r="O634" s="14" t="n">
        <f aca="true">$B$16+NORMINV(RAND(),0,SQRT($B$13*($B$7+$B$8^2))*$B$9*(1-$B$10))</f>
        <v>4340.66300974331</v>
      </c>
      <c r="P634" s="14" t="n">
        <f aca="true">$B$16+NORMINV(RAND(),0,SQRT($B$13*($B$7+$B$8^2))*$B$9*(1-$B$10))</f>
        <v>4349.27059235937</v>
      </c>
      <c r="Q634" s="14" t="n">
        <f aca="true">$B$16+NORMINV(RAND(),0,SQRT($B$13*($B$7+$B$8^2))*$B$9*(1-$B$10))</f>
        <v>4180.59793346721</v>
      </c>
      <c r="R634" s="14" t="n">
        <f aca="false">$B$4-13*($B$5+$B$6)/30-IF($B$11&lt;=13,$B$12,0)+0</f>
        <v>8876.66666666667</v>
      </c>
      <c r="S634" s="14" t="n">
        <f aca="false">$B$4-27*($B$5+$B$6)/30-IF($B$11&lt;=27,$B$12,0)+L634</f>
        <v>10363.2294888421</v>
      </c>
      <c r="T634" s="14" t="n">
        <f aca="false">$B$4-41*($B$5+$B$6)/30-IF($B$11&lt;=41,$B$12,0)+L634+M634</f>
        <v>831.64091321651</v>
      </c>
      <c r="U634" s="14" t="n">
        <f aca="false">$B$4-55*($B$5+$B$6)/30-IF($B$11&lt;=55,$B$12,0)+L634+M634+N634</f>
        <v>2335.90292056188</v>
      </c>
      <c r="V634" s="14" t="n">
        <f aca="false">$B$4-69*($B$5+$B$6)/30-IF($B$11&lt;=69,$B$12,0)+L634+M634+N634+O634</f>
        <v>4389.89926363853</v>
      </c>
      <c r="W634" s="14" t="n">
        <f aca="false">$B$4-83*($B$5+$B$6)/30-IF($B$11&lt;=83,$B$12,0)+L634+M634+N634+O634+P634</f>
        <v>6452.50318933123</v>
      </c>
      <c r="X634" s="14" t="n">
        <f aca="false">$B$4-90*($B$5+$B$6)/30-IF($B$11&lt;=90,$B$12,0)+L634+M634+N634+O634+P634+Q634</f>
        <v>9489.76778946511</v>
      </c>
      <c r="AA634" s="14" t="n">
        <f aca="false">MIN(R634:X634)</f>
        <v>831.64091321651</v>
      </c>
    </row>
    <row r="635" customFormat="false" ht="15" hidden="false" customHeight="false" outlineLevel="0" collapsed="false">
      <c r="K635" s="2" t="n">
        <v>630</v>
      </c>
      <c r="L635" s="14" t="n">
        <f aca="true">$B$16+NORMINV(RAND(),0,SQRT($B$13*($B$7+$B$8^2))*$B$9*(1-$B$10))</f>
        <v>3911.87104136049</v>
      </c>
      <c r="M635" s="14" t="n">
        <f aca="true">$B$16+NORMINV(RAND(),0,SQRT($B$13*($B$7+$B$8^2))*$B$9*(1-$B$10))</f>
        <v>4101.19756248388</v>
      </c>
      <c r="N635" s="14" t="n">
        <f aca="true">$B$16+NORMINV(RAND(),0,SQRT($B$13*($B$7+$B$8^2))*$B$9*(1-$B$10))</f>
        <v>4510.23616361598</v>
      </c>
      <c r="O635" s="14" t="n">
        <f aca="true">$B$16+NORMINV(RAND(),0,SQRT($B$13*($B$7+$B$8^2))*$B$9*(1-$B$10))</f>
        <v>4595.9988912857</v>
      </c>
      <c r="P635" s="14" t="n">
        <f aca="true">$B$16+NORMINV(RAND(),0,SQRT($B$13*($B$7+$B$8^2))*$B$9*(1-$B$10))</f>
        <v>4213.55829749525</v>
      </c>
      <c r="Q635" s="14" t="n">
        <f aca="true">$B$16+NORMINV(RAND(),0,SQRT($B$13*($B$7+$B$8^2))*$B$9*(1-$B$10))</f>
        <v>4129.19588803816</v>
      </c>
      <c r="R635" s="14" t="n">
        <f aca="false">$B$4-13*($B$5+$B$6)/30-IF($B$11&lt;=13,$B$12,0)+0</f>
        <v>8876.66666666667</v>
      </c>
      <c r="S635" s="14" t="n">
        <f aca="false">$B$4-27*($B$5+$B$6)/30-IF($B$11&lt;=27,$B$12,0)+L635</f>
        <v>10501.8710413605</v>
      </c>
      <c r="T635" s="14" t="n">
        <f aca="false">$B$4-41*($B$5+$B$6)/30-IF($B$11&lt;=41,$B$12,0)+L635+M635</f>
        <v>1131.60193717771</v>
      </c>
      <c r="U635" s="14" t="n">
        <f aca="false">$B$4-55*($B$5+$B$6)/30-IF($B$11&lt;=55,$B$12,0)+L635+M635+N635</f>
        <v>3355.17143412702</v>
      </c>
      <c r="V635" s="14" t="n">
        <f aca="false">$B$4-69*($B$5+$B$6)/30-IF($B$11&lt;=69,$B$12,0)+L635+M635+N635+O635</f>
        <v>5664.50365874606</v>
      </c>
      <c r="W635" s="14" t="n">
        <f aca="false">$B$4-83*($B$5+$B$6)/30-IF($B$11&lt;=83,$B$12,0)+L635+M635+N635+O635+P635</f>
        <v>7591.39528957464</v>
      </c>
      <c r="X635" s="14" t="n">
        <f aca="false">$B$4-90*($B$5+$B$6)/30-IF($B$11&lt;=90,$B$12,0)+L635+M635+N635+O635+P635+Q635</f>
        <v>10577.2578442795</v>
      </c>
      <c r="AA635" s="14" t="n">
        <f aca="false">MIN(R635:X635)</f>
        <v>1131.60193717771</v>
      </c>
    </row>
    <row r="636" customFormat="false" ht="15" hidden="false" customHeight="false" outlineLevel="0" collapsed="false">
      <c r="K636" s="2" t="n">
        <v>631</v>
      </c>
      <c r="L636" s="14" t="n">
        <f aca="true">$B$16+NORMINV(RAND(),0,SQRT($B$13*($B$7+$B$8^2))*$B$9*(1-$B$10))</f>
        <v>3607.70905214698</v>
      </c>
      <c r="M636" s="14" t="n">
        <f aca="true">$B$16+NORMINV(RAND(),0,SQRT($B$13*($B$7+$B$8^2))*$B$9*(1-$B$10))</f>
        <v>4016.28155195543</v>
      </c>
      <c r="N636" s="14" t="n">
        <f aca="true">$B$16+NORMINV(RAND(),0,SQRT($B$13*($B$7+$B$8^2))*$B$9*(1-$B$10))</f>
        <v>4453.00155336933</v>
      </c>
      <c r="O636" s="14" t="n">
        <f aca="true">$B$16+NORMINV(RAND(),0,SQRT($B$13*($B$7+$B$8^2))*$B$9*(1-$B$10))</f>
        <v>4225.06610476285</v>
      </c>
      <c r="P636" s="14" t="n">
        <f aca="true">$B$16+NORMINV(RAND(),0,SQRT($B$13*($B$7+$B$8^2))*$B$9*(1-$B$10))</f>
        <v>3715.59764916159</v>
      </c>
      <c r="Q636" s="14" t="n">
        <f aca="true">$B$16+NORMINV(RAND(),0,SQRT($B$13*($B$7+$B$8^2))*$B$9*(1-$B$10))</f>
        <v>4092.14357744851</v>
      </c>
      <c r="R636" s="14" t="n">
        <f aca="false">$B$4-13*($B$5+$B$6)/30-IF($B$11&lt;=13,$B$12,0)+0</f>
        <v>8876.66666666667</v>
      </c>
      <c r="S636" s="14" t="n">
        <f aca="false">$B$4-27*($B$5+$B$6)/30-IF($B$11&lt;=27,$B$12,0)+L636</f>
        <v>10197.709052147</v>
      </c>
      <c r="T636" s="14" t="n">
        <f aca="false">$B$4-41*($B$5+$B$6)/30-IF($B$11&lt;=41,$B$12,0)+L636+M636</f>
        <v>742.523937435735</v>
      </c>
      <c r="U636" s="14" t="n">
        <f aca="false">$B$4-55*($B$5+$B$6)/30-IF($B$11&lt;=55,$B$12,0)+L636+M636+N636</f>
        <v>2908.8588241384</v>
      </c>
      <c r="V636" s="14" t="n">
        <f aca="false">$B$4-69*($B$5+$B$6)/30-IF($B$11&lt;=69,$B$12,0)+L636+M636+N636+O636</f>
        <v>4847.25826223458</v>
      </c>
      <c r="W636" s="14" t="n">
        <f aca="false">$B$4-83*($B$5+$B$6)/30-IF($B$11&lt;=83,$B$12,0)+L636+M636+N636+O636+P636</f>
        <v>6276.18924472951</v>
      </c>
      <c r="X636" s="14" t="n">
        <f aca="false">$B$4-90*($B$5+$B$6)/30-IF($B$11&lt;=90,$B$12,0)+L636+M636+N636+O636+P636+Q636</f>
        <v>9224.99948884469</v>
      </c>
      <c r="AA636" s="14" t="n">
        <f aca="false">MIN(R636:X636)</f>
        <v>742.523937435735</v>
      </c>
    </row>
    <row r="637" customFormat="false" ht="15" hidden="false" customHeight="false" outlineLevel="0" collapsed="false">
      <c r="K637" s="2" t="n">
        <v>632</v>
      </c>
      <c r="L637" s="14" t="n">
        <f aca="true">$B$16+NORMINV(RAND(),0,SQRT($B$13*($B$7+$B$8^2))*$B$9*(1-$B$10))</f>
        <v>3815.790155028</v>
      </c>
      <c r="M637" s="14" t="n">
        <f aca="true">$B$16+NORMINV(RAND(),0,SQRT($B$13*($B$7+$B$8^2))*$B$9*(1-$B$10))</f>
        <v>4120.62129176067</v>
      </c>
      <c r="N637" s="14" t="n">
        <f aca="true">$B$16+NORMINV(RAND(),0,SQRT($B$13*($B$7+$B$8^2))*$B$9*(1-$B$10))</f>
        <v>4420.17716661715</v>
      </c>
      <c r="O637" s="14" t="n">
        <f aca="true">$B$16+NORMINV(RAND(),0,SQRT($B$13*($B$7+$B$8^2))*$B$9*(1-$B$10))</f>
        <v>3940.17667705129</v>
      </c>
      <c r="P637" s="14" t="n">
        <f aca="true">$B$16+NORMINV(RAND(),0,SQRT($B$13*($B$7+$B$8^2))*$B$9*(1-$B$10))</f>
        <v>4144.69292344131</v>
      </c>
      <c r="Q637" s="14" t="n">
        <f aca="true">$B$16+NORMINV(RAND(),0,SQRT($B$13*($B$7+$B$8^2))*$B$9*(1-$B$10))</f>
        <v>3592.95155368975</v>
      </c>
      <c r="R637" s="14" t="n">
        <f aca="false">$B$4-13*($B$5+$B$6)/30-IF($B$11&lt;=13,$B$12,0)+0</f>
        <v>8876.66666666667</v>
      </c>
      <c r="S637" s="14" t="n">
        <f aca="false">$B$4-27*($B$5+$B$6)/30-IF($B$11&lt;=27,$B$12,0)+L637</f>
        <v>10405.790155028</v>
      </c>
      <c r="T637" s="14" t="n">
        <f aca="false">$B$4-41*($B$5+$B$6)/30-IF($B$11&lt;=41,$B$12,0)+L637+M637</f>
        <v>1054.944780122</v>
      </c>
      <c r="U637" s="14" t="n">
        <f aca="false">$B$4-55*($B$5+$B$6)/30-IF($B$11&lt;=55,$B$12,0)+L637+M637+N637</f>
        <v>3188.45528007248</v>
      </c>
      <c r="V637" s="14" t="n">
        <f aca="false">$B$4-69*($B$5+$B$6)/30-IF($B$11&lt;=69,$B$12,0)+L637+M637+N637+O637</f>
        <v>4841.9652904571</v>
      </c>
      <c r="W637" s="14" t="n">
        <f aca="false">$B$4-83*($B$5+$B$6)/30-IF($B$11&lt;=83,$B$12,0)+L637+M637+N637+O637+P637</f>
        <v>6699.99154723174</v>
      </c>
      <c r="X637" s="14" t="n">
        <f aca="false">$B$4-90*($B$5+$B$6)/30-IF($B$11&lt;=90,$B$12,0)+L637+M637+N637+O637+P637+Q637</f>
        <v>9149.60976758816</v>
      </c>
      <c r="AA637" s="14" t="n">
        <f aca="false">MIN(R637:X637)</f>
        <v>1054.944780122</v>
      </c>
    </row>
    <row r="638" customFormat="false" ht="15" hidden="false" customHeight="false" outlineLevel="0" collapsed="false">
      <c r="K638" s="2" t="n">
        <v>633</v>
      </c>
      <c r="L638" s="14" t="n">
        <f aca="true">$B$16+NORMINV(RAND(),0,SQRT($B$13*($B$7+$B$8^2))*$B$9*(1-$B$10))</f>
        <v>3734.2377627342</v>
      </c>
      <c r="M638" s="14" t="n">
        <f aca="true">$B$16+NORMINV(RAND(),0,SQRT($B$13*($B$7+$B$8^2))*$B$9*(1-$B$10))</f>
        <v>4497.58572859385</v>
      </c>
      <c r="N638" s="14" t="n">
        <f aca="true">$B$16+NORMINV(RAND(),0,SQRT($B$13*($B$7+$B$8^2))*$B$9*(1-$B$10))</f>
        <v>3978.35285611422</v>
      </c>
      <c r="O638" s="14" t="n">
        <f aca="true">$B$16+NORMINV(RAND(),0,SQRT($B$13*($B$7+$B$8^2))*$B$9*(1-$B$10))</f>
        <v>4091.45348215004</v>
      </c>
      <c r="P638" s="14" t="n">
        <f aca="true">$B$16+NORMINV(RAND(),0,SQRT($B$13*($B$7+$B$8^2))*$B$9*(1-$B$10))</f>
        <v>4659.13949508446</v>
      </c>
      <c r="Q638" s="14" t="n">
        <f aca="true">$B$16+NORMINV(RAND(),0,SQRT($B$13*($B$7+$B$8^2))*$B$9*(1-$B$10))</f>
        <v>4300.96645570418</v>
      </c>
      <c r="R638" s="14" t="n">
        <f aca="false">$B$4-13*($B$5+$B$6)/30-IF($B$11&lt;=13,$B$12,0)+0</f>
        <v>8876.66666666667</v>
      </c>
      <c r="S638" s="14" t="n">
        <f aca="false">$B$4-27*($B$5+$B$6)/30-IF($B$11&lt;=27,$B$12,0)+L638</f>
        <v>10324.2377627342</v>
      </c>
      <c r="T638" s="14" t="n">
        <f aca="false">$B$4-41*($B$5+$B$6)/30-IF($B$11&lt;=41,$B$12,0)+L638+M638</f>
        <v>1350.35682466139</v>
      </c>
      <c r="U638" s="14" t="n">
        <f aca="false">$B$4-55*($B$5+$B$6)/30-IF($B$11&lt;=55,$B$12,0)+L638+M638+N638</f>
        <v>3042.04301410894</v>
      </c>
      <c r="V638" s="14" t="n">
        <f aca="false">$B$4-69*($B$5+$B$6)/30-IF($B$11&lt;=69,$B$12,0)+L638+M638+N638+O638</f>
        <v>4846.82982959231</v>
      </c>
      <c r="W638" s="14" t="n">
        <f aca="false">$B$4-83*($B$5+$B$6)/30-IF($B$11&lt;=83,$B$12,0)+L638+M638+N638+O638+P638</f>
        <v>7219.30265801011</v>
      </c>
      <c r="X638" s="14" t="n">
        <f aca="false">$B$4-90*($B$5+$B$6)/30-IF($B$11&lt;=90,$B$12,0)+L638+M638+N638+O638+P638+Q638</f>
        <v>10376.935780381</v>
      </c>
      <c r="AA638" s="14" t="n">
        <f aca="false">MIN(R638:X638)</f>
        <v>1350.35682466139</v>
      </c>
    </row>
    <row r="639" customFormat="false" ht="15" hidden="false" customHeight="false" outlineLevel="0" collapsed="false">
      <c r="K639" s="2" t="n">
        <v>634</v>
      </c>
      <c r="L639" s="14" t="n">
        <f aca="true">$B$16+NORMINV(RAND(),0,SQRT($B$13*($B$7+$B$8^2))*$B$9*(1-$B$10))</f>
        <v>3439.5680382126</v>
      </c>
      <c r="M639" s="14" t="n">
        <f aca="true">$B$16+NORMINV(RAND(),0,SQRT($B$13*($B$7+$B$8^2))*$B$9*(1-$B$10))</f>
        <v>4230.38520261111</v>
      </c>
      <c r="N639" s="14" t="n">
        <f aca="true">$B$16+NORMINV(RAND(),0,SQRT($B$13*($B$7+$B$8^2))*$B$9*(1-$B$10))</f>
        <v>3784.29378646382</v>
      </c>
      <c r="O639" s="14" t="n">
        <f aca="true">$B$16+NORMINV(RAND(),0,SQRT($B$13*($B$7+$B$8^2))*$B$9*(1-$B$10))</f>
        <v>3915.04951418252</v>
      </c>
      <c r="P639" s="14" t="n">
        <f aca="true">$B$16+NORMINV(RAND(),0,SQRT($B$13*($B$7+$B$8^2))*$B$9*(1-$B$10))</f>
        <v>3951.88083579988</v>
      </c>
      <c r="Q639" s="14" t="n">
        <f aca="true">$B$16+NORMINV(RAND(),0,SQRT($B$13*($B$7+$B$8^2))*$B$9*(1-$B$10))</f>
        <v>4044.39680241617</v>
      </c>
      <c r="R639" s="14" t="n">
        <f aca="false">$B$4-13*($B$5+$B$6)/30-IF($B$11&lt;=13,$B$12,0)+0</f>
        <v>8876.66666666667</v>
      </c>
      <c r="S639" s="14" t="n">
        <f aca="false">$B$4-27*($B$5+$B$6)/30-IF($B$11&lt;=27,$B$12,0)+L639</f>
        <v>10029.5680382126</v>
      </c>
      <c r="T639" s="14" t="n">
        <f aca="false">$B$4-41*($B$5+$B$6)/30-IF($B$11&lt;=41,$B$12,0)+L639+M639</f>
        <v>788.486574157043</v>
      </c>
      <c r="U639" s="14" t="n">
        <f aca="false">$B$4-55*($B$5+$B$6)/30-IF($B$11&lt;=55,$B$12,0)+L639+M639+N639</f>
        <v>2286.11369395419</v>
      </c>
      <c r="V639" s="14" t="n">
        <f aca="false">$B$4-69*($B$5+$B$6)/30-IF($B$11&lt;=69,$B$12,0)+L639+M639+N639+O639</f>
        <v>3914.49654147005</v>
      </c>
      <c r="W639" s="14" t="n">
        <f aca="false">$B$4-83*($B$5+$B$6)/30-IF($B$11&lt;=83,$B$12,0)+L639+M639+N639+O639+P639</f>
        <v>5579.71071060327</v>
      </c>
      <c r="X639" s="14" t="n">
        <f aca="false">$B$4-90*($B$5+$B$6)/30-IF($B$11&lt;=90,$B$12,0)+L639+M639+N639+O639+P639+Q639</f>
        <v>8480.77417968611</v>
      </c>
      <c r="AA639" s="14" t="n">
        <f aca="false">MIN(R639:X639)</f>
        <v>788.486574157043</v>
      </c>
    </row>
    <row r="640" customFormat="false" ht="15" hidden="false" customHeight="false" outlineLevel="0" collapsed="false">
      <c r="K640" s="2" t="n">
        <v>635</v>
      </c>
      <c r="L640" s="14" t="n">
        <f aca="true">$B$16+NORMINV(RAND(),0,SQRT($B$13*($B$7+$B$8^2))*$B$9*(1-$B$10))</f>
        <v>4511.09886137008</v>
      </c>
      <c r="M640" s="14" t="n">
        <f aca="true">$B$16+NORMINV(RAND(),0,SQRT($B$13*($B$7+$B$8^2))*$B$9*(1-$B$10))</f>
        <v>3495.39152630382</v>
      </c>
      <c r="N640" s="14" t="n">
        <f aca="true">$B$16+NORMINV(RAND(),0,SQRT($B$13*($B$7+$B$8^2))*$B$9*(1-$B$10))</f>
        <v>4409.31465794856</v>
      </c>
      <c r="O640" s="14" t="n">
        <f aca="true">$B$16+NORMINV(RAND(),0,SQRT($B$13*($B$7+$B$8^2))*$B$9*(1-$B$10))</f>
        <v>4046.2969367939</v>
      </c>
      <c r="P640" s="14" t="n">
        <f aca="true">$B$16+NORMINV(RAND(),0,SQRT($B$13*($B$7+$B$8^2))*$B$9*(1-$B$10))</f>
        <v>3546.13921169085</v>
      </c>
      <c r="Q640" s="14" t="n">
        <f aca="true">$B$16+NORMINV(RAND(),0,SQRT($B$13*($B$7+$B$8^2))*$B$9*(1-$B$10))</f>
        <v>4081.47774685756</v>
      </c>
      <c r="R640" s="14" t="n">
        <f aca="false">$B$4-13*($B$5+$B$6)/30-IF($B$11&lt;=13,$B$12,0)+0</f>
        <v>8876.66666666667</v>
      </c>
      <c r="S640" s="14" t="n">
        <f aca="false">$B$4-27*($B$5+$B$6)/30-IF($B$11&lt;=27,$B$12,0)+L640</f>
        <v>11101.0988613701</v>
      </c>
      <c r="T640" s="14" t="n">
        <f aca="false">$B$4-41*($B$5+$B$6)/30-IF($B$11&lt;=41,$B$12,0)+L640+M640</f>
        <v>1125.02372100723</v>
      </c>
      <c r="U640" s="14" t="n">
        <f aca="false">$B$4-55*($B$5+$B$6)/30-IF($B$11&lt;=55,$B$12,0)+L640+M640+N640</f>
        <v>3247.67171228912</v>
      </c>
      <c r="V640" s="14" t="n">
        <f aca="false">$B$4-69*($B$5+$B$6)/30-IF($B$11&lt;=69,$B$12,0)+L640+M640+N640+O640</f>
        <v>5007.30198241635</v>
      </c>
      <c r="W640" s="14" t="n">
        <f aca="false">$B$4-83*($B$5+$B$6)/30-IF($B$11&lt;=83,$B$12,0)+L640+M640+N640+O640+P640</f>
        <v>6266.77452744053</v>
      </c>
      <c r="X640" s="14" t="n">
        <f aca="false">$B$4-90*($B$5+$B$6)/30-IF($B$11&lt;=90,$B$12,0)+L640+M640+N640+O640+P640+Q640</f>
        <v>9204.91894096475</v>
      </c>
      <c r="AA640" s="14" t="n">
        <f aca="false">MIN(R640:X640)</f>
        <v>1125.02372100723</v>
      </c>
    </row>
    <row r="641" customFormat="false" ht="15" hidden="false" customHeight="false" outlineLevel="0" collapsed="false">
      <c r="K641" s="2" t="n">
        <v>636</v>
      </c>
      <c r="L641" s="14" t="n">
        <f aca="true">$B$16+NORMINV(RAND(),0,SQRT($B$13*($B$7+$B$8^2))*$B$9*(1-$B$10))</f>
        <v>3952.09284908084</v>
      </c>
      <c r="M641" s="14" t="n">
        <f aca="true">$B$16+NORMINV(RAND(),0,SQRT($B$13*($B$7+$B$8^2))*$B$9*(1-$B$10))</f>
        <v>3401.8010198953</v>
      </c>
      <c r="N641" s="14" t="n">
        <f aca="true">$B$16+NORMINV(RAND(),0,SQRT($B$13*($B$7+$B$8^2))*$B$9*(1-$B$10))</f>
        <v>3967.48157351052</v>
      </c>
      <c r="O641" s="14" t="n">
        <f aca="true">$B$16+NORMINV(RAND(),0,SQRT($B$13*($B$7+$B$8^2))*$B$9*(1-$B$10))</f>
        <v>4405.39052368749</v>
      </c>
      <c r="P641" s="14" t="n">
        <f aca="true">$B$16+NORMINV(RAND(),0,SQRT($B$13*($B$7+$B$8^2))*$B$9*(1-$B$10))</f>
        <v>4326.72708158817</v>
      </c>
      <c r="Q641" s="14" t="n">
        <f aca="true">$B$16+NORMINV(RAND(),0,SQRT($B$13*($B$7+$B$8^2))*$B$9*(1-$B$10))</f>
        <v>3940.69954042586</v>
      </c>
      <c r="R641" s="14" t="n">
        <f aca="false">$B$4-13*($B$5+$B$6)/30-IF($B$11&lt;=13,$B$12,0)+0</f>
        <v>8876.66666666667</v>
      </c>
      <c r="S641" s="14" t="n">
        <f aca="false">$B$4-27*($B$5+$B$6)/30-IF($B$11&lt;=27,$B$12,0)+L641</f>
        <v>10542.0928490808</v>
      </c>
      <c r="T641" s="14" t="n">
        <f aca="false">$B$4-41*($B$5+$B$6)/30-IF($B$11&lt;=41,$B$12,0)+L641+M641</f>
        <v>472.427202309479</v>
      </c>
      <c r="U641" s="14" t="n">
        <f aca="false">$B$4-55*($B$5+$B$6)/30-IF($B$11&lt;=55,$B$12,0)+L641+M641+N641</f>
        <v>2153.24210915333</v>
      </c>
      <c r="V641" s="14" t="n">
        <f aca="false">$B$4-69*($B$5+$B$6)/30-IF($B$11&lt;=69,$B$12,0)+L641+M641+N641+O641</f>
        <v>4271.96596617416</v>
      </c>
      <c r="W641" s="14" t="n">
        <f aca="false">$B$4-83*($B$5+$B$6)/30-IF($B$11&lt;=83,$B$12,0)+L641+M641+N641+O641+P641</f>
        <v>6312.02638109566</v>
      </c>
      <c r="X641" s="14" t="n">
        <f aca="false">$B$4-90*($B$5+$B$6)/30-IF($B$11&lt;=90,$B$12,0)+L641+M641+N641+O641+P641+Q641</f>
        <v>9109.39258818819</v>
      </c>
      <c r="AA641" s="14" t="n">
        <f aca="false">MIN(R641:X641)</f>
        <v>472.427202309479</v>
      </c>
    </row>
    <row r="642" customFormat="false" ht="15" hidden="false" customHeight="false" outlineLevel="0" collapsed="false">
      <c r="K642" s="2" t="n">
        <v>637</v>
      </c>
      <c r="L642" s="14" t="n">
        <f aca="true">$B$16+NORMINV(RAND(),0,SQRT($B$13*($B$7+$B$8^2))*$B$9*(1-$B$10))</f>
        <v>4299.89558424014</v>
      </c>
      <c r="M642" s="14" t="n">
        <f aca="true">$B$16+NORMINV(RAND(),0,SQRT($B$13*($B$7+$B$8^2))*$B$9*(1-$B$10))</f>
        <v>4999.70525355911</v>
      </c>
      <c r="N642" s="14" t="n">
        <f aca="true">$B$16+NORMINV(RAND(),0,SQRT($B$13*($B$7+$B$8^2))*$B$9*(1-$B$10))</f>
        <v>4018.30146357247</v>
      </c>
      <c r="O642" s="14" t="n">
        <f aca="true">$B$16+NORMINV(RAND(),0,SQRT($B$13*($B$7+$B$8^2))*$B$9*(1-$B$10))</f>
        <v>3762.73421066722</v>
      </c>
      <c r="P642" s="14" t="n">
        <f aca="true">$B$16+NORMINV(RAND(),0,SQRT($B$13*($B$7+$B$8^2))*$B$9*(1-$B$10))</f>
        <v>4123.68964809905</v>
      </c>
      <c r="Q642" s="14" t="n">
        <f aca="true">$B$16+NORMINV(RAND(),0,SQRT($B$13*($B$7+$B$8^2))*$B$9*(1-$B$10))</f>
        <v>4581.12132930993</v>
      </c>
      <c r="R642" s="14" t="n">
        <f aca="false">$B$4-13*($B$5+$B$6)/30-IF($B$11&lt;=13,$B$12,0)+0</f>
        <v>8876.66666666667</v>
      </c>
      <c r="S642" s="14" t="n">
        <f aca="false">$B$4-27*($B$5+$B$6)/30-IF($B$11&lt;=27,$B$12,0)+L642</f>
        <v>10889.8955842401</v>
      </c>
      <c r="T642" s="14" t="n">
        <f aca="false">$B$4-41*($B$5+$B$6)/30-IF($B$11&lt;=41,$B$12,0)+L642+M642</f>
        <v>2418.13417113258</v>
      </c>
      <c r="U642" s="14" t="n">
        <f aca="false">$B$4-55*($B$5+$B$6)/30-IF($B$11&lt;=55,$B$12,0)+L642+M642+N642</f>
        <v>4149.76896803838</v>
      </c>
      <c r="V642" s="14" t="n">
        <f aca="false">$B$4-69*($B$5+$B$6)/30-IF($B$11&lt;=69,$B$12,0)+L642+M642+N642+O642</f>
        <v>5625.83651203894</v>
      </c>
      <c r="W642" s="14" t="n">
        <f aca="false">$B$4-83*($B$5+$B$6)/30-IF($B$11&lt;=83,$B$12,0)+L642+M642+N642+O642+P642</f>
        <v>7462.85949347132</v>
      </c>
      <c r="X642" s="14" t="n">
        <f aca="false">$B$4-90*($B$5+$B$6)/30-IF($B$11&lt;=90,$B$12,0)+L642+M642+N642+O642+P642+Q642</f>
        <v>10900.6474894479</v>
      </c>
      <c r="AA642" s="14" t="n">
        <f aca="false">MIN(R642:X642)</f>
        <v>2418.13417113258</v>
      </c>
    </row>
    <row r="643" customFormat="false" ht="15" hidden="false" customHeight="false" outlineLevel="0" collapsed="false">
      <c r="K643" s="2" t="n">
        <v>638</v>
      </c>
      <c r="L643" s="14" t="n">
        <f aca="true">$B$16+NORMINV(RAND(),0,SQRT($B$13*($B$7+$B$8^2))*$B$9*(1-$B$10))</f>
        <v>3830.608011049</v>
      </c>
      <c r="M643" s="14" t="n">
        <f aca="true">$B$16+NORMINV(RAND(),0,SQRT($B$13*($B$7+$B$8^2))*$B$9*(1-$B$10))</f>
        <v>3830.56474742169</v>
      </c>
      <c r="N643" s="14" t="n">
        <f aca="true">$B$16+NORMINV(RAND(),0,SQRT($B$13*($B$7+$B$8^2))*$B$9*(1-$B$10))</f>
        <v>4514.13527257572</v>
      </c>
      <c r="O643" s="14" t="n">
        <f aca="true">$B$16+NORMINV(RAND(),0,SQRT($B$13*($B$7+$B$8^2))*$B$9*(1-$B$10))</f>
        <v>4051.02886903168</v>
      </c>
      <c r="P643" s="14" t="n">
        <f aca="true">$B$16+NORMINV(RAND(),0,SQRT($B$13*($B$7+$B$8^2))*$B$9*(1-$B$10))</f>
        <v>3929.43406521531</v>
      </c>
      <c r="Q643" s="14" t="n">
        <f aca="true">$B$16+NORMINV(RAND(),0,SQRT($B$13*($B$7+$B$8^2))*$B$9*(1-$B$10))</f>
        <v>4058.53607241925</v>
      </c>
      <c r="R643" s="14" t="n">
        <f aca="false">$B$4-13*($B$5+$B$6)/30-IF($B$11&lt;=13,$B$12,0)+0</f>
        <v>8876.66666666667</v>
      </c>
      <c r="S643" s="14" t="n">
        <f aca="false">$B$4-27*($B$5+$B$6)/30-IF($B$11&lt;=27,$B$12,0)+L643</f>
        <v>10420.608011049</v>
      </c>
      <c r="T643" s="14" t="n">
        <f aca="false">$B$4-41*($B$5+$B$6)/30-IF($B$11&lt;=41,$B$12,0)+L643+M643</f>
        <v>779.706091804018</v>
      </c>
      <c r="U643" s="14" t="n">
        <f aca="false">$B$4-55*($B$5+$B$6)/30-IF($B$11&lt;=55,$B$12,0)+L643+M643+N643</f>
        <v>3007.17469771307</v>
      </c>
      <c r="V643" s="14" t="n">
        <f aca="false">$B$4-69*($B$5+$B$6)/30-IF($B$11&lt;=69,$B$12,0)+L643+M643+N643+O643</f>
        <v>4771.53690007809</v>
      </c>
      <c r="W643" s="14" t="n">
        <f aca="false">$B$4-83*($B$5+$B$6)/30-IF($B$11&lt;=83,$B$12,0)+L643+M643+N643+O643+P643</f>
        <v>6414.30429862673</v>
      </c>
      <c r="X643" s="14" t="n">
        <f aca="false">$B$4-90*($B$5+$B$6)/30-IF($B$11&lt;=90,$B$12,0)+L643+M643+N643+O643+P643+Q643</f>
        <v>9329.50703771265</v>
      </c>
      <c r="AA643" s="14" t="n">
        <f aca="false">MIN(R643:X643)</f>
        <v>779.706091804018</v>
      </c>
    </row>
    <row r="644" customFormat="false" ht="15" hidden="false" customHeight="false" outlineLevel="0" collapsed="false">
      <c r="K644" s="2" t="n">
        <v>639</v>
      </c>
      <c r="L644" s="14" t="n">
        <f aca="true">$B$16+NORMINV(RAND(),0,SQRT($B$13*($B$7+$B$8^2))*$B$9*(1-$B$10))</f>
        <v>4068.64069524443</v>
      </c>
      <c r="M644" s="14" t="n">
        <f aca="true">$B$16+NORMINV(RAND(),0,SQRT($B$13*($B$7+$B$8^2))*$B$9*(1-$B$10))</f>
        <v>3712.75380790749</v>
      </c>
      <c r="N644" s="14" t="n">
        <f aca="true">$B$16+NORMINV(RAND(),0,SQRT($B$13*($B$7+$B$8^2))*$B$9*(1-$B$10))</f>
        <v>4212.15374291415</v>
      </c>
      <c r="O644" s="14" t="n">
        <f aca="true">$B$16+NORMINV(RAND(),0,SQRT($B$13*($B$7+$B$8^2))*$B$9*(1-$B$10))</f>
        <v>4251.66277168914</v>
      </c>
      <c r="P644" s="14" t="n">
        <f aca="true">$B$16+NORMINV(RAND(),0,SQRT($B$13*($B$7+$B$8^2))*$B$9*(1-$B$10))</f>
        <v>3057.34675515583</v>
      </c>
      <c r="Q644" s="14" t="n">
        <f aca="true">$B$16+NORMINV(RAND(),0,SQRT($B$13*($B$7+$B$8^2))*$B$9*(1-$B$10))</f>
        <v>3950.37783582821</v>
      </c>
      <c r="R644" s="14" t="n">
        <f aca="false">$B$4-13*($B$5+$B$6)/30-IF($B$11&lt;=13,$B$12,0)+0</f>
        <v>8876.66666666667</v>
      </c>
      <c r="S644" s="14" t="n">
        <f aca="false">$B$4-27*($B$5+$B$6)/30-IF($B$11&lt;=27,$B$12,0)+L644</f>
        <v>10658.6406952444</v>
      </c>
      <c r="T644" s="14" t="n">
        <f aca="false">$B$4-41*($B$5+$B$6)/30-IF($B$11&lt;=41,$B$12,0)+L644+M644</f>
        <v>899.927836485249</v>
      </c>
      <c r="U644" s="14" t="n">
        <f aca="false">$B$4-55*($B$5+$B$6)/30-IF($B$11&lt;=55,$B$12,0)+L644+M644+N644</f>
        <v>2825.41491273273</v>
      </c>
      <c r="V644" s="14" t="n">
        <f aca="false">$B$4-69*($B$5+$B$6)/30-IF($B$11&lt;=69,$B$12,0)+L644+M644+N644+O644</f>
        <v>4790.4110177552</v>
      </c>
      <c r="W644" s="14" t="n">
        <f aca="false">$B$4-83*($B$5+$B$6)/30-IF($B$11&lt;=83,$B$12,0)+L644+M644+N644+O644+P644</f>
        <v>5561.09110624437</v>
      </c>
      <c r="X644" s="14" t="n">
        <f aca="false">$B$4-90*($B$5+$B$6)/30-IF($B$11&lt;=90,$B$12,0)+L644+M644+N644+O644+P644+Q644</f>
        <v>8368.13560873924</v>
      </c>
      <c r="AA644" s="14" t="n">
        <f aca="false">MIN(R644:X644)</f>
        <v>899.927836485249</v>
      </c>
    </row>
    <row r="645" customFormat="false" ht="15" hidden="false" customHeight="false" outlineLevel="0" collapsed="false">
      <c r="K645" s="2" t="n">
        <v>640</v>
      </c>
      <c r="L645" s="14" t="n">
        <f aca="true">$B$16+NORMINV(RAND(),0,SQRT($B$13*($B$7+$B$8^2))*$B$9*(1-$B$10))</f>
        <v>4023.74125892758</v>
      </c>
      <c r="M645" s="14" t="n">
        <f aca="true">$B$16+NORMINV(RAND(),0,SQRT($B$13*($B$7+$B$8^2))*$B$9*(1-$B$10))</f>
        <v>3928.39230883088</v>
      </c>
      <c r="N645" s="14" t="n">
        <f aca="true">$B$16+NORMINV(RAND(),0,SQRT($B$13*($B$7+$B$8^2))*$B$9*(1-$B$10))</f>
        <v>4306.02878272116</v>
      </c>
      <c r="O645" s="14" t="n">
        <f aca="true">$B$16+NORMINV(RAND(),0,SQRT($B$13*($B$7+$B$8^2))*$B$9*(1-$B$10))</f>
        <v>3761.60703569875</v>
      </c>
      <c r="P645" s="14" t="n">
        <f aca="true">$B$16+NORMINV(RAND(),0,SQRT($B$13*($B$7+$B$8^2))*$B$9*(1-$B$10))</f>
        <v>4823.63995663376</v>
      </c>
      <c r="Q645" s="14" t="n">
        <f aca="true">$B$16+NORMINV(RAND(),0,SQRT($B$13*($B$7+$B$8^2))*$B$9*(1-$B$10))</f>
        <v>3656.81332450595</v>
      </c>
      <c r="R645" s="14" t="n">
        <f aca="false">$B$4-13*($B$5+$B$6)/30-IF($B$11&lt;=13,$B$12,0)+0</f>
        <v>8876.66666666667</v>
      </c>
      <c r="S645" s="14" t="n">
        <f aca="false">$B$4-27*($B$5+$B$6)/30-IF($B$11&lt;=27,$B$12,0)+L645</f>
        <v>10613.7412589276</v>
      </c>
      <c r="T645" s="14" t="n">
        <f aca="false">$B$4-41*($B$5+$B$6)/30-IF($B$11&lt;=41,$B$12,0)+L645+M645</f>
        <v>1070.6669010918</v>
      </c>
      <c r="U645" s="14" t="n">
        <f aca="false">$B$4-55*($B$5+$B$6)/30-IF($B$11&lt;=55,$B$12,0)+L645+M645+N645</f>
        <v>3090.02901714629</v>
      </c>
      <c r="V645" s="14" t="n">
        <f aca="false">$B$4-69*($B$5+$B$6)/30-IF($B$11&lt;=69,$B$12,0)+L645+M645+N645+O645</f>
        <v>4564.96938617837</v>
      </c>
      <c r="W645" s="14" t="n">
        <f aca="false">$B$4-83*($B$5+$B$6)/30-IF($B$11&lt;=83,$B$12,0)+L645+M645+N645+O645+P645</f>
        <v>7101.94267614546</v>
      </c>
      <c r="X645" s="14" t="n">
        <f aca="false">$B$4-90*($B$5+$B$6)/30-IF($B$11&lt;=90,$B$12,0)+L645+M645+N645+O645+P645+Q645</f>
        <v>9615.42266731808</v>
      </c>
      <c r="AA645" s="14" t="n">
        <f aca="false">MIN(R645:X645)</f>
        <v>1070.6669010918</v>
      </c>
    </row>
    <row r="646" customFormat="false" ht="15" hidden="false" customHeight="false" outlineLevel="0" collapsed="false">
      <c r="K646" s="2" t="n">
        <v>641</v>
      </c>
      <c r="L646" s="14" t="n">
        <f aca="true">$B$16+NORMINV(RAND(),0,SQRT($B$13*($B$7+$B$8^2))*$B$9*(1-$B$10))</f>
        <v>4345.92169247775</v>
      </c>
      <c r="M646" s="14" t="n">
        <f aca="true">$B$16+NORMINV(RAND(),0,SQRT($B$13*($B$7+$B$8^2))*$B$9*(1-$B$10))</f>
        <v>3841.39932473456</v>
      </c>
      <c r="N646" s="14" t="n">
        <f aca="true">$B$16+NORMINV(RAND(),0,SQRT($B$13*($B$7+$B$8^2))*$B$9*(1-$B$10))</f>
        <v>4258.51915812005</v>
      </c>
      <c r="O646" s="14" t="n">
        <f aca="true">$B$16+NORMINV(RAND(),0,SQRT($B$13*($B$7+$B$8^2))*$B$9*(1-$B$10))</f>
        <v>4357.82335248879</v>
      </c>
      <c r="P646" s="14" t="n">
        <f aca="true">$B$16+NORMINV(RAND(),0,SQRT($B$13*($B$7+$B$8^2))*$B$9*(1-$B$10))</f>
        <v>3636.61490460562</v>
      </c>
      <c r="Q646" s="14" t="n">
        <f aca="true">$B$16+NORMINV(RAND(),0,SQRT($B$13*($B$7+$B$8^2))*$B$9*(1-$B$10))</f>
        <v>4147.33755888586</v>
      </c>
      <c r="R646" s="14" t="n">
        <f aca="false">$B$4-13*($B$5+$B$6)/30-IF($B$11&lt;=13,$B$12,0)+0</f>
        <v>8876.66666666667</v>
      </c>
      <c r="S646" s="14" t="n">
        <f aca="false">$B$4-27*($B$5+$B$6)/30-IF($B$11&lt;=27,$B$12,0)+L646</f>
        <v>10935.9216924777</v>
      </c>
      <c r="T646" s="14" t="n">
        <f aca="false">$B$4-41*($B$5+$B$6)/30-IF($B$11&lt;=41,$B$12,0)+L646+M646</f>
        <v>1305.85435054564</v>
      </c>
      <c r="U646" s="14" t="n">
        <f aca="false">$B$4-55*($B$5+$B$6)/30-IF($B$11&lt;=55,$B$12,0)+L646+M646+N646</f>
        <v>3277.70684199902</v>
      </c>
      <c r="V646" s="14" t="n">
        <f aca="false">$B$4-69*($B$5+$B$6)/30-IF($B$11&lt;=69,$B$12,0)+L646+M646+N646+O646</f>
        <v>5348.86352782115</v>
      </c>
      <c r="W646" s="14" t="n">
        <f aca="false">$B$4-83*($B$5+$B$6)/30-IF($B$11&lt;=83,$B$12,0)+L646+M646+N646+O646+P646</f>
        <v>6698.81176576011</v>
      </c>
      <c r="X646" s="14" t="n">
        <f aca="false">$B$4-90*($B$5+$B$6)/30-IF($B$11&lt;=90,$B$12,0)+L646+M646+N646+O646+P646+Q646</f>
        <v>9702.81599131263</v>
      </c>
      <c r="AA646" s="14" t="n">
        <f aca="false">MIN(R646:X646)</f>
        <v>1305.85435054564</v>
      </c>
    </row>
    <row r="647" customFormat="false" ht="15" hidden="false" customHeight="false" outlineLevel="0" collapsed="false">
      <c r="K647" s="2" t="n">
        <v>642</v>
      </c>
      <c r="L647" s="14" t="n">
        <f aca="true">$B$16+NORMINV(RAND(),0,SQRT($B$13*($B$7+$B$8^2))*$B$9*(1-$B$10))</f>
        <v>4035.01321814849</v>
      </c>
      <c r="M647" s="14" t="n">
        <f aca="true">$B$16+NORMINV(RAND(),0,SQRT($B$13*($B$7+$B$8^2))*$B$9*(1-$B$10))</f>
        <v>4198.60439427564</v>
      </c>
      <c r="N647" s="14" t="n">
        <f aca="true">$B$16+NORMINV(RAND(),0,SQRT($B$13*($B$7+$B$8^2))*$B$9*(1-$B$10))</f>
        <v>3918.15590707357</v>
      </c>
      <c r="O647" s="14" t="n">
        <f aca="true">$B$16+NORMINV(RAND(),0,SQRT($B$13*($B$7+$B$8^2))*$B$9*(1-$B$10))</f>
        <v>3629.05452589241</v>
      </c>
      <c r="P647" s="14" t="n">
        <f aca="true">$B$16+NORMINV(RAND(),0,SQRT($B$13*($B$7+$B$8^2))*$B$9*(1-$B$10))</f>
        <v>3783.36730611185</v>
      </c>
      <c r="Q647" s="14" t="n">
        <f aca="true">$B$16+NORMINV(RAND(),0,SQRT($B$13*($B$7+$B$8^2))*$B$9*(1-$B$10))</f>
        <v>3493.32620788865</v>
      </c>
      <c r="R647" s="14" t="n">
        <f aca="false">$B$4-13*($B$5+$B$6)/30-IF($B$11&lt;=13,$B$12,0)+0</f>
        <v>8876.66666666667</v>
      </c>
      <c r="S647" s="14" t="n">
        <f aca="false">$B$4-27*($B$5+$B$6)/30-IF($B$11&lt;=27,$B$12,0)+L647</f>
        <v>10625.0132181485</v>
      </c>
      <c r="T647" s="14" t="n">
        <f aca="false">$B$4-41*($B$5+$B$6)/30-IF($B$11&lt;=41,$B$12,0)+L647+M647</f>
        <v>1352.15094575746</v>
      </c>
      <c r="U647" s="14" t="n">
        <f aca="false">$B$4-55*($B$5+$B$6)/30-IF($B$11&lt;=55,$B$12,0)+L647+M647+N647</f>
        <v>2983.64018616436</v>
      </c>
      <c r="V647" s="14" t="n">
        <f aca="false">$B$4-69*($B$5+$B$6)/30-IF($B$11&lt;=69,$B$12,0)+L647+M647+N647+O647</f>
        <v>4326.0280453901</v>
      </c>
      <c r="W647" s="14" t="n">
        <f aca="false">$B$4-83*($B$5+$B$6)/30-IF($B$11&lt;=83,$B$12,0)+L647+M647+N647+O647+P647</f>
        <v>5822.72868483528</v>
      </c>
      <c r="X647" s="14" t="n">
        <f aca="false">$B$4-90*($B$5+$B$6)/30-IF($B$11&lt;=90,$B$12,0)+L647+M647+N647+O647+P647+Q647</f>
        <v>8172.7215593906</v>
      </c>
      <c r="AA647" s="14" t="n">
        <f aca="false">MIN(R647:X647)</f>
        <v>1352.15094575746</v>
      </c>
    </row>
    <row r="648" customFormat="false" ht="15" hidden="false" customHeight="false" outlineLevel="0" collapsed="false">
      <c r="K648" s="2" t="n">
        <v>643</v>
      </c>
      <c r="L648" s="14" t="n">
        <f aca="true">$B$16+NORMINV(RAND(),0,SQRT($B$13*($B$7+$B$8^2))*$B$9*(1-$B$10))</f>
        <v>3718.50030099315</v>
      </c>
      <c r="M648" s="14" t="n">
        <f aca="true">$B$16+NORMINV(RAND(),0,SQRT($B$13*($B$7+$B$8^2))*$B$9*(1-$B$10))</f>
        <v>4389.55112711802</v>
      </c>
      <c r="N648" s="14" t="n">
        <f aca="true">$B$16+NORMINV(RAND(),0,SQRT($B$13*($B$7+$B$8^2))*$B$9*(1-$B$10))</f>
        <v>3772.10817316104</v>
      </c>
      <c r="O648" s="14" t="n">
        <f aca="true">$B$16+NORMINV(RAND(),0,SQRT($B$13*($B$7+$B$8^2))*$B$9*(1-$B$10))</f>
        <v>4437.46067632882</v>
      </c>
      <c r="P648" s="14" t="n">
        <f aca="true">$B$16+NORMINV(RAND(),0,SQRT($B$13*($B$7+$B$8^2))*$B$9*(1-$B$10))</f>
        <v>3865.87725022528</v>
      </c>
      <c r="Q648" s="14" t="n">
        <f aca="true">$B$16+NORMINV(RAND(),0,SQRT($B$13*($B$7+$B$8^2))*$B$9*(1-$B$10))</f>
        <v>3759.52563023124</v>
      </c>
      <c r="R648" s="14" t="n">
        <f aca="false">$B$4-13*($B$5+$B$6)/30-IF($B$11&lt;=13,$B$12,0)+0</f>
        <v>8876.66666666667</v>
      </c>
      <c r="S648" s="14" t="n">
        <f aca="false">$B$4-27*($B$5+$B$6)/30-IF($B$11&lt;=27,$B$12,0)+L648</f>
        <v>10308.5003009931</v>
      </c>
      <c r="T648" s="14" t="n">
        <f aca="false">$B$4-41*($B$5+$B$6)/30-IF($B$11&lt;=41,$B$12,0)+L648+M648</f>
        <v>1226.5847614445</v>
      </c>
      <c r="U648" s="14" t="n">
        <f aca="false">$B$4-55*($B$5+$B$6)/30-IF($B$11&lt;=55,$B$12,0)+L648+M648+N648</f>
        <v>2712.02626793887</v>
      </c>
      <c r="V648" s="14" t="n">
        <f aca="false">$B$4-69*($B$5+$B$6)/30-IF($B$11&lt;=69,$B$12,0)+L648+M648+N648+O648</f>
        <v>4862.82027760102</v>
      </c>
      <c r="W648" s="14" t="n">
        <f aca="false">$B$4-83*($B$5+$B$6)/30-IF($B$11&lt;=83,$B$12,0)+L648+M648+N648+O648+P648</f>
        <v>6442.03086115963</v>
      </c>
      <c r="X648" s="14" t="n">
        <f aca="false">$B$4-90*($B$5+$B$6)/30-IF($B$11&lt;=90,$B$12,0)+L648+M648+N648+O648+P648+Q648</f>
        <v>9058.22315805754</v>
      </c>
      <c r="AA648" s="14" t="n">
        <f aca="false">MIN(R648:X648)</f>
        <v>1226.5847614445</v>
      </c>
    </row>
    <row r="649" customFormat="false" ht="15" hidden="false" customHeight="false" outlineLevel="0" collapsed="false">
      <c r="K649" s="2" t="n">
        <v>644</v>
      </c>
      <c r="L649" s="14" t="n">
        <f aca="true">$B$16+NORMINV(RAND(),0,SQRT($B$13*($B$7+$B$8^2))*$B$9*(1-$B$10))</f>
        <v>4469.60928381952</v>
      </c>
      <c r="M649" s="14" t="n">
        <f aca="true">$B$16+NORMINV(RAND(),0,SQRT($B$13*($B$7+$B$8^2))*$B$9*(1-$B$10))</f>
        <v>4138.49451517629</v>
      </c>
      <c r="N649" s="14" t="n">
        <f aca="true">$B$16+NORMINV(RAND(),0,SQRT($B$13*($B$7+$B$8^2))*$B$9*(1-$B$10))</f>
        <v>4361.18288474469</v>
      </c>
      <c r="O649" s="14" t="n">
        <f aca="true">$B$16+NORMINV(RAND(),0,SQRT($B$13*($B$7+$B$8^2))*$B$9*(1-$B$10))</f>
        <v>4133.53551286546</v>
      </c>
      <c r="P649" s="14" t="n">
        <f aca="true">$B$16+NORMINV(RAND(),0,SQRT($B$13*($B$7+$B$8^2))*$B$9*(1-$B$10))</f>
        <v>3917.66932579151</v>
      </c>
      <c r="Q649" s="14" t="n">
        <f aca="true">$B$16+NORMINV(RAND(),0,SQRT($B$13*($B$7+$B$8^2))*$B$9*(1-$B$10))</f>
        <v>3566.81891665233</v>
      </c>
      <c r="R649" s="14" t="n">
        <f aca="false">$B$4-13*($B$5+$B$6)/30-IF($B$11&lt;=13,$B$12,0)+0</f>
        <v>8876.66666666667</v>
      </c>
      <c r="S649" s="14" t="n">
        <f aca="false">$B$4-27*($B$5+$B$6)/30-IF($B$11&lt;=27,$B$12,0)+L649</f>
        <v>11059.6092838195</v>
      </c>
      <c r="T649" s="14" t="n">
        <f aca="false">$B$4-41*($B$5+$B$6)/30-IF($B$11&lt;=41,$B$12,0)+L649+M649</f>
        <v>1726.63713232914</v>
      </c>
      <c r="U649" s="14" t="n">
        <f aca="false">$B$4-55*($B$5+$B$6)/30-IF($B$11&lt;=55,$B$12,0)+L649+M649+N649</f>
        <v>3801.15335040717</v>
      </c>
      <c r="V649" s="14" t="n">
        <f aca="false">$B$4-69*($B$5+$B$6)/30-IF($B$11&lt;=69,$B$12,0)+L649+M649+N649+O649</f>
        <v>5648.02219660596</v>
      </c>
      <c r="W649" s="14" t="n">
        <f aca="false">$B$4-83*($B$5+$B$6)/30-IF($B$11&lt;=83,$B$12,0)+L649+M649+N649+O649+P649</f>
        <v>7279.0248557308</v>
      </c>
      <c r="X649" s="14" t="n">
        <f aca="false">$B$4-90*($B$5+$B$6)/30-IF($B$11&lt;=90,$B$12,0)+L649+M649+N649+O649+P649+Q649</f>
        <v>9702.5104390498</v>
      </c>
      <c r="AA649" s="14" t="n">
        <f aca="false">MIN(R649:X649)</f>
        <v>1726.63713232914</v>
      </c>
    </row>
    <row r="650" customFormat="false" ht="15" hidden="false" customHeight="false" outlineLevel="0" collapsed="false">
      <c r="K650" s="2" t="n">
        <v>645</v>
      </c>
      <c r="L650" s="14" t="n">
        <f aca="true">$B$16+NORMINV(RAND(),0,SQRT($B$13*($B$7+$B$8^2))*$B$9*(1-$B$10))</f>
        <v>4669.03271720454</v>
      </c>
      <c r="M650" s="14" t="n">
        <f aca="true">$B$16+NORMINV(RAND(),0,SQRT($B$13*($B$7+$B$8^2))*$B$9*(1-$B$10))</f>
        <v>3718.9136381834</v>
      </c>
      <c r="N650" s="14" t="n">
        <f aca="true">$B$16+NORMINV(RAND(),0,SQRT($B$13*($B$7+$B$8^2))*$B$9*(1-$B$10))</f>
        <v>4323.4429144395</v>
      </c>
      <c r="O650" s="14" t="n">
        <f aca="true">$B$16+NORMINV(RAND(),0,SQRT($B$13*($B$7+$B$8^2))*$B$9*(1-$B$10))</f>
        <v>3955.2819026395</v>
      </c>
      <c r="P650" s="14" t="n">
        <f aca="true">$B$16+NORMINV(RAND(),0,SQRT($B$13*($B$7+$B$8^2))*$B$9*(1-$B$10))</f>
        <v>4135.45772087159</v>
      </c>
      <c r="Q650" s="14" t="n">
        <f aca="true">$B$16+NORMINV(RAND(),0,SQRT($B$13*($B$7+$B$8^2))*$B$9*(1-$B$10))</f>
        <v>4067.85399068118</v>
      </c>
      <c r="R650" s="14" t="n">
        <f aca="false">$B$4-13*($B$5+$B$6)/30-IF($B$11&lt;=13,$B$12,0)+0</f>
        <v>8876.66666666667</v>
      </c>
      <c r="S650" s="14" t="n">
        <f aca="false">$B$4-27*($B$5+$B$6)/30-IF($B$11&lt;=27,$B$12,0)+L650</f>
        <v>11259.0327172045</v>
      </c>
      <c r="T650" s="14" t="n">
        <f aca="false">$B$4-41*($B$5+$B$6)/30-IF($B$11&lt;=41,$B$12,0)+L650+M650</f>
        <v>1506.47968872127</v>
      </c>
      <c r="U650" s="14" t="n">
        <f aca="false">$B$4-55*($B$5+$B$6)/30-IF($B$11&lt;=55,$B$12,0)+L650+M650+N650</f>
        <v>3543.2559364941</v>
      </c>
      <c r="V650" s="14" t="n">
        <f aca="false">$B$4-69*($B$5+$B$6)/30-IF($B$11&lt;=69,$B$12,0)+L650+M650+N650+O650</f>
        <v>5211.87117246693</v>
      </c>
      <c r="W650" s="14" t="n">
        <f aca="false">$B$4-83*($B$5+$B$6)/30-IF($B$11&lt;=83,$B$12,0)+L650+M650+N650+O650+P650</f>
        <v>7060.66222667185</v>
      </c>
      <c r="X650" s="14" t="n">
        <f aca="false">$B$4-90*($B$5+$B$6)/30-IF($B$11&lt;=90,$B$12,0)+L650+M650+N650+O650+P650+Q650</f>
        <v>9985.1828840197</v>
      </c>
      <c r="AA650" s="14" t="n">
        <f aca="false">MIN(R650:X650)</f>
        <v>1506.47968872127</v>
      </c>
    </row>
    <row r="651" customFormat="false" ht="15" hidden="false" customHeight="false" outlineLevel="0" collapsed="false">
      <c r="K651" s="2" t="n">
        <v>646</v>
      </c>
      <c r="L651" s="14" t="n">
        <f aca="true">$B$16+NORMINV(RAND(),0,SQRT($B$13*($B$7+$B$8^2))*$B$9*(1-$B$10))</f>
        <v>3788.32121047902</v>
      </c>
      <c r="M651" s="14" t="n">
        <f aca="true">$B$16+NORMINV(RAND(),0,SQRT($B$13*($B$7+$B$8^2))*$B$9*(1-$B$10))</f>
        <v>4912.54841024796</v>
      </c>
      <c r="N651" s="14" t="n">
        <f aca="true">$B$16+NORMINV(RAND(),0,SQRT($B$13*($B$7+$B$8^2))*$B$9*(1-$B$10))</f>
        <v>4317.93658707464</v>
      </c>
      <c r="O651" s="14" t="n">
        <f aca="true">$B$16+NORMINV(RAND(),0,SQRT($B$13*($B$7+$B$8^2))*$B$9*(1-$B$10))</f>
        <v>4302.23224801718</v>
      </c>
      <c r="P651" s="14" t="n">
        <f aca="true">$B$16+NORMINV(RAND(),0,SQRT($B$13*($B$7+$B$8^2))*$B$9*(1-$B$10))</f>
        <v>3978.0999907432</v>
      </c>
      <c r="Q651" s="14" t="n">
        <f aca="true">$B$16+NORMINV(RAND(),0,SQRT($B$13*($B$7+$B$8^2))*$B$9*(1-$B$10))</f>
        <v>4400.12546789152</v>
      </c>
      <c r="R651" s="14" t="n">
        <f aca="false">$B$4-13*($B$5+$B$6)/30-IF($B$11&lt;=13,$B$12,0)+0</f>
        <v>8876.66666666667</v>
      </c>
      <c r="S651" s="14" t="n">
        <f aca="false">$B$4-27*($B$5+$B$6)/30-IF($B$11&lt;=27,$B$12,0)+L651</f>
        <v>10378.321210479</v>
      </c>
      <c r="T651" s="14" t="n">
        <f aca="false">$B$4-41*($B$5+$B$6)/30-IF($B$11&lt;=41,$B$12,0)+L651+M651</f>
        <v>1819.40295406031</v>
      </c>
      <c r="U651" s="14" t="n">
        <f aca="false">$B$4-55*($B$5+$B$6)/30-IF($B$11&lt;=55,$B$12,0)+L651+M651+N651</f>
        <v>3850.67287446828</v>
      </c>
      <c r="V651" s="14" t="n">
        <f aca="false">$B$4-69*($B$5+$B$6)/30-IF($B$11&lt;=69,$B$12,0)+L651+M651+N651+O651</f>
        <v>5866.23845581879</v>
      </c>
      <c r="W651" s="14" t="n">
        <f aca="false">$B$4-83*($B$5+$B$6)/30-IF($B$11&lt;=83,$B$12,0)+L651+M651+N651+O651+P651</f>
        <v>7557.67177989532</v>
      </c>
      <c r="X651" s="14" t="n">
        <f aca="false">$B$4-90*($B$5+$B$6)/30-IF($B$11&lt;=90,$B$12,0)+L651+M651+N651+O651+P651+Q651</f>
        <v>10814.4639144535</v>
      </c>
      <c r="AA651" s="14" t="n">
        <f aca="false">MIN(R651:X651)</f>
        <v>1819.40295406031</v>
      </c>
    </row>
    <row r="652" customFormat="false" ht="15" hidden="false" customHeight="false" outlineLevel="0" collapsed="false">
      <c r="K652" s="2" t="n">
        <v>647</v>
      </c>
      <c r="L652" s="14" t="n">
        <f aca="true">$B$16+NORMINV(RAND(),0,SQRT($B$13*($B$7+$B$8^2))*$B$9*(1-$B$10))</f>
        <v>3103.85777887032</v>
      </c>
      <c r="M652" s="14" t="n">
        <f aca="true">$B$16+NORMINV(RAND(),0,SQRT($B$13*($B$7+$B$8^2))*$B$9*(1-$B$10))</f>
        <v>3496.41487883273</v>
      </c>
      <c r="N652" s="14" t="n">
        <f aca="true">$B$16+NORMINV(RAND(),0,SQRT($B$13*($B$7+$B$8^2))*$B$9*(1-$B$10))</f>
        <v>4192.75651287826</v>
      </c>
      <c r="O652" s="14" t="n">
        <f aca="true">$B$16+NORMINV(RAND(),0,SQRT($B$13*($B$7+$B$8^2))*$B$9*(1-$B$10))</f>
        <v>3889.06873431192</v>
      </c>
      <c r="P652" s="14" t="n">
        <f aca="true">$B$16+NORMINV(RAND(),0,SQRT($B$13*($B$7+$B$8^2))*$B$9*(1-$B$10))</f>
        <v>3808.07772066599</v>
      </c>
      <c r="Q652" s="14" t="n">
        <f aca="true">$B$16+NORMINV(RAND(),0,SQRT($B$13*($B$7+$B$8^2))*$B$9*(1-$B$10))</f>
        <v>4354.00444906417</v>
      </c>
      <c r="R652" s="14" t="n">
        <f aca="false">$B$4-13*($B$5+$B$6)/30-IF($B$11&lt;=13,$B$12,0)+0</f>
        <v>8876.66666666667</v>
      </c>
      <c r="S652" s="14" t="n">
        <f aca="false">$B$4-27*($B$5+$B$6)/30-IF($B$11&lt;=27,$B$12,0)+L652</f>
        <v>9693.85777887032</v>
      </c>
      <c r="T652" s="14" t="n">
        <f aca="false">$B$4-41*($B$5+$B$6)/30-IF($B$11&lt;=41,$B$12,0)+L652+M652</f>
        <v>-281.194008963618</v>
      </c>
      <c r="U652" s="14" t="n">
        <f aca="false">$B$4-55*($B$5+$B$6)/30-IF($B$11&lt;=55,$B$12,0)+L652+M652+N652</f>
        <v>1624.89583724798</v>
      </c>
      <c r="V652" s="14" t="n">
        <f aca="false">$B$4-69*($B$5+$B$6)/30-IF($B$11&lt;=69,$B$12,0)+L652+M652+N652+O652</f>
        <v>3227.29790489323</v>
      </c>
      <c r="W652" s="14" t="n">
        <f aca="false">$B$4-83*($B$5+$B$6)/30-IF($B$11&lt;=83,$B$12,0)+L652+M652+N652+O652+P652</f>
        <v>4748.70895889255</v>
      </c>
      <c r="X652" s="14" t="n">
        <f aca="false">$B$4-90*($B$5+$B$6)/30-IF($B$11&lt;=90,$B$12,0)+L652+M652+N652+O652+P652+Q652</f>
        <v>7959.38007462339</v>
      </c>
      <c r="AA652" s="14" t="n">
        <f aca="false">MIN(R652:X652)</f>
        <v>-281.194008963618</v>
      </c>
    </row>
    <row r="653" customFormat="false" ht="15" hidden="false" customHeight="false" outlineLevel="0" collapsed="false">
      <c r="K653" s="2" t="n">
        <v>648</v>
      </c>
      <c r="L653" s="14" t="n">
        <f aca="true">$B$16+NORMINV(RAND(),0,SQRT($B$13*($B$7+$B$8^2))*$B$9*(1-$B$10))</f>
        <v>3588.69858299864</v>
      </c>
      <c r="M653" s="14" t="n">
        <f aca="true">$B$16+NORMINV(RAND(),0,SQRT($B$13*($B$7+$B$8^2))*$B$9*(1-$B$10))</f>
        <v>3839.00272131217</v>
      </c>
      <c r="N653" s="14" t="n">
        <f aca="true">$B$16+NORMINV(RAND(),0,SQRT($B$13*($B$7+$B$8^2))*$B$9*(1-$B$10))</f>
        <v>3280.47892856109</v>
      </c>
      <c r="O653" s="14" t="n">
        <f aca="true">$B$16+NORMINV(RAND(),0,SQRT($B$13*($B$7+$B$8^2))*$B$9*(1-$B$10))</f>
        <v>3668.26668109646</v>
      </c>
      <c r="P653" s="14" t="n">
        <f aca="true">$B$16+NORMINV(RAND(),0,SQRT($B$13*($B$7+$B$8^2))*$B$9*(1-$B$10))</f>
        <v>3676.41153470665</v>
      </c>
      <c r="Q653" s="14" t="n">
        <f aca="true">$B$16+NORMINV(RAND(),0,SQRT($B$13*($B$7+$B$8^2))*$B$9*(1-$B$10))</f>
        <v>3316.01190293763</v>
      </c>
      <c r="R653" s="14" t="n">
        <f aca="false">$B$4-13*($B$5+$B$6)/30-IF($B$11&lt;=13,$B$12,0)+0</f>
        <v>8876.66666666667</v>
      </c>
      <c r="S653" s="14" t="n">
        <f aca="false">$B$4-27*($B$5+$B$6)/30-IF($B$11&lt;=27,$B$12,0)+L653</f>
        <v>10178.6985829986</v>
      </c>
      <c r="T653" s="14" t="n">
        <f aca="false">$B$4-41*($B$5+$B$6)/30-IF($B$11&lt;=41,$B$12,0)+L653+M653</f>
        <v>546.234637644141</v>
      </c>
      <c r="U653" s="14" t="n">
        <f aca="false">$B$4-55*($B$5+$B$6)/30-IF($B$11&lt;=55,$B$12,0)+L653+M653+N653</f>
        <v>1540.04689953856</v>
      </c>
      <c r="V653" s="14" t="n">
        <f aca="false">$B$4-69*($B$5+$B$6)/30-IF($B$11&lt;=69,$B$12,0)+L653+M653+N653+O653</f>
        <v>2921.64691396835</v>
      </c>
      <c r="W653" s="14" t="n">
        <f aca="false">$B$4-83*($B$5+$B$6)/30-IF($B$11&lt;=83,$B$12,0)+L653+M653+N653+O653+P653</f>
        <v>4311.39178200834</v>
      </c>
      <c r="X653" s="14" t="n">
        <f aca="false">$B$4-90*($B$5+$B$6)/30-IF($B$11&lt;=90,$B$12,0)+L653+M653+N653+O653+P653+Q653</f>
        <v>6484.07035161264</v>
      </c>
      <c r="AA653" s="14" t="n">
        <f aca="false">MIN(R653:X653)</f>
        <v>546.234637644141</v>
      </c>
    </row>
    <row r="654" customFormat="false" ht="15" hidden="false" customHeight="false" outlineLevel="0" collapsed="false">
      <c r="K654" s="2" t="n">
        <v>649</v>
      </c>
      <c r="L654" s="14" t="n">
        <f aca="true">$B$16+NORMINV(RAND(),0,SQRT($B$13*($B$7+$B$8^2))*$B$9*(1-$B$10))</f>
        <v>4096.32031049004</v>
      </c>
      <c r="M654" s="14" t="n">
        <f aca="true">$B$16+NORMINV(RAND(),0,SQRT($B$13*($B$7+$B$8^2))*$B$9*(1-$B$10))</f>
        <v>3579.22965099412</v>
      </c>
      <c r="N654" s="14" t="n">
        <f aca="true">$B$16+NORMINV(RAND(),0,SQRT($B$13*($B$7+$B$8^2))*$B$9*(1-$B$10))</f>
        <v>3405.09403039724</v>
      </c>
      <c r="O654" s="14" t="n">
        <f aca="true">$B$16+NORMINV(RAND(),0,SQRT($B$13*($B$7+$B$8^2))*$B$9*(1-$B$10))</f>
        <v>4235.1105571268</v>
      </c>
      <c r="P654" s="14" t="n">
        <f aca="true">$B$16+NORMINV(RAND(),0,SQRT($B$13*($B$7+$B$8^2))*$B$9*(1-$B$10))</f>
        <v>3679.55393759887</v>
      </c>
      <c r="Q654" s="14" t="n">
        <f aca="true">$B$16+NORMINV(RAND(),0,SQRT($B$13*($B$7+$B$8^2))*$B$9*(1-$B$10))</f>
        <v>4186.49899257383</v>
      </c>
      <c r="R654" s="14" t="n">
        <f aca="false">$B$4-13*($B$5+$B$6)/30-IF($B$11&lt;=13,$B$12,0)+0</f>
        <v>8876.66666666667</v>
      </c>
      <c r="S654" s="14" t="n">
        <f aca="false">$B$4-27*($B$5+$B$6)/30-IF($B$11&lt;=27,$B$12,0)+L654</f>
        <v>10686.32031049</v>
      </c>
      <c r="T654" s="14" t="n">
        <f aca="false">$B$4-41*($B$5+$B$6)/30-IF($B$11&lt;=41,$B$12,0)+L654+M654</f>
        <v>794.083294817497</v>
      </c>
      <c r="U654" s="14" t="n">
        <f aca="false">$B$4-55*($B$5+$B$6)/30-IF($B$11&lt;=55,$B$12,0)+L654+M654+N654</f>
        <v>1912.51065854807</v>
      </c>
      <c r="V654" s="14" t="n">
        <f aca="false">$B$4-69*($B$5+$B$6)/30-IF($B$11&lt;=69,$B$12,0)+L654+M654+N654+O654</f>
        <v>3860.9545490082</v>
      </c>
      <c r="W654" s="14" t="n">
        <f aca="false">$B$4-83*($B$5+$B$6)/30-IF($B$11&lt;=83,$B$12,0)+L654+M654+N654+O654+P654</f>
        <v>5253.8418199404</v>
      </c>
      <c r="X654" s="14" t="n">
        <f aca="false">$B$4-90*($B$5+$B$6)/30-IF($B$11&lt;=90,$B$12,0)+L654+M654+N654+O654+P654+Q654</f>
        <v>8297.0074791809</v>
      </c>
      <c r="AA654" s="14" t="n">
        <f aca="false">MIN(R654:X654)</f>
        <v>794.083294817497</v>
      </c>
    </row>
    <row r="655" customFormat="false" ht="15" hidden="false" customHeight="false" outlineLevel="0" collapsed="false">
      <c r="K655" s="2" t="n">
        <v>650</v>
      </c>
      <c r="L655" s="14" t="n">
        <f aca="true">$B$16+NORMINV(RAND(),0,SQRT($B$13*($B$7+$B$8^2))*$B$9*(1-$B$10))</f>
        <v>4601.78973007908</v>
      </c>
      <c r="M655" s="14" t="n">
        <f aca="true">$B$16+NORMINV(RAND(),0,SQRT($B$13*($B$7+$B$8^2))*$B$9*(1-$B$10))</f>
        <v>4156.75480489737</v>
      </c>
      <c r="N655" s="14" t="n">
        <f aca="true">$B$16+NORMINV(RAND(),0,SQRT($B$13*($B$7+$B$8^2))*$B$9*(1-$B$10))</f>
        <v>4088.18376433193</v>
      </c>
      <c r="O655" s="14" t="n">
        <f aca="true">$B$16+NORMINV(RAND(),0,SQRT($B$13*($B$7+$B$8^2))*$B$9*(1-$B$10))</f>
        <v>4010.15617425688</v>
      </c>
      <c r="P655" s="14" t="n">
        <f aca="true">$B$16+NORMINV(RAND(),0,SQRT($B$13*($B$7+$B$8^2))*$B$9*(1-$B$10))</f>
        <v>4164.81448706612</v>
      </c>
      <c r="Q655" s="14" t="n">
        <f aca="true">$B$16+NORMINV(RAND(),0,SQRT($B$13*($B$7+$B$8^2))*$B$9*(1-$B$10))</f>
        <v>4830.02631938123</v>
      </c>
      <c r="R655" s="14" t="n">
        <f aca="false">$B$4-13*($B$5+$B$6)/30-IF($B$11&lt;=13,$B$12,0)+0</f>
        <v>8876.66666666667</v>
      </c>
      <c r="S655" s="14" t="n">
        <f aca="false">$B$4-27*($B$5+$B$6)/30-IF($B$11&lt;=27,$B$12,0)+L655</f>
        <v>11191.7897300791</v>
      </c>
      <c r="T655" s="14" t="n">
        <f aca="false">$B$4-41*($B$5+$B$6)/30-IF($B$11&lt;=41,$B$12,0)+L655+M655</f>
        <v>1877.07786830978</v>
      </c>
      <c r="U655" s="14" t="n">
        <f aca="false">$B$4-55*($B$5+$B$6)/30-IF($B$11&lt;=55,$B$12,0)+L655+M655+N655</f>
        <v>3678.59496597504</v>
      </c>
      <c r="V655" s="14" t="n">
        <f aca="false">$B$4-69*($B$5+$B$6)/30-IF($B$11&lt;=69,$B$12,0)+L655+M655+N655+O655</f>
        <v>5402.08447356525</v>
      </c>
      <c r="W655" s="14" t="n">
        <f aca="false">$B$4-83*($B$5+$B$6)/30-IF($B$11&lt;=83,$B$12,0)+L655+M655+N655+O655+P655</f>
        <v>7280.23229396471</v>
      </c>
      <c r="X655" s="14" t="n">
        <f aca="false">$B$4-90*($B$5+$B$6)/30-IF($B$11&lt;=90,$B$12,0)+L655+M655+N655+O655+P655+Q655</f>
        <v>10966.9252800126</v>
      </c>
      <c r="AA655" s="14" t="n">
        <f aca="false">MIN(R655:X655)</f>
        <v>1877.07786830978</v>
      </c>
    </row>
    <row r="656" customFormat="false" ht="15" hidden="false" customHeight="false" outlineLevel="0" collapsed="false">
      <c r="K656" s="2" t="n">
        <v>651</v>
      </c>
      <c r="L656" s="14" t="n">
        <f aca="true">$B$16+NORMINV(RAND(),0,SQRT($B$13*($B$7+$B$8^2))*$B$9*(1-$B$10))</f>
        <v>3548.57961299943</v>
      </c>
      <c r="M656" s="14" t="n">
        <f aca="true">$B$16+NORMINV(RAND(),0,SQRT($B$13*($B$7+$B$8^2))*$B$9*(1-$B$10))</f>
        <v>4593.25730433724</v>
      </c>
      <c r="N656" s="14" t="n">
        <f aca="true">$B$16+NORMINV(RAND(),0,SQRT($B$13*($B$7+$B$8^2))*$B$9*(1-$B$10))</f>
        <v>4392.01434517968</v>
      </c>
      <c r="O656" s="14" t="n">
        <f aca="true">$B$16+NORMINV(RAND(),0,SQRT($B$13*($B$7+$B$8^2))*$B$9*(1-$B$10))</f>
        <v>3377.7713497412</v>
      </c>
      <c r="P656" s="14" t="n">
        <f aca="true">$B$16+NORMINV(RAND(),0,SQRT($B$13*($B$7+$B$8^2))*$B$9*(1-$B$10))</f>
        <v>4251.6148548897</v>
      </c>
      <c r="Q656" s="14" t="n">
        <f aca="true">$B$16+NORMINV(RAND(),0,SQRT($B$13*($B$7+$B$8^2))*$B$9*(1-$B$10))</f>
        <v>3840.08904540956</v>
      </c>
      <c r="R656" s="14" t="n">
        <f aca="false">$B$4-13*($B$5+$B$6)/30-IF($B$11&lt;=13,$B$12,0)+0</f>
        <v>8876.66666666667</v>
      </c>
      <c r="S656" s="14" t="n">
        <f aca="false">$B$4-27*($B$5+$B$6)/30-IF($B$11&lt;=27,$B$12,0)+L656</f>
        <v>10138.5796129994</v>
      </c>
      <c r="T656" s="14" t="n">
        <f aca="false">$B$4-41*($B$5+$B$6)/30-IF($B$11&lt;=41,$B$12,0)+L656+M656</f>
        <v>1260.37025067</v>
      </c>
      <c r="U656" s="14" t="n">
        <f aca="false">$B$4-55*($B$5+$B$6)/30-IF($B$11&lt;=55,$B$12,0)+L656+M656+N656</f>
        <v>3365.71792918301</v>
      </c>
      <c r="V656" s="14" t="n">
        <f aca="false">$B$4-69*($B$5+$B$6)/30-IF($B$11&lt;=69,$B$12,0)+L656+M656+N656+O656</f>
        <v>4456.82261225754</v>
      </c>
      <c r="W656" s="14" t="n">
        <f aca="false">$B$4-83*($B$5+$B$6)/30-IF($B$11&lt;=83,$B$12,0)+L656+M656+N656+O656+P656</f>
        <v>6421.77080048058</v>
      </c>
      <c r="X656" s="14" t="n">
        <f aca="false">$B$4-90*($B$5+$B$6)/30-IF($B$11&lt;=90,$B$12,0)+L656+M656+N656+O656+P656+Q656</f>
        <v>9118.5265125568</v>
      </c>
      <c r="AA656" s="14" t="n">
        <f aca="false">MIN(R656:X656)</f>
        <v>1260.37025067</v>
      </c>
    </row>
    <row r="657" customFormat="false" ht="15" hidden="false" customHeight="false" outlineLevel="0" collapsed="false">
      <c r="K657" s="2" t="n">
        <v>652</v>
      </c>
      <c r="L657" s="14" t="n">
        <f aca="true">$B$16+NORMINV(RAND(),0,SQRT($B$13*($B$7+$B$8^2))*$B$9*(1-$B$10))</f>
        <v>3877.19690250636</v>
      </c>
      <c r="M657" s="14" t="n">
        <f aca="true">$B$16+NORMINV(RAND(),0,SQRT($B$13*($B$7+$B$8^2))*$B$9*(1-$B$10))</f>
        <v>3928.33732617497</v>
      </c>
      <c r="N657" s="14" t="n">
        <f aca="true">$B$16+NORMINV(RAND(),0,SQRT($B$13*($B$7+$B$8^2))*$B$9*(1-$B$10))</f>
        <v>4601.07849503236</v>
      </c>
      <c r="O657" s="14" t="n">
        <f aca="true">$B$16+NORMINV(RAND(),0,SQRT($B$13*($B$7+$B$8^2))*$B$9*(1-$B$10))</f>
        <v>4322.1544446156</v>
      </c>
      <c r="P657" s="14" t="n">
        <f aca="true">$B$16+NORMINV(RAND(),0,SQRT($B$13*($B$7+$B$8^2))*$B$9*(1-$B$10))</f>
        <v>3887.22084738174</v>
      </c>
      <c r="Q657" s="14" t="n">
        <f aca="true">$B$16+NORMINV(RAND(),0,SQRT($B$13*($B$7+$B$8^2))*$B$9*(1-$B$10))</f>
        <v>3822.83893884619</v>
      </c>
      <c r="R657" s="14" t="n">
        <f aca="false">$B$4-13*($B$5+$B$6)/30-IF($B$11&lt;=13,$B$12,0)+0</f>
        <v>8876.66666666667</v>
      </c>
      <c r="S657" s="14" t="n">
        <f aca="false">$B$4-27*($B$5+$B$6)/30-IF($B$11&lt;=27,$B$12,0)+L657</f>
        <v>10467.1969025064</v>
      </c>
      <c r="T657" s="14" t="n">
        <f aca="false">$B$4-41*($B$5+$B$6)/30-IF($B$11&lt;=41,$B$12,0)+L657+M657</f>
        <v>924.067562014656</v>
      </c>
      <c r="U657" s="14" t="n">
        <f aca="false">$B$4-55*($B$5+$B$6)/30-IF($B$11&lt;=55,$B$12,0)+L657+M657+N657</f>
        <v>3238.47939038035</v>
      </c>
      <c r="V657" s="14" t="n">
        <f aca="false">$B$4-69*($B$5+$B$6)/30-IF($B$11&lt;=69,$B$12,0)+L657+M657+N657+O657</f>
        <v>5273.96716832929</v>
      </c>
      <c r="W657" s="14" t="n">
        <f aca="false">$B$4-83*($B$5+$B$6)/30-IF($B$11&lt;=83,$B$12,0)+L657+M657+N657+O657+P657</f>
        <v>6874.52134904437</v>
      </c>
      <c r="X657" s="14" t="n">
        <f aca="false">$B$4-90*($B$5+$B$6)/30-IF($B$11&lt;=90,$B$12,0)+L657+M657+N657+O657+P657+Q657</f>
        <v>9554.02695455723</v>
      </c>
      <c r="AA657" s="14" t="n">
        <f aca="false">MIN(R657:X657)</f>
        <v>924.067562014656</v>
      </c>
    </row>
    <row r="658" customFormat="false" ht="15" hidden="false" customHeight="false" outlineLevel="0" collapsed="false">
      <c r="K658" s="2" t="n">
        <v>653</v>
      </c>
      <c r="L658" s="14" t="n">
        <f aca="true">$B$16+NORMINV(RAND(),0,SQRT($B$13*($B$7+$B$8^2))*$B$9*(1-$B$10))</f>
        <v>4058.60387761894</v>
      </c>
      <c r="M658" s="14" t="n">
        <f aca="true">$B$16+NORMINV(RAND(),0,SQRT($B$13*($B$7+$B$8^2))*$B$9*(1-$B$10))</f>
        <v>4473.26592520958</v>
      </c>
      <c r="N658" s="14" t="n">
        <f aca="true">$B$16+NORMINV(RAND(),0,SQRT($B$13*($B$7+$B$8^2))*$B$9*(1-$B$10))</f>
        <v>4022.75463935714</v>
      </c>
      <c r="O658" s="14" t="n">
        <f aca="true">$B$16+NORMINV(RAND(),0,SQRT($B$13*($B$7+$B$8^2))*$B$9*(1-$B$10))</f>
        <v>3669.4635555297</v>
      </c>
      <c r="P658" s="14" t="n">
        <f aca="true">$B$16+NORMINV(RAND(),0,SQRT($B$13*($B$7+$B$8^2))*$B$9*(1-$B$10))</f>
        <v>4460.30084635164</v>
      </c>
      <c r="Q658" s="14" t="n">
        <f aca="true">$B$16+NORMINV(RAND(),0,SQRT($B$13*($B$7+$B$8^2))*$B$9*(1-$B$10))</f>
        <v>4395.10647002558</v>
      </c>
      <c r="R658" s="14" t="n">
        <f aca="false">$B$4-13*($B$5+$B$6)/30-IF($B$11&lt;=13,$B$12,0)+0</f>
        <v>8876.66666666667</v>
      </c>
      <c r="S658" s="14" t="n">
        <f aca="false">$B$4-27*($B$5+$B$6)/30-IF($B$11&lt;=27,$B$12,0)+L658</f>
        <v>10648.6038776189</v>
      </c>
      <c r="T658" s="14" t="n">
        <f aca="false">$B$4-41*($B$5+$B$6)/30-IF($B$11&lt;=41,$B$12,0)+L658+M658</f>
        <v>1650.40313616185</v>
      </c>
      <c r="U658" s="14" t="n">
        <f aca="false">$B$4-55*($B$5+$B$6)/30-IF($B$11&lt;=55,$B$12,0)+L658+M658+N658</f>
        <v>3386.49110885232</v>
      </c>
      <c r="V658" s="14" t="n">
        <f aca="false">$B$4-69*($B$5+$B$6)/30-IF($B$11&lt;=69,$B$12,0)+L658+M658+N658+O658</f>
        <v>4769.28799771536</v>
      </c>
      <c r="W658" s="14" t="n">
        <f aca="false">$B$4-83*($B$5+$B$6)/30-IF($B$11&lt;=83,$B$12,0)+L658+M658+N658+O658+P658</f>
        <v>6942.92217740033</v>
      </c>
      <c r="X658" s="14" t="n">
        <f aca="false">$B$4-90*($B$5+$B$6)/30-IF($B$11&lt;=90,$B$12,0)+L658+M658+N658+O658+P658+Q658</f>
        <v>10194.6953140926</v>
      </c>
      <c r="AA658" s="14" t="n">
        <f aca="false">MIN(R658:X658)</f>
        <v>1650.40313616185</v>
      </c>
    </row>
    <row r="659" customFormat="false" ht="15" hidden="false" customHeight="false" outlineLevel="0" collapsed="false">
      <c r="K659" s="2" t="n">
        <v>654</v>
      </c>
      <c r="L659" s="14" t="n">
        <f aca="true">$B$16+NORMINV(RAND(),0,SQRT($B$13*($B$7+$B$8^2))*$B$9*(1-$B$10))</f>
        <v>3936.7700166599</v>
      </c>
      <c r="M659" s="14" t="n">
        <f aca="true">$B$16+NORMINV(RAND(),0,SQRT($B$13*($B$7+$B$8^2))*$B$9*(1-$B$10))</f>
        <v>4793.3938890776</v>
      </c>
      <c r="N659" s="14" t="n">
        <f aca="true">$B$16+NORMINV(RAND(),0,SQRT($B$13*($B$7+$B$8^2))*$B$9*(1-$B$10))</f>
        <v>4518.03778506421</v>
      </c>
      <c r="O659" s="14" t="n">
        <f aca="true">$B$16+NORMINV(RAND(),0,SQRT($B$13*($B$7+$B$8^2))*$B$9*(1-$B$10))</f>
        <v>4170.13861703347</v>
      </c>
      <c r="P659" s="14" t="n">
        <f aca="true">$B$16+NORMINV(RAND(),0,SQRT($B$13*($B$7+$B$8^2))*$B$9*(1-$B$10))</f>
        <v>3864.99449494657</v>
      </c>
      <c r="Q659" s="14" t="n">
        <f aca="true">$B$16+NORMINV(RAND(),0,SQRT($B$13*($B$7+$B$8^2))*$B$9*(1-$B$10))</f>
        <v>4011.30325383148</v>
      </c>
      <c r="R659" s="14" t="n">
        <f aca="false">$B$4-13*($B$5+$B$6)/30-IF($B$11&lt;=13,$B$12,0)+0</f>
        <v>8876.66666666667</v>
      </c>
      <c r="S659" s="14" t="n">
        <f aca="false">$B$4-27*($B$5+$B$6)/30-IF($B$11&lt;=27,$B$12,0)+L659</f>
        <v>10526.7700166599</v>
      </c>
      <c r="T659" s="14" t="n">
        <f aca="false">$B$4-41*($B$5+$B$6)/30-IF($B$11&lt;=41,$B$12,0)+L659+M659</f>
        <v>1848.69723907084</v>
      </c>
      <c r="U659" s="14" t="n">
        <f aca="false">$B$4-55*($B$5+$B$6)/30-IF($B$11&lt;=55,$B$12,0)+L659+M659+N659</f>
        <v>4080.06835746838</v>
      </c>
      <c r="V659" s="14" t="n">
        <f aca="false">$B$4-69*($B$5+$B$6)/30-IF($B$11&lt;=69,$B$12,0)+L659+M659+N659+O659</f>
        <v>5963.54030783519</v>
      </c>
      <c r="W659" s="14" t="n">
        <f aca="false">$B$4-83*($B$5+$B$6)/30-IF($B$11&lt;=83,$B$12,0)+L659+M659+N659+O659+P659</f>
        <v>7541.86813611509</v>
      </c>
      <c r="X659" s="14" t="n">
        <f aca="false">$B$4-90*($B$5+$B$6)/30-IF($B$11&lt;=90,$B$12,0)+L659+M659+N659+O659+P659+Q659</f>
        <v>10409.8380566132</v>
      </c>
      <c r="AA659" s="14" t="n">
        <f aca="false">MIN(R659:X659)</f>
        <v>1848.69723907084</v>
      </c>
    </row>
    <row r="660" customFormat="false" ht="15" hidden="false" customHeight="false" outlineLevel="0" collapsed="false">
      <c r="K660" s="2" t="n">
        <v>655</v>
      </c>
      <c r="L660" s="14" t="n">
        <f aca="true">$B$16+NORMINV(RAND(),0,SQRT($B$13*($B$7+$B$8^2))*$B$9*(1-$B$10))</f>
        <v>4193.74160518681</v>
      </c>
      <c r="M660" s="14" t="n">
        <f aca="true">$B$16+NORMINV(RAND(),0,SQRT($B$13*($B$7+$B$8^2))*$B$9*(1-$B$10))</f>
        <v>3426.23170428158</v>
      </c>
      <c r="N660" s="14" t="n">
        <f aca="true">$B$16+NORMINV(RAND(),0,SQRT($B$13*($B$7+$B$8^2))*$B$9*(1-$B$10))</f>
        <v>3925.49172300658</v>
      </c>
      <c r="O660" s="14" t="n">
        <f aca="true">$B$16+NORMINV(RAND(),0,SQRT($B$13*($B$7+$B$8^2))*$B$9*(1-$B$10))</f>
        <v>3781.53222388021</v>
      </c>
      <c r="P660" s="14" t="n">
        <f aca="true">$B$16+NORMINV(RAND(),0,SQRT($B$13*($B$7+$B$8^2))*$B$9*(1-$B$10))</f>
        <v>4192.80157490673</v>
      </c>
      <c r="Q660" s="14" t="n">
        <f aca="true">$B$16+NORMINV(RAND(),0,SQRT($B$13*($B$7+$B$8^2))*$B$9*(1-$B$10))</f>
        <v>3462.77545600068</v>
      </c>
      <c r="R660" s="14" t="n">
        <f aca="false">$B$4-13*($B$5+$B$6)/30-IF($B$11&lt;=13,$B$12,0)+0</f>
        <v>8876.66666666667</v>
      </c>
      <c r="S660" s="14" t="n">
        <f aca="false">$B$4-27*($B$5+$B$6)/30-IF($B$11&lt;=27,$B$12,0)+L660</f>
        <v>10783.7416051868</v>
      </c>
      <c r="T660" s="14" t="n">
        <f aca="false">$B$4-41*($B$5+$B$6)/30-IF($B$11&lt;=41,$B$12,0)+L660+M660</f>
        <v>738.506642801727</v>
      </c>
      <c r="U660" s="14" t="n">
        <f aca="false">$B$4-55*($B$5+$B$6)/30-IF($B$11&lt;=55,$B$12,0)+L660+M660+N660</f>
        <v>2377.33169914164</v>
      </c>
      <c r="V660" s="14" t="n">
        <f aca="false">$B$4-69*($B$5+$B$6)/30-IF($B$11&lt;=69,$B$12,0)+L660+M660+N660+O660</f>
        <v>3872.19725635518</v>
      </c>
      <c r="W660" s="14" t="n">
        <f aca="false">$B$4-83*($B$5+$B$6)/30-IF($B$11&lt;=83,$B$12,0)+L660+M660+N660+O660+P660</f>
        <v>5778.33216459525</v>
      </c>
      <c r="X660" s="14" t="n">
        <f aca="false">$B$4-90*($B$5+$B$6)/30-IF($B$11&lt;=90,$B$12,0)+L660+M660+N660+O660+P660+Q660</f>
        <v>8097.7742872626</v>
      </c>
      <c r="AA660" s="14" t="n">
        <f aca="false">MIN(R660:X660)</f>
        <v>738.506642801727</v>
      </c>
    </row>
    <row r="661" customFormat="false" ht="15" hidden="false" customHeight="false" outlineLevel="0" collapsed="false">
      <c r="K661" s="2" t="n">
        <v>656</v>
      </c>
      <c r="L661" s="14" t="n">
        <f aca="true">$B$16+NORMINV(RAND(),0,SQRT($B$13*($B$7+$B$8^2))*$B$9*(1-$B$10))</f>
        <v>3837.46856955693</v>
      </c>
      <c r="M661" s="14" t="n">
        <f aca="true">$B$16+NORMINV(RAND(),0,SQRT($B$13*($B$7+$B$8^2))*$B$9*(1-$B$10))</f>
        <v>3859.98762864542</v>
      </c>
      <c r="N661" s="14" t="n">
        <f aca="true">$B$16+NORMINV(RAND(),0,SQRT($B$13*($B$7+$B$8^2))*$B$9*(1-$B$10))</f>
        <v>3986.12958476936</v>
      </c>
      <c r="O661" s="14" t="n">
        <f aca="true">$B$16+NORMINV(RAND(),0,SQRT($B$13*($B$7+$B$8^2))*$B$9*(1-$B$10))</f>
        <v>3669.31798185918</v>
      </c>
      <c r="P661" s="14" t="n">
        <f aca="true">$B$16+NORMINV(RAND(),0,SQRT($B$13*($B$7+$B$8^2))*$B$9*(1-$B$10))</f>
        <v>3715.49537025874</v>
      </c>
      <c r="Q661" s="14" t="n">
        <f aca="true">$B$16+NORMINV(RAND(),0,SQRT($B$13*($B$7+$B$8^2))*$B$9*(1-$B$10))</f>
        <v>4579.38495684284</v>
      </c>
      <c r="R661" s="14" t="n">
        <f aca="false">$B$4-13*($B$5+$B$6)/30-IF($B$11&lt;=13,$B$12,0)+0</f>
        <v>8876.66666666667</v>
      </c>
      <c r="S661" s="14" t="n">
        <f aca="false">$B$4-27*($B$5+$B$6)/30-IF($B$11&lt;=27,$B$12,0)+L661</f>
        <v>10427.4685695569</v>
      </c>
      <c r="T661" s="14" t="n">
        <f aca="false">$B$4-41*($B$5+$B$6)/30-IF($B$11&lt;=41,$B$12,0)+L661+M661</f>
        <v>815.989531535677</v>
      </c>
      <c r="U661" s="14" t="n">
        <f aca="false">$B$4-55*($B$5+$B$6)/30-IF($B$11&lt;=55,$B$12,0)+L661+M661+N661</f>
        <v>2515.45244963837</v>
      </c>
      <c r="V661" s="14" t="n">
        <f aca="false">$B$4-69*($B$5+$B$6)/30-IF($B$11&lt;=69,$B$12,0)+L661+M661+N661+O661</f>
        <v>3898.10376483089</v>
      </c>
      <c r="W661" s="14" t="n">
        <f aca="false">$B$4-83*($B$5+$B$6)/30-IF($B$11&lt;=83,$B$12,0)+L661+M661+N661+O661+P661</f>
        <v>5326.93246842296</v>
      </c>
      <c r="X661" s="14" t="n">
        <f aca="false">$B$4-90*($B$5+$B$6)/30-IF($B$11&lt;=90,$B$12,0)+L661+M661+N661+O661+P661+Q661</f>
        <v>8762.98409193246</v>
      </c>
      <c r="AA661" s="14" t="n">
        <f aca="false">MIN(R661:X661)</f>
        <v>815.989531535677</v>
      </c>
    </row>
    <row r="662" customFormat="false" ht="15" hidden="false" customHeight="false" outlineLevel="0" collapsed="false">
      <c r="K662" s="2" t="n">
        <v>657</v>
      </c>
      <c r="L662" s="14" t="n">
        <f aca="true">$B$16+NORMINV(RAND(),0,SQRT($B$13*($B$7+$B$8^2))*$B$9*(1-$B$10))</f>
        <v>3507.03068690065</v>
      </c>
      <c r="M662" s="14" t="n">
        <f aca="true">$B$16+NORMINV(RAND(),0,SQRT($B$13*($B$7+$B$8^2))*$B$9*(1-$B$10))</f>
        <v>4399.133370665</v>
      </c>
      <c r="N662" s="14" t="n">
        <f aca="true">$B$16+NORMINV(RAND(),0,SQRT($B$13*($B$7+$B$8^2))*$B$9*(1-$B$10))</f>
        <v>4312.48155482962</v>
      </c>
      <c r="O662" s="14" t="n">
        <f aca="true">$B$16+NORMINV(RAND(),0,SQRT($B$13*($B$7+$B$8^2))*$B$9*(1-$B$10))</f>
        <v>4248.13387677402</v>
      </c>
      <c r="P662" s="14" t="n">
        <f aca="true">$B$16+NORMINV(RAND(),0,SQRT($B$13*($B$7+$B$8^2))*$B$9*(1-$B$10))</f>
        <v>3738.09978397961</v>
      </c>
      <c r="Q662" s="14" t="n">
        <f aca="true">$B$16+NORMINV(RAND(),0,SQRT($B$13*($B$7+$B$8^2))*$B$9*(1-$B$10))</f>
        <v>4171.16971382218</v>
      </c>
      <c r="R662" s="14" t="n">
        <f aca="false">$B$4-13*($B$5+$B$6)/30-IF($B$11&lt;=13,$B$12,0)+0</f>
        <v>8876.66666666667</v>
      </c>
      <c r="S662" s="14" t="n">
        <f aca="false">$B$4-27*($B$5+$B$6)/30-IF($B$11&lt;=27,$B$12,0)+L662</f>
        <v>10097.0306869007</v>
      </c>
      <c r="T662" s="14" t="n">
        <f aca="false">$B$4-41*($B$5+$B$6)/30-IF($B$11&lt;=41,$B$12,0)+L662+M662</f>
        <v>1024.69739089898</v>
      </c>
      <c r="U662" s="14" t="n">
        <f aca="false">$B$4-55*($B$5+$B$6)/30-IF($B$11&lt;=55,$B$12,0)+L662+M662+N662</f>
        <v>3050.51227906193</v>
      </c>
      <c r="V662" s="14" t="n">
        <f aca="false">$B$4-69*($B$5+$B$6)/30-IF($B$11&lt;=69,$B$12,0)+L662+M662+N662+O662</f>
        <v>5011.97948916928</v>
      </c>
      <c r="W662" s="14" t="n">
        <f aca="false">$B$4-83*($B$5+$B$6)/30-IF($B$11&lt;=83,$B$12,0)+L662+M662+N662+O662+P662</f>
        <v>6463.41260648222</v>
      </c>
      <c r="X662" s="14" t="n">
        <f aca="false">$B$4-90*($B$5+$B$6)/30-IF($B$11&lt;=90,$B$12,0)+L662+M662+N662+O662+P662+Q662</f>
        <v>9491.24898697107</v>
      </c>
      <c r="AA662" s="14" t="n">
        <f aca="false">MIN(R662:X662)</f>
        <v>1024.69739089898</v>
      </c>
    </row>
    <row r="663" customFormat="false" ht="15" hidden="false" customHeight="false" outlineLevel="0" collapsed="false">
      <c r="K663" s="2" t="n">
        <v>658</v>
      </c>
      <c r="L663" s="14" t="n">
        <f aca="true">$B$16+NORMINV(RAND(),0,SQRT($B$13*($B$7+$B$8^2))*$B$9*(1-$B$10))</f>
        <v>3561.56266619236</v>
      </c>
      <c r="M663" s="14" t="n">
        <f aca="true">$B$16+NORMINV(RAND(),0,SQRT($B$13*($B$7+$B$8^2))*$B$9*(1-$B$10))</f>
        <v>3517.97016793912</v>
      </c>
      <c r="N663" s="14" t="n">
        <f aca="true">$B$16+NORMINV(RAND(),0,SQRT($B$13*($B$7+$B$8^2))*$B$9*(1-$B$10))</f>
        <v>4228.36621618647</v>
      </c>
      <c r="O663" s="14" t="n">
        <f aca="true">$B$16+NORMINV(RAND(),0,SQRT($B$13*($B$7+$B$8^2))*$B$9*(1-$B$10))</f>
        <v>4243.85245334319</v>
      </c>
      <c r="P663" s="14" t="n">
        <f aca="true">$B$16+NORMINV(RAND(),0,SQRT($B$13*($B$7+$B$8^2))*$B$9*(1-$B$10))</f>
        <v>4390.46662086902</v>
      </c>
      <c r="Q663" s="14" t="n">
        <f aca="true">$B$16+NORMINV(RAND(),0,SQRT($B$13*($B$7+$B$8^2))*$B$9*(1-$B$10))</f>
        <v>4027.55023314786</v>
      </c>
      <c r="R663" s="14" t="n">
        <f aca="false">$B$4-13*($B$5+$B$6)/30-IF($B$11&lt;=13,$B$12,0)+0</f>
        <v>8876.66666666667</v>
      </c>
      <c r="S663" s="14" t="n">
        <f aca="false">$B$4-27*($B$5+$B$6)/30-IF($B$11&lt;=27,$B$12,0)+L663</f>
        <v>10151.5626661924</v>
      </c>
      <c r="T663" s="14" t="n">
        <f aca="false">$B$4-41*($B$5+$B$6)/30-IF($B$11&lt;=41,$B$12,0)+L663+M663</f>
        <v>198.066167464812</v>
      </c>
      <c r="U663" s="14" t="n">
        <f aca="false">$B$4-55*($B$5+$B$6)/30-IF($B$11&lt;=55,$B$12,0)+L663+M663+N663</f>
        <v>2139.76571698462</v>
      </c>
      <c r="V663" s="14" t="n">
        <f aca="false">$B$4-69*($B$5+$B$6)/30-IF($B$11&lt;=69,$B$12,0)+L663+M663+N663+O663</f>
        <v>4096.95150366114</v>
      </c>
      <c r="W663" s="14" t="n">
        <f aca="false">$B$4-83*($B$5+$B$6)/30-IF($B$11&lt;=83,$B$12,0)+L663+M663+N663+O663+P663</f>
        <v>6200.7514578635</v>
      </c>
      <c r="X663" s="14" t="n">
        <f aca="false">$B$4-90*($B$5+$B$6)/30-IF($B$11&lt;=90,$B$12,0)+L663+M663+N663+O663+P663+Q663</f>
        <v>9084.96835767802</v>
      </c>
      <c r="AA663" s="14" t="n">
        <f aca="false">MIN(R663:X663)</f>
        <v>198.066167464812</v>
      </c>
    </row>
    <row r="664" customFormat="false" ht="15" hidden="false" customHeight="false" outlineLevel="0" collapsed="false">
      <c r="K664" s="2" t="n">
        <v>659</v>
      </c>
      <c r="L664" s="14" t="n">
        <f aca="true">$B$16+NORMINV(RAND(),0,SQRT($B$13*($B$7+$B$8^2))*$B$9*(1-$B$10))</f>
        <v>4212.83151940988</v>
      </c>
      <c r="M664" s="14" t="n">
        <f aca="true">$B$16+NORMINV(RAND(),0,SQRT($B$13*($B$7+$B$8^2))*$B$9*(1-$B$10))</f>
        <v>4134.43807904569</v>
      </c>
      <c r="N664" s="14" t="n">
        <f aca="true">$B$16+NORMINV(RAND(),0,SQRT($B$13*($B$7+$B$8^2))*$B$9*(1-$B$10))</f>
        <v>3865.02949880203</v>
      </c>
      <c r="O664" s="14" t="n">
        <f aca="true">$B$16+NORMINV(RAND(),0,SQRT($B$13*($B$7+$B$8^2))*$B$9*(1-$B$10))</f>
        <v>4512.75730294888</v>
      </c>
      <c r="P664" s="14" t="n">
        <f aca="true">$B$16+NORMINV(RAND(),0,SQRT($B$13*($B$7+$B$8^2))*$B$9*(1-$B$10))</f>
        <v>3853.75856263581</v>
      </c>
      <c r="Q664" s="14" t="n">
        <f aca="true">$B$16+NORMINV(RAND(),0,SQRT($B$13*($B$7+$B$8^2))*$B$9*(1-$B$10))</f>
        <v>3472.16892187567</v>
      </c>
      <c r="R664" s="14" t="n">
        <f aca="false">$B$4-13*($B$5+$B$6)/30-IF($B$11&lt;=13,$B$12,0)+0</f>
        <v>8876.66666666667</v>
      </c>
      <c r="S664" s="14" t="n">
        <f aca="false">$B$4-27*($B$5+$B$6)/30-IF($B$11&lt;=27,$B$12,0)+L664</f>
        <v>10802.8315194099</v>
      </c>
      <c r="T664" s="14" t="n">
        <f aca="false">$B$4-41*($B$5+$B$6)/30-IF($B$11&lt;=41,$B$12,0)+L664+M664</f>
        <v>1465.8029317889</v>
      </c>
      <c r="U664" s="14" t="n">
        <f aca="false">$B$4-55*($B$5+$B$6)/30-IF($B$11&lt;=55,$B$12,0)+L664+M664+N664</f>
        <v>3044.16576392427</v>
      </c>
      <c r="V664" s="14" t="n">
        <f aca="false">$B$4-69*($B$5+$B$6)/30-IF($B$11&lt;=69,$B$12,0)+L664+M664+N664+O664</f>
        <v>5270.25640020648</v>
      </c>
      <c r="W664" s="14" t="n">
        <f aca="false">$B$4-83*($B$5+$B$6)/30-IF($B$11&lt;=83,$B$12,0)+L664+M664+N664+O664+P664</f>
        <v>6837.34829617563</v>
      </c>
      <c r="X664" s="14" t="n">
        <f aca="false">$B$4-90*($B$5+$B$6)/30-IF($B$11&lt;=90,$B$12,0)+L664+M664+N664+O664+P664+Q664</f>
        <v>9166.18388471796</v>
      </c>
      <c r="AA664" s="14" t="n">
        <f aca="false">MIN(R664:X664)</f>
        <v>1465.8029317889</v>
      </c>
    </row>
    <row r="665" customFormat="false" ht="15" hidden="false" customHeight="false" outlineLevel="0" collapsed="false">
      <c r="K665" s="2" t="n">
        <v>660</v>
      </c>
      <c r="L665" s="14" t="n">
        <f aca="true">$B$16+NORMINV(RAND(),0,SQRT($B$13*($B$7+$B$8^2))*$B$9*(1-$B$10))</f>
        <v>3832.62184349352</v>
      </c>
      <c r="M665" s="14" t="n">
        <f aca="true">$B$16+NORMINV(RAND(),0,SQRT($B$13*($B$7+$B$8^2))*$B$9*(1-$B$10))</f>
        <v>3884.5193989539</v>
      </c>
      <c r="N665" s="14" t="n">
        <f aca="true">$B$16+NORMINV(RAND(),0,SQRT($B$13*($B$7+$B$8^2))*$B$9*(1-$B$10))</f>
        <v>3420.18863580538</v>
      </c>
      <c r="O665" s="14" t="n">
        <f aca="true">$B$16+NORMINV(RAND(),0,SQRT($B$13*($B$7+$B$8^2))*$B$9*(1-$B$10))</f>
        <v>4112.71520323636</v>
      </c>
      <c r="P665" s="14" t="n">
        <f aca="true">$B$16+NORMINV(RAND(),0,SQRT($B$13*($B$7+$B$8^2))*$B$9*(1-$B$10))</f>
        <v>4214.61070377133</v>
      </c>
      <c r="Q665" s="14" t="n">
        <f aca="true">$B$16+NORMINV(RAND(),0,SQRT($B$13*($B$7+$B$8^2))*$B$9*(1-$B$10))</f>
        <v>3434.46027661555</v>
      </c>
      <c r="R665" s="14" t="n">
        <f aca="false">$B$4-13*($B$5+$B$6)/30-IF($B$11&lt;=13,$B$12,0)+0</f>
        <v>8876.66666666667</v>
      </c>
      <c r="S665" s="14" t="n">
        <f aca="false">$B$4-27*($B$5+$B$6)/30-IF($B$11&lt;=27,$B$12,0)+L665</f>
        <v>10422.6218434935</v>
      </c>
      <c r="T665" s="14" t="n">
        <f aca="false">$B$4-41*($B$5+$B$6)/30-IF($B$11&lt;=41,$B$12,0)+L665+M665</f>
        <v>835.674575780752</v>
      </c>
      <c r="U665" s="14" t="n">
        <f aca="false">$B$4-55*($B$5+$B$6)/30-IF($B$11&lt;=55,$B$12,0)+L665+M665+N665</f>
        <v>1969.19654491946</v>
      </c>
      <c r="V665" s="14" t="n">
        <f aca="false">$B$4-69*($B$5+$B$6)/30-IF($B$11&lt;=69,$B$12,0)+L665+M665+N665+O665</f>
        <v>3795.24508148915</v>
      </c>
      <c r="W665" s="14" t="n">
        <f aca="false">$B$4-83*($B$5+$B$6)/30-IF($B$11&lt;=83,$B$12,0)+L665+M665+N665+O665+P665</f>
        <v>5723.18911859381</v>
      </c>
      <c r="X665" s="14" t="n">
        <f aca="false">$B$4-90*($B$5+$B$6)/30-IF($B$11&lt;=90,$B$12,0)+L665+M665+N665+O665+P665+Q665</f>
        <v>8014.31606187603</v>
      </c>
      <c r="AA665" s="14" t="n">
        <f aca="false">MIN(R665:X665)</f>
        <v>835.674575780752</v>
      </c>
    </row>
    <row r="666" customFormat="false" ht="15" hidden="false" customHeight="false" outlineLevel="0" collapsed="false">
      <c r="K666" s="2" t="n">
        <v>661</v>
      </c>
      <c r="L666" s="14" t="n">
        <f aca="true">$B$16+NORMINV(RAND(),0,SQRT($B$13*($B$7+$B$8^2))*$B$9*(1-$B$10))</f>
        <v>4006.86733170193</v>
      </c>
      <c r="M666" s="14" t="n">
        <f aca="true">$B$16+NORMINV(RAND(),0,SQRT($B$13*($B$7+$B$8^2))*$B$9*(1-$B$10))</f>
        <v>3735.63418189407</v>
      </c>
      <c r="N666" s="14" t="n">
        <f aca="true">$B$16+NORMINV(RAND(),0,SQRT($B$13*($B$7+$B$8^2))*$B$9*(1-$B$10))</f>
        <v>4405.06273066605</v>
      </c>
      <c r="O666" s="14" t="n">
        <f aca="true">$B$16+NORMINV(RAND(),0,SQRT($B$13*($B$7+$B$8^2))*$B$9*(1-$B$10))</f>
        <v>3950.31981519628</v>
      </c>
      <c r="P666" s="14" t="n">
        <f aca="true">$B$16+NORMINV(RAND(),0,SQRT($B$13*($B$7+$B$8^2))*$B$9*(1-$B$10))</f>
        <v>3404.47663623483</v>
      </c>
      <c r="Q666" s="14" t="n">
        <f aca="true">$B$16+NORMINV(RAND(),0,SQRT($B$13*($B$7+$B$8^2))*$B$9*(1-$B$10))</f>
        <v>4208.3882763562</v>
      </c>
      <c r="R666" s="14" t="n">
        <f aca="false">$B$4-13*($B$5+$B$6)/30-IF($B$11&lt;=13,$B$12,0)+0</f>
        <v>8876.66666666667</v>
      </c>
      <c r="S666" s="14" t="n">
        <f aca="false">$B$4-27*($B$5+$B$6)/30-IF($B$11&lt;=27,$B$12,0)+L666</f>
        <v>10596.8673317019</v>
      </c>
      <c r="T666" s="14" t="n">
        <f aca="false">$B$4-41*($B$5+$B$6)/30-IF($B$11&lt;=41,$B$12,0)+L666+M666</f>
        <v>861.034846929329</v>
      </c>
      <c r="U666" s="14" t="n">
        <f aca="false">$B$4-55*($B$5+$B$6)/30-IF($B$11&lt;=55,$B$12,0)+L666+M666+N666</f>
        <v>2979.43091092871</v>
      </c>
      <c r="V666" s="14" t="n">
        <f aca="false">$B$4-69*($B$5+$B$6)/30-IF($B$11&lt;=69,$B$12,0)+L666+M666+N666+O666</f>
        <v>4643.08405945832</v>
      </c>
      <c r="W666" s="14" t="n">
        <f aca="false">$B$4-83*($B$5+$B$6)/30-IF($B$11&lt;=83,$B$12,0)+L666+M666+N666+O666+P666</f>
        <v>5760.89402902649</v>
      </c>
      <c r="X666" s="14" t="n">
        <f aca="false">$B$4-90*($B$5+$B$6)/30-IF($B$11&lt;=90,$B$12,0)+L666+M666+N666+O666+P666+Q666</f>
        <v>8825.94897204936</v>
      </c>
      <c r="AA666" s="14" t="n">
        <f aca="false">MIN(R666:X666)</f>
        <v>861.034846929329</v>
      </c>
    </row>
    <row r="667" customFormat="false" ht="15" hidden="false" customHeight="false" outlineLevel="0" collapsed="false">
      <c r="K667" s="2" t="n">
        <v>662</v>
      </c>
      <c r="L667" s="14" t="n">
        <f aca="true">$B$16+NORMINV(RAND(),0,SQRT($B$13*($B$7+$B$8^2))*$B$9*(1-$B$10))</f>
        <v>4290.42241943737</v>
      </c>
      <c r="M667" s="14" t="n">
        <f aca="true">$B$16+NORMINV(RAND(),0,SQRT($B$13*($B$7+$B$8^2))*$B$9*(1-$B$10))</f>
        <v>4384.32103241188</v>
      </c>
      <c r="N667" s="14" t="n">
        <f aca="true">$B$16+NORMINV(RAND(),0,SQRT($B$13*($B$7+$B$8^2))*$B$9*(1-$B$10))</f>
        <v>4121.84327912874</v>
      </c>
      <c r="O667" s="14" t="n">
        <f aca="true">$B$16+NORMINV(RAND(),0,SQRT($B$13*($B$7+$B$8^2))*$B$9*(1-$B$10))</f>
        <v>3746.93778518331</v>
      </c>
      <c r="P667" s="14" t="n">
        <f aca="true">$B$16+NORMINV(RAND(),0,SQRT($B$13*($B$7+$B$8^2))*$B$9*(1-$B$10))</f>
        <v>3397.92389409786</v>
      </c>
      <c r="Q667" s="14" t="n">
        <f aca="true">$B$16+NORMINV(RAND(),0,SQRT($B$13*($B$7+$B$8^2))*$B$9*(1-$B$10))</f>
        <v>3833.3014051513</v>
      </c>
      <c r="R667" s="14" t="n">
        <f aca="false">$B$4-13*($B$5+$B$6)/30-IF($B$11&lt;=13,$B$12,0)+0</f>
        <v>8876.66666666667</v>
      </c>
      <c r="S667" s="14" t="n">
        <f aca="false">$B$4-27*($B$5+$B$6)/30-IF($B$11&lt;=27,$B$12,0)+L667</f>
        <v>10880.4224194374</v>
      </c>
      <c r="T667" s="14" t="n">
        <f aca="false">$B$4-41*($B$5+$B$6)/30-IF($B$11&lt;=41,$B$12,0)+L667+M667</f>
        <v>1793.27678518259</v>
      </c>
      <c r="U667" s="14" t="n">
        <f aca="false">$B$4-55*($B$5+$B$6)/30-IF($B$11&lt;=55,$B$12,0)+L667+M667+N667</f>
        <v>3628.45339764466</v>
      </c>
      <c r="V667" s="14" t="n">
        <f aca="false">$B$4-69*($B$5+$B$6)/30-IF($B$11&lt;=69,$B$12,0)+L667+M667+N667+O667</f>
        <v>5088.72451616131</v>
      </c>
      <c r="W667" s="14" t="n">
        <f aca="false">$B$4-83*($B$5+$B$6)/30-IF($B$11&lt;=83,$B$12,0)+L667+M667+N667+O667+P667</f>
        <v>6199.98174359251</v>
      </c>
      <c r="X667" s="14" t="n">
        <f aca="false">$B$4-90*($B$5+$B$6)/30-IF($B$11&lt;=90,$B$12,0)+L667+M667+N667+O667+P667+Q667</f>
        <v>8889.94981541047</v>
      </c>
      <c r="AA667" s="14" t="n">
        <f aca="false">MIN(R667:X667)</f>
        <v>1793.27678518259</v>
      </c>
    </row>
    <row r="668" customFormat="false" ht="15" hidden="false" customHeight="false" outlineLevel="0" collapsed="false">
      <c r="K668" s="2" t="n">
        <v>663</v>
      </c>
      <c r="L668" s="14" t="n">
        <f aca="true">$B$16+NORMINV(RAND(),0,SQRT($B$13*($B$7+$B$8^2))*$B$9*(1-$B$10))</f>
        <v>4199.02423349336</v>
      </c>
      <c r="M668" s="14" t="n">
        <f aca="true">$B$16+NORMINV(RAND(),0,SQRT($B$13*($B$7+$B$8^2))*$B$9*(1-$B$10))</f>
        <v>4148.41289565001</v>
      </c>
      <c r="N668" s="14" t="n">
        <f aca="true">$B$16+NORMINV(RAND(),0,SQRT($B$13*($B$7+$B$8^2))*$B$9*(1-$B$10))</f>
        <v>4325.96660110991</v>
      </c>
      <c r="O668" s="14" t="n">
        <f aca="true">$B$16+NORMINV(RAND(),0,SQRT($B$13*($B$7+$B$8^2))*$B$9*(1-$B$10))</f>
        <v>4370.73377453857</v>
      </c>
      <c r="P668" s="14" t="n">
        <f aca="true">$B$16+NORMINV(RAND(),0,SQRT($B$13*($B$7+$B$8^2))*$B$9*(1-$B$10))</f>
        <v>3748.77718811343</v>
      </c>
      <c r="Q668" s="14" t="n">
        <f aca="true">$B$16+NORMINV(RAND(),0,SQRT($B$13*($B$7+$B$8^2))*$B$9*(1-$B$10))</f>
        <v>3545.94271375789</v>
      </c>
      <c r="R668" s="14" t="n">
        <f aca="false">$B$4-13*($B$5+$B$6)/30-IF($B$11&lt;=13,$B$12,0)+0</f>
        <v>8876.66666666667</v>
      </c>
      <c r="S668" s="14" t="n">
        <f aca="false">$B$4-27*($B$5+$B$6)/30-IF($B$11&lt;=27,$B$12,0)+L668</f>
        <v>10789.0242334934</v>
      </c>
      <c r="T668" s="14" t="n">
        <f aca="false">$B$4-41*($B$5+$B$6)/30-IF($B$11&lt;=41,$B$12,0)+L668+M668</f>
        <v>1465.9704624767</v>
      </c>
      <c r="U668" s="14" t="n">
        <f aca="false">$B$4-55*($B$5+$B$6)/30-IF($B$11&lt;=55,$B$12,0)+L668+M668+N668</f>
        <v>3505.27039691995</v>
      </c>
      <c r="V668" s="14" t="n">
        <f aca="false">$B$4-69*($B$5+$B$6)/30-IF($B$11&lt;=69,$B$12,0)+L668+M668+N668+O668</f>
        <v>5589.33750479185</v>
      </c>
      <c r="W668" s="14" t="n">
        <f aca="false">$B$4-83*($B$5+$B$6)/30-IF($B$11&lt;=83,$B$12,0)+L668+M668+N668+O668+P668</f>
        <v>7051.44802623862</v>
      </c>
      <c r="X668" s="14" t="n">
        <f aca="false">$B$4-90*($B$5+$B$6)/30-IF($B$11&lt;=90,$B$12,0)+L668+M668+N668+O668+P668+Q668</f>
        <v>9454.05740666317</v>
      </c>
      <c r="AA668" s="14" t="n">
        <f aca="false">MIN(R668:X668)</f>
        <v>1465.9704624767</v>
      </c>
    </row>
    <row r="669" customFormat="false" ht="15" hidden="false" customHeight="false" outlineLevel="0" collapsed="false">
      <c r="K669" s="2" t="n">
        <v>664</v>
      </c>
      <c r="L669" s="14" t="n">
        <f aca="true">$B$16+NORMINV(RAND(),0,SQRT($B$13*($B$7+$B$8^2))*$B$9*(1-$B$10))</f>
        <v>4081.02977048372</v>
      </c>
      <c r="M669" s="14" t="n">
        <f aca="true">$B$16+NORMINV(RAND(),0,SQRT($B$13*($B$7+$B$8^2))*$B$9*(1-$B$10))</f>
        <v>4119.90153423597</v>
      </c>
      <c r="N669" s="14" t="n">
        <f aca="true">$B$16+NORMINV(RAND(),0,SQRT($B$13*($B$7+$B$8^2))*$B$9*(1-$B$10))</f>
        <v>4142.3373366705</v>
      </c>
      <c r="O669" s="14" t="n">
        <f aca="true">$B$16+NORMINV(RAND(),0,SQRT($B$13*($B$7+$B$8^2))*$B$9*(1-$B$10))</f>
        <v>3622.76879384673</v>
      </c>
      <c r="P669" s="14" t="n">
        <f aca="true">$B$16+NORMINV(RAND(),0,SQRT($B$13*($B$7+$B$8^2))*$B$9*(1-$B$10))</f>
        <v>4326.90773557154</v>
      </c>
      <c r="Q669" s="14" t="n">
        <f aca="true">$B$16+NORMINV(RAND(),0,SQRT($B$13*($B$7+$B$8^2))*$B$9*(1-$B$10))</f>
        <v>3668.41470752301</v>
      </c>
      <c r="R669" s="14" t="n">
        <f aca="false">$B$4-13*($B$5+$B$6)/30-IF($B$11&lt;=13,$B$12,0)+0</f>
        <v>8876.66666666667</v>
      </c>
      <c r="S669" s="14" t="n">
        <f aca="false">$B$4-27*($B$5+$B$6)/30-IF($B$11&lt;=27,$B$12,0)+L669</f>
        <v>10671.0297704837</v>
      </c>
      <c r="T669" s="14" t="n">
        <f aca="false">$B$4-41*($B$5+$B$6)/30-IF($B$11&lt;=41,$B$12,0)+L669+M669</f>
        <v>1319.46463805302</v>
      </c>
      <c r="U669" s="14" t="n">
        <f aca="false">$B$4-55*($B$5+$B$6)/30-IF($B$11&lt;=55,$B$12,0)+L669+M669+N669</f>
        <v>3175.13530805686</v>
      </c>
      <c r="V669" s="14" t="n">
        <f aca="false">$B$4-69*($B$5+$B$6)/30-IF($B$11&lt;=69,$B$12,0)+L669+M669+N669+O669</f>
        <v>4511.23743523692</v>
      </c>
      <c r="W669" s="14" t="n">
        <f aca="false">$B$4-83*($B$5+$B$6)/30-IF($B$11&lt;=83,$B$12,0)+L669+M669+N669+O669+P669</f>
        <v>6551.4785041418</v>
      </c>
      <c r="X669" s="14" t="n">
        <f aca="false">$B$4-90*($B$5+$B$6)/30-IF($B$11&lt;=90,$B$12,0)+L669+M669+N669+O669+P669+Q669</f>
        <v>9076.55987833147</v>
      </c>
      <c r="AA669" s="14" t="n">
        <f aca="false">MIN(R669:X669)</f>
        <v>1319.46463805302</v>
      </c>
    </row>
    <row r="670" customFormat="false" ht="15" hidden="false" customHeight="false" outlineLevel="0" collapsed="false">
      <c r="K670" s="2" t="n">
        <v>665</v>
      </c>
      <c r="L670" s="14" t="n">
        <f aca="true">$B$16+NORMINV(RAND(),0,SQRT($B$13*($B$7+$B$8^2))*$B$9*(1-$B$10))</f>
        <v>4066.6921953202</v>
      </c>
      <c r="M670" s="14" t="n">
        <f aca="true">$B$16+NORMINV(RAND(),0,SQRT($B$13*($B$7+$B$8^2))*$B$9*(1-$B$10))</f>
        <v>4064.73126623846</v>
      </c>
      <c r="N670" s="14" t="n">
        <f aca="true">$B$16+NORMINV(RAND(),0,SQRT($B$13*($B$7+$B$8^2))*$B$9*(1-$B$10))</f>
        <v>4423.84434696107</v>
      </c>
      <c r="O670" s="14" t="n">
        <f aca="true">$B$16+NORMINV(RAND(),0,SQRT($B$13*($B$7+$B$8^2))*$B$9*(1-$B$10))</f>
        <v>4614.45825080002</v>
      </c>
      <c r="P670" s="14" t="n">
        <f aca="true">$B$16+NORMINV(RAND(),0,SQRT($B$13*($B$7+$B$8^2))*$B$9*(1-$B$10))</f>
        <v>3964.15538456616</v>
      </c>
      <c r="Q670" s="14" t="n">
        <f aca="true">$B$16+NORMINV(RAND(),0,SQRT($B$13*($B$7+$B$8^2))*$B$9*(1-$B$10))</f>
        <v>4306.90331098618</v>
      </c>
      <c r="R670" s="14" t="n">
        <f aca="false">$B$4-13*($B$5+$B$6)/30-IF($B$11&lt;=13,$B$12,0)+0</f>
        <v>8876.66666666667</v>
      </c>
      <c r="S670" s="14" t="n">
        <f aca="false">$B$4-27*($B$5+$B$6)/30-IF($B$11&lt;=27,$B$12,0)+L670</f>
        <v>10656.6921953202</v>
      </c>
      <c r="T670" s="14" t="n">
        <f aca="false">$B$4-41*($B$5+$B$6)/30-IF($B$11&lt;=41,$B$12,0)+L670+M670</f>
        <v>1249.95679489199</v>
      </c>
      <c r="U670" s="14" t="n">
        <f aca="false">$B$4-55*($B$5+$B$6)/30-IF($B$11&lt;=55,$B$12,0)+L670+M670+N670</f>
        <v>3387.13447518639</v>
      </c>
      <c r="V670" s="14" t="n">
        <f aca="false">$B$4-69*($B$5+$B$6)/30-IF($B$11&lt;=69,$B$12,0)+L670+M670+N670+O670</f>
        <v>5714.92605931975</v>
      </c>
      <c r="W670" s="14" t="n">
        <f aca="false">$B$4-83*($B$5+$B$6)/30-IF($B$11&lt;=83,$B$12,0)+L670+M670+N670+O670+P670</f>
        <v>7392.41477721925</v>
      </c>
      <c r="X670" s="14" t="n">
        <f aca="false">$B$4-90*($B$5+$B$6)/30-IF($B$11&lt;=90,$B$12,0)+L670+M670+N670+O670+P670+Q670</f>
        <v>10555.9847548721</v>
      </c>
      <c r="AA670" s="14" t="n">
        <f aca="false">MIN(R670:X670)</f>
        <v>1249.95679489199</v>
      </c>
    </row>
    <row r="671" customFormat="false" ht="15" hidden="false" customHeight="false" outlineLevel="0" collapsed="false">
      <c r="K671" s="2" t="n">
        <v>666</v>
      </c>
      <c r="L671" s="14" t="n">
        <f aca="true">$B$16+NORMINV(RAND(),0,SQRT($B$13*($B$7+$B$8^2))*$B$9*(1-$B$10))</f>
        <v>4026.63679130952</v>
      </c>
      <c r="M671" s="14" t="n">
        <f aca="true">$B$16+NORMINV(RAND(),0,SQRT($B$13*($B$7+$B$8^2))*$B$9*(1-$B$10))</f>
        <v>4128.710647839</v>
      </c>
      <c r="N671" s="14" t="n">
        <f aca="true">$B$16+NORMINV(RAND(),0,SQRT($B$13*($B$7+$B$8^2))*$B$9*(1-$B$10))</f>
        <v>4411.75197350097</v>
      </c>
      <c r="O671" s="14" t="n">
        <f aca="true">$B$16+NORMINV(RAND(),0,SQRT($B$13*($B$7+$B$8^2))*$B$9*(1-$B$10))</f>
        <v>3410.80488410029</v>
      </c>
      <c r="P671" s="14" t="n">
        <f aca="true">$B$16+NORMINV(RAND(),0,SQRT($B$13*($B$7+$B$8^2))*$B$9*(1-$B$10))</f>
        <v>3722.82204803427</v>
      </c>
      <c r="Q671" s="14" t="n">
        <f aca="true">$B$16+NORMINV(RAND(),0,SQRT($B$13*($B$7+$B$8^2))*$B$9*(1-$B$10))</f>
        <v>3924.48628005277</v>
      </c>
      <c r="R671" s="14" t="n">
        <f aca="false">$B$4-13*($B$5+$B$6)/30-IF($B$11&lt;=13,$B$12,0)+0</f>
        <v>8876.66666666667</v>
      </c>
      <c r="S671" s="14" t="n">
        <f aca="false">$B$4-27*($B$5+$B$6)/30-IF($B$11&lt;=27,$B$12,0)+L671</f>
        <v>10616.6367913095</v>
      </c>
      <c r="T671" s="14" t="n">
        <f aca="false">$B$4-41*($B$5+$B$6)/30-IF($B$11&lt;=41,$B$12,0)+L671+M671</f>
        <v>1273.88077248185</v>
      </c>
      <c r="U671" s="14" t="n">
        <f aca="false">$B$4-55*($B$5+$B$6)/30-IF($B$11&lt;=55,$B$12,0)+L671+M671+N671</f>
        <v>3398.96607931615</v>
      </c>
      <c r="V671" s="14" t="n">
        <f aca="false">$B$4-69*($B$5+$B$6)/30-IF($B$11&lt;=69,$B$12,0)+L671+M671+N671+O671</f>
        <v>4523.10429674978</v>
      </c>
      <c r="W671" s="14" t="n">
        <f aca="false">$B$4-83*($B$5+$B$6)/30-IF($B$11&lt;=83,$B$12,0)+L671+M671+N671+O671+P671</f>
        <v>5959.25967811739</v>
      </c>
      <c r="X671" s="14" t="n">
        <f aca="false">$B$4-90*($B$5+$B$6)/30-IF($B$11&lt;=90,$B$12,0)+L671+M671+N671+O671+P671+Q671</f>
        <v>8740.41262483683</v>
      </c>
      <c r="AA671" s="14" t="n">
        <f aca="false">MIN(R671:X671)</f>
        <v>1273.88077248185</v>
      </c>
    </row>
    <row r="672" customFormat="false" ht="15" hidden="false" customHeight="false" outlineLevel="0" collapsed="false">
      <c r="K672" s="2" t="n">
        <v>667</v>
      </c>
      <c r="L672" s="14" t="n">
        <f aca="true">$B$16+NORMINV(RAND(),0,SQRT($B$13*($B$7+$B$8^2))*$B$9*(1-$B$10))</f>
        <v>4616.76016570533</v>
      </c>
      <c r="M672" s="14" t="n">
        <f aca="true">$B$16+NORMINV(RAND(),0,SQRT($B$13*($B$7+$B$8^2))*$B$9*(1-$B$10))</f>
        <v>3412.47626305122</v>
      </c>
      <c r="N672" s="14" t="n">
        <f aca="true">$B$16+NORMINV(RAND(),0,SQRT($B$13*($B$7+$B$8^2))*$B$9*(1-$B$10))</f>
        <v>3366.38004067824</v>
      </c>
      <c r="O672" s="14" t="n">
        <f aca="true">$B$16+NORMINV(RAND(),0,SQRT($B$13*($B$7+$B$8^2))*$B$9*(1-$B$10))</f>
        <v>3509.08302670452</v>
      </c>
      <c r="P672" s="14" t="n">
        <f aca="true">$B$16+NORMINV(RAND(),0,SQRT($B$13*($B$7+$B$8^2))*$B$9*(1-$B$10))</f>
        <v>3963.18662495115</v>
      </c>
      <c r="Q672" s="14" t="n">
        <f aca="true">$B$16+NORMINV(RAND(),0,SQRT($B$13*($B$7+$B$8^2))*$B$9*(1-$B$10))</f>
        <v>4052.45581628969</v>
      </c>
      <c r="R672" s="14" t="n">
        <f aca="false">$B$4-13*($B$5+$B$6)/30-IF($B$11&lt;=13,$B$12,0)+0</f>
        <v>8876.66666666667</v>
      </c>
      <c r="S672" s="14" t="n">
        <f aca="false">$B$4-27*($B$5+$B$6)/30-IF($B$11&lt;=27,$B$12,0)+L672</f>
        <v>11206.7601657053</v>
      </c>
      <c r="T672" s="14" t="n">
        <f aca="false">$B$4-41*($B$5+$B$6)/30-IF($B$11&lt;=41,$B$12,0)+L672+M672</f>
        <v>1147.76976208988</v>
      </c>
      <c r="U672" s="14" t="n">
        <f aca="false">$B$4-55*($B$5+$B$6)/30-IF($B$11&lt;=55,$B$12,0)+L672+M672+N672</f>
        <v>2227.48313610145</v>
      </c>
      <c r="V672" s="14" t="n">
        <f aca="false">$B$4-69*($B$5+$B$6)/30-IF($B$11&lt;=69,$B$12,0)+L672+M672+N672+O672</f>
        <v>3449.8994961393</v>
      </c>
      <c r="W672" s="14" t="n">
        <f aca="false">$B$4-83*($B$5+$B$6)/30-IF($B$11&lt;=83,$B$12,0)+L672+M672+N672+O672+P672</f>
        <v>5126.41945442379</v>
      </c>
      <c r="X672" s="14" t="n">
        <f aca="false">$B$4-90*($B$5+$B$6)/30-IF($B$11&lt;=90,$B$12,0)+L672+M672+N672+O672+P672+Q672</f>
        <v>8035.54193738014</v>
      </c>
      <c r="AA672" s="14" t="n">
        <f aca="false">MIN(R672:X672)</f>
        <v>1147.76976208988</v>
      </c>
    </row>
    <row r="673" customFormat="false" ht="15" hidden="false" customHeight="false" outlineLevel="0" collapsed="false">
      <c r="K673" s="2" t="n">
        <v>668</v>
      </c>
      <c r="L673" s="14" t="n">
        <f aca="true">$B$16+NORMINV(RAND(),0,SQRT($B$13*($B$7+$B$8^2))*$B$9*(1-$B$10))</f>
        <v>4062.37742839394</v>
      </c>
      <c r="M673" s="14" t="n">
        <f aca="true">$B$16+NORMINV(RAND(),0,SQRT($B$13*($B$7+$B$8^2))*$B$9*(1-$B$10))</f>
        <v>3816.87028384292</v>
      </c>
      <c r="N673" s="14" t="n">
        <f aca="true">$B$16+NORMINV(RAND(),0,SQRT($B$13*($B$7+$B$8^2))*$B$9*(1-$B$10))</f>
        <v>4150.89575767685</v>
      </c>
      <c r="O673" s="14" t="n">
        <f aca="true">$B$16+NORMINV(RAND(),0,SQRT($B$13*($B$7+$B$8^2))*$B$9*(1-$B$10))</f>
        <v>4329.55589748811</v>
      </c>
      <c r="P673" s="14" t="n">
        <f aca="true">$B$16+NORMINV(RAND(),0,SQRT($B$13*($B$7+$B$8^2))*$B$9*(1-$B$10))</f>
        <v>4511.64779566656</v>
      </c>
      <c r="Q673" s="14" t="n">
        <f aca="true">$B$16+NORMINV(RAND(),0,SQRT($B$13*($B$7+$B$8^2))*$B$9*(1-$B$10))</f>
        <v>3455.58663078924</v>
      </c>
      <c r="R673" s="14" t="n">
        <f aca="false">$B$4-13*($B$5+$B$6)/30-IF($B$11&lt;=13,$B$12,0)+0</f>
        <v>8876.66666666667</v>
      </c>
      <c r="S673" s="14" t="n">
        <f aca="false">$B$4-27*($B$5+$B$6)/30-IF($B$11&lt;=27,$B$12,0)+L673</f>
        <v>10652.3774283939</v>
      </c>
      <c r="T673" s="14" t="n">
        <f aca="false">$B$4-41*($B$5+$B$6)/30-IF($B$11&lt;=41,$B$12,0)+L673+M673</f>
        <v>997.781045570192</v>
      </c>
      <c r="U673" s="14" t="n">
        <f aca="false">$B$4-55*($B$5+$B$6)/30-IF($B$11&lt;=55,$B$12,0)+L673+M673+N673</f>
        <v>2862.01013658037</v>
      </c>
      <c r="V673" s="14" t="n">
        <f aca="false">$B$4-69*($B$5+$B$6)/30-IF($B$11&lt;=69,$B$12,0)+L673+M673+N673+O673</f>
        <v>4904.89936740181</v>
      </c>
      <c r="W673" s="14" t="n">
        <f aca="false">$B$4-83*($B$5+$B$6)/30-IF($B$11&lt;=83,$B$12,0)+L673+M673+N673+O673+P673</f>
        <v>7129.8804964017</v>
      </c>
      <c r="X673" s="14" t="n">
        <f aca="false">$B$4-90*($B$5+$B$6)/30-IF($B$11&lt;=90,$B$12,0)+L673+M673+N673+O673+P673+Q673</f>
        <v>9442.13379385761</v>
      </c>
      <c r="AA673" s="14" t="n">
        <f aca="false">MIN(R673:X673)</f>
        <v>997.781045570192</v>
      </c>
    </row>
    <row r="674" customFormat="false" ht="15" hidden="false" customHeight="false" outlineLevel="0" collapsed="false">
      <c r="K674" s="2" t="n">
        <v>669</v>
      </c>
      <c r="L674" s="14" t="n">
        <f aca="true">$B$16+NORMINV(RAND(),0,SQRT($B$13*($B$7+$B$8^2))*$B$9*(1-$B$10))</f>
        <v>4033.29451286101</v>
      </c>
      <c r="M674" s="14" t="n">
        <f aca="true">$B$16+NORMINV(RAND(),0,SQRT($B$13*($B$7+$B$8^2))*$B$9*(1-$B$10))</f>
        <v>3443.88354903601</v>
      </c>
      <c r="N674" s="14" t="n">
        <f aca="true">$B$16+NORMINV(RAND(),0,SQRT($B$13*($B$7+$B$8^2))*$B$9*(1-$B$10))</f>
        <v>4408.53552750521</v>
      </c>
      <c r="O674" s="14" t="n">
        <f aca="true">$B$16+NORMINV(RAND(),0,SQRT($B$13*($B$7+$B$8^2))*$B$9*(1-$B$10))</f>
        <v>4014.72267676625</v>
      </c>
      <c r="P674" s="14" t="n">
        <f aca="true">$B$16+NORMINV(RAND(),0,SQRT($B$13*($B$7+$B$8^2))*$B$9*(1-$B$10))</f>
        <v>3863.80783323349</v>
      </c>
      <c r="Q674" s="14" t="n">
        <f aca="true">$B$16+NORMINV(RAND(),0,SQRT($B$13*($B$7+$B$8^2))*$B$9*(1-$B$10))</f>
        <v>4142.44884149805</v>
      </c>
      <c r="R674" s="14" t="n">
        <f aca="false">$B$4-13*($B$5+$B$6)/30-IF($B$11&lt;=13,$B$12,0)+0</f>
        <v>8876.66666666667</v>
      </c>
      <c r="S674" s="14" t="n">
        <f aca="false">$B$4-27*($B$5+$B$6)/30-IF($B$11&lt;=27,$B$12,0)+L674</f>
        <v>10623.294512861</v>
      </c>
      <c r="T674" s="14" t="n">
        <f aca="false">$B$4-41*($B$5+$B$6)/30-IF($B$11&lt;=41,$B$12,0)+L674+M674</f>
        <v>595.711395230351</v>
      </c>
      <c r="U674" s="14" t="n">
        <f aca="false">$B$4-55*($B$5+$B$6)/30-IF($B$11&lt;=55,$B$12,0)+L674+M674+N674</f>
        <v>2717.58025606889</v>
      </c>
      <c r="V674" s="14" t="n">
        <f aca="false">$B$4-69*($B$5+$B$6)/30-IF($B$11&lt;=69,$B$12,0)+L674+M674+N674+O674</f>
        <v>4445.63626616847</v>
      </c>
      <c r="W674" s="14" t="n">
        <f aca="false">$B$4-83*($B$5+$B$6)/30-IF($B$11&lt;=83,$B$12,0)+L674+M674+N674+O674+P674</f>
        <v>6022.77743273529</v>
      </c>
      <c r="X674" s="14" t="n">
        <f aca="false">$B$4-90*($B$5+$B$6)/30-IF($B$11&lt;=90,$B$12,0)+L674+M674+N674+O674+P674+Q674</f>
        <v>9021.89294090001</v>
      </c>
      <c r="AA674" s="14" t="n">
        <f aca="false">MIN(R674:X674)</f>
        <v>595.711395230351</v>
      </c>
    </row>
    <row r="675" customFormat="false" ht="15" hidden="false" customHeight="false" outlineLevel="0" collapsed="false">
      <c r="K675" s="2" t="n">
        <v>670</v>
      </c>
      <c r="L675" s="14" t="n">
        <f aca="true">$B$16+NORMINV(RAND(),0,SQRT($B$13*($B$7+$B$8^2))*$B$9*(1-$B$10))</f>
        <v>4007.56831239283</v>
      </c>
      <c r="M675" s="14" t="n">
        <f aca="true">$B$16+NORMINV(RAND(),0,SQRT($B$13*($B$7+$B$8^2))*$B$9*(1-$B$10))</f>
        <v>3958.69691151566</v>
      </c>
      <c r="N675" s="14" t="n">
        <f aca="true">$B$16+NORMINV(RAND(),0,SQRT($B$13*($B$7+$B$8^2))*$B$9*(1-$B$10))</f>
        <v>3673.47383188904</v>
      </c>
      <c r="O675" s="14" t="n">
        <f aca="true">$B$16+NORMINV(RAND(),0,SQRT($B$13*($B$7+$B$8^2))*$B$9*(1-$B$10))</f>
        <v>4244.87616279707</v>
      </c>
      <c r="P675" s="14" t="n">
        <f aca="true">$B$16+NORMINV(RAND(),0,SQRT($B$13*($B$7+$B$8^2))*$B$9*(1-$B$10))</f>
        <v>4354.59670668074</v>
      </c>
      <c r="Q675" s="14" t="n">
        <f aca="true">$B$16+NORMINV(RAND(),0,SQRT($B$13*($B$7+$B$8^2))*$B$9*(1-$B$10))</f>
        <v>4454.27609023773</v>
      </c>
      <c r="R675" s="14" t="n">
        <f aca="false">$B$4-13*($B$5+$B$6)/30-IF($B$11&lt;=13,$B$12,0)+0</f>
        <v>8876.66666666667</v>
      </c>
      <c r="S675" s="14" t="n">
        <f aca="false">$B$4-27*($B$5+$B$6)/30-IF($B$11&lt;=27,$B$12,0)+L675</f>
        <v>10597.5683123928</v>
      </c>
      <c r="T675" s="14" t="n">
        <f aca="false">$B$4-41*($B$5+$B$6)/30-IF($B$11&lt;=41,$B$12,0)+L675+M675</f>
        <v>1084.79855724182</v>
      </c>
      <c r="U675" s="14" t="n">
        <f aca="false">$B$4-55*($B$5+$B$6)/30-IF($B$11&lt;=55,$B$12,0)+L675+M675+N675</f>
        <v>2471.60572246419</v>
      </c>
      <c r="V675" s="14" t="n">
        <f aca="false">$B$4-69*($B$5+$B$6)/30-IF($B$11&lt;=69,$B$12,0)+L675+M675+N675+O675</f>
        <v>4429.8152185946</v>
      </c>
      <c r="W675" s="14" t="n">
        <f aca="false">$B$4-83*($B$5+$B$6)/30-IF($B$11&lt;=83,$B$12,0)+L675+M675+N675+O675+P675</f>
        <v>6497.74525860867</v>
      </c>
      <c r="X675" s="14" t="n">
        <f aca="false">$B$4-90*($B$5+$B$6)/30-IF($B$11&lt;=90,$B$12,0)+L675+M675+N675+O675+P675+Q675</f>
        <v>9808.68801551306</v>
      </c>
      <c r="AA675" s="14" t="n">
        <f aca="false">MIN(R675:X675)</f>
        <v>1084.79855724182</v>
      </c>
    </row>
    <row r="676" customFormat="false" ht="15" hidden="false" customHeight="false" outlineLevel="0" collapsed="false">
      <c r="K676" s="2" t="n">
        <v>671</v>
      </c>
      <c r="L676" s="14" t="n">
        <f aca="true">$B$16+NORMINV(RAND(),0,SQRT($B$13*($B$7+$B$8^2))*$B$9*(1-$B$10))</f>
        <v>4184.94028705424</v>
      </c>
      <c r="M676" s="14" t="n">
        <f aca="true">$B$16+NORMINV(RAND(),0,SQRT($B$13*($B$7+$B$8^2))*$B$9*(1-$B$10))</f>
        <v>3574.41118389449</v>
      </c>
      <c r="N676" s="14" t="n">
        <f aca="true">$B$16+NORMINV(RAND(),0,SQRT($B$13*($B$7+$B$8^2))*$B$9*(1-$B$10))</f>
        <v>3721.65650554114</v>
      </c>
      <c r="O676" s="14" t="n">
        <f aca="true">$B$16+NORMINV(RAND(),0,SQRT($B$13*($B$7+$B$8^2))*$B$9*(1-$B$10))</f>
        <v>4187.6468019397</v>
      </c>
      <c r="P676" s="14" t="n">
        <f aca="true">$B$16+NORMINV(RAND(),0,SQRT($B$13*($B$7+$B$8^2))*$B$9*(1-$B$10))</f>
        <v>4245.26729511508</v>
      </c>
      <c r="Q676" s="14" t="n">
        <f aca="true">$B$16+NORMINV(RAND(),0,SQRT($B$13*($B$7+$B$8^2))*$B$9*(1-$B$10))</f>
        <v>4273.76890682586</v>
      </c>
      <c r="R676" s="14" t="n">
        <f aca="false">$B$4-13*($B$5+$B$6)/30-IF($B$11&lt;=13,$B$12,0)+0</f>
        <v>8876.66666666667</v>
      </c>
      <c r="S676" s="14" t="n">
        <f aca="false">$B$4-27*($B$5+$B$6)/30-IF($B$11&lt;=27,$B$12,0)+L676</f>
        <v>10774.9402870542</v>
      </c>
      <c r="T676" s="14" t="n">
        <f aca="false">$B$4-41*($B$5+$B$6)/30-IF($B$11&lt;=41,$B$12,0)+L676+M676</f>
        <v>877.884804282059</v>
      </c>
      <c r="U676" s="14" t="n">
        <f aca="false">$B$4-55*($B$5+$B$6)/30-IF($B$11&lt;=55,$B$12,0)+L676+M676+N676</f>
        <v>2312.87464315653</v>
      </c>
      <c r="V676" s="14" t="n">
        <f aca="false">$B$4-69*($B$5+$B$6)/30-IF($B$11&lt;=69,$B$12,0)+L676+M676+N676+O676</f>
        <v>4213.85477842956</v>
      </c>
      <c r="W676" s="14" t="n">
        <f aca="false">$B$4-83*($B$5+$B$6)/30-IF($B$11&lt;=83,$B$12,0)+L676+M676+N676+O676+P676</f>
        <v>6172.45540687798</v>
      </c>
      <c r="X676" s="14" t="n">
        <f aca="false">$B$4-90*($B$5+$B$6)/30-IF($B$11&lt;=90,$B$12,0)+L676+M676+N676+O676+P676+Q676</f>
        <v>9302.89098037051</v>
      </c>
      <c r="AA676" s="14" t="n">
        <f aca="false">MIN(R676:X676)</f>
        <v>877.884804282059</v>
      </c>
    </row>
    <row r="677" customFormat="false" ht="15" hidden="false" customHeight="false" outlineLevel="0" collapsed="false">
      <c r="K677" s="2" t="n">
        <v>672</v>
      </c>
      <c r="L677" s="14" t="n">
        <f aca="true">$B$16+NORMINV(RAND(),0,SQRT($B$13*($B$7+$B$8^2))*$B$9*(1-$B$10))</f>
        <v>4286.12168526556</v>
      </c>
      <c r="M677" s="14" t="n">
        <f aca="true">$B$16+NORMINV(RAND(),0,SQRT($B$13*($B$7+$B$8^2))*$B$9*(1-$B$10))</f>
        <v>3862.10946746293</v>
      </c>
      <c r="N677" s="14" t="n">
        <f aca="true">$B$16+NORMINV(RAND(),0,SQRT($B$13*($B$7+$B$8^2))*$B$9*(1-$B$10))</f>
        <v>4294.78038640679</v>
      </c>
      <c r="O677" s="14" t="n">
        <f aca="true">$B$16+NORMINV(RAND(),0,SQRT($B$13*($B$7+$B$8^2))*$B$9*(1-$B$10))</f>
        <v>4240.91210555183</v>
      </c>
      <c r="P677" s="14" t="n">
        <f aca="true">$B$16+NORMINV(RAND(),0,SQRT($B$13*($B$7+$B$8^2))*$B$9*(1-$B$10))</f>
        <v>4254.15882177176</v>
      </c>
      <c r="Q677" s="14" t="n">
        <f aca="true">$B$16+NORMINV(RAND(),0,SQRT($B$13*($B$7+$B$8^2))*$B$9*(1-$B$10))</f>
        <v>3740.62812064254</v>
      </c>
      <c r="R677" s="14" t="n">
        <f aca="false">$B$4-13*($B$5+$B$6)/30-IF($B$11&lt;=13,$B$12,0)+0</f>
        <v>8876.66666666667</v>
      </c>
      <c r="S677" s="14" t="n">
        <f aca="false">$B$4-27*($B$5+$B$6)/30-IF($B$11&lt;=27,$B$12,0)+L677</f>
        <v>10876.1216852656</v>
      </c>
      <c r="T677" s="14" t="n">
        <f aca="false">$B$4-41*($B$5+$B$6)/30-IF($B$11&lt;=41,$B$12,0)+L677+M677</f>
        <v>1266.76448606182</v>
      </c>
      <c r="U677" s="14" t="n">
        <f aca="false">$B$4-55*($B$5+$B$6)/30-IF($B$11&lt;=55,$B$12,0)+L677+M677+N677</f>
        <v>3274.87820580194</v>
      </c>
      <c r="V677" s="14" t="n">
        <f aca="false">$B$4-69*($B$5+$B$6)/30-IF($B$11&lt;=69,$B$12,0)+L677+M677+N677+O677</f>
        <v>5229.1236446871</v>
      </c>
      <c r="W677" s="14" t="n">
        <f aca="false">$B$4-83*($B$5+$B$6)/30-IF($B$11&lt;=83,$B$12,0)+L677+M677+N677+O677+P677</f>
        <v>7196.61579979219</v>
      </c>
      <c r="X677" s="14" t="n">
        <f aca="false">$B$4-90*($B$5+$B$6)/30-IF($B$11&lt;=90,$B$12,0)+L677+M677+N677+O677+P677+Q677</f>
        <v>9793.9105871014</v>
      </c>
      <c r="AA677" s="14" t="n">
        <f aca="false">MIN(R677:X677)</f>
        <v>1266.76448606182</v>
      </c>
    </row>
    <row r="678" customFormat="false" ht="15" hidden="false" customHeight="false" outlineLevel="0" collapsed="false">
      <c r="K678" s="2" t="n">
        <v>673</v>
      </c>
      <c r="L678" s="14" t="n">
        <f aca="true">$B$16+NORMINV(RAND(),0,SQRT($B$13*($B$7+$B$8^2))*$B$9*(1-$B$10))</f>
        <v>4166.01667660196</v>
      </c>
      <c r="M678" s="14" t="n">
        <f aca="true">$B$16+NORMINV(RAND(),0,SQRT($B$13*($B$7+$B$8^2))*$B$9*(1-$B$10))</f>
        <v>4049.81393304102</v>
      </c>
      <c r="N678" s="14" t="n">
        <f aca="true">$B$16+NORMINV(RAND(),0,SQRT($B$13*($B$7+$B$8^2))*$B$9*(1-$B$10))</f>
        <v>3918.71098146507</v>
      </c>
      <c r="O678" s="14" t="n">
        <f aca="true">$B$16+NORMINV(RAND(),0,SQRT($B$13*($B$7+$B$8^2))*$B$9*(1-$B$10))</f>
        <v>3587.19069710038</v>
      </c>
      <c r="P678" s="14" t="n">
        <f aca="true">$B$16+NORMINV(RAND(),0,SQRT($B$13*($B$7+$B$8^2))*$B$9*(1-$B$10))</f>
        <v>4476.05405624678</v>
      </c>
      <c r="Q678" s="14" t="n">
        <f aca="true">$B$16+NORMINV(RAND(),0,SQRT($B$13*($B$7+$B$8^2))*$B$9*(1-$B$10))</f>
        <v>4285.61899892045</v>
      </c>
      <c r="R678" s="14" t="n">
        <f aca="false">$B$4-13*($B$5+$B$6)/30-IF($B$11&lt;=13,$B$12,0)+0</f>
        <v>8876.66666666667</v>
      </c>
      <c r="S678" s="14" t="n">
        <f aca="false">$B$4-27*($B$5+$B$6)/30-IF($B$11&lt;=27,$B$12,0)+L678</f>
        <v>10756.016676602</v>
      </c>
      <c r="T678" s="14" t="n">
        <f aca="false">$B$4-41*($B$5+$B$6)/30-IF($B$11&lt;=41,$B$12,0)+L678+M678</f>
        <v>1334.36394297632</v>
      </c>
      <c r="U678" s="14" t="n">
        <f aca="false">$B$4-55*($B$5+$B$6)/30-IF($B$11&lt;=55,$B$12,0)+L678+M678+N678</f>
        <v>2966.40825777472</v>
      </c>
      <c r="V678" s="14" t="n">
        <f aca="false">$B$4-69*($B$5+$B$6)/30-IF($B$11&lt;=69,$B$12,0)+L678+M678+N678+O678</f>
        <v>4266.93228820843</v>
      </c>
      <c r="W678" s="14" t="n">
        <f aca="false">$B$4-83*($B$5+$B$6)/30-IF($B$11&lt;=83,$B$12,0)+L678+M678+N678+O678+P678</f>
        <v>6456.31967778854</v>
      </c>
      <c r="X678" s="14" t="n">
        <f aca="false">$B$4-90*($B$5+$B$6)/30-IF($B$11&lt;=90,$B$12,0)+L678+M678+N678+O678+P678+Q678</f>
        <v>9598.60534337566</v>
      </c>
      <c r="AA678" s="14" t="n">
        <f aca="false">MIN(R678:X678)</f>
        <v>1334.36394297632</v>
      </c>
    </row>
    <row r="679" customFormat="false" ht="15" hidden="false" customHeight="false" outlineLevel="0" collapsed="false">
      <c r="K679" s="2" t="n">
        <v>674</v>
      </c>
      <c r="L679" s="14" t="n">
        <f aca="true">$B$16+NORMINV(RAND(),0,SQRT($B$13*($B$7+$B$8^2))*$B$9*(1-$B$10))</f>
        <v>4121.36470051346</v>
      </c>
      <c r="M679" s="14" t="n">
        <f aca="true">$B$16+NORMINV(RAND(),0,SQRT($B$13*($B$7+$B$8^2))*$B$9*(1-$B$10))</f>
        <v>4367.95817588119</v>
      </c>
      <c r="N679" s="14" t="n">
        <f aca="true">$B$16+NORMINV(RAND(),0,SQRT($B$13*($B$7+$B$8^2))*$B$9*(1-$B$10))</f>
        <v>3864.14506029087</v>
      </c>
      <c r="O679" s="14" t="n">
        <f aca="true">$B$16+NORMINV(RAND(),0,SQRT($B$13*($B$7+$B$8^2))*$B$9*(1-$B$10))</f>
        <v>3831.12000256867</v>
      </c>
      <c r="P679" s="14" t="n">
        <f aca="true">$B$16+NORMINV(RAND(),0,SQRT($B$13*($B$7+$B$8^2))*$B$9*(1-$B$10))</f>
        <v>3943.66097014567</v>
      </c>
      <c r="Q679" s="14" t="n">
        <f aca="true">$B$16+NORMINV(RAND(),0,SQRT($B$13*($B$7+$B$8^2))*$B$9*(1-$B$10))</f>
        <v>4256.38157361647</v>
      </c>
      <c r="R679" s="14" t="n">
        <f aca="false">$B$4-13*($B$5+$B$6)/30-IF($B$11&lt;=13,$B$12,0)+0</f>
        <v>8876.66666666667</v>
      </c>
      <c r="S679" s="14" t="n">
        <f aca="false">$B$4-27*($B$5+$B$6)/30-IF($B$11&lt;=27,$B$12,0)+L679</f>
        <v>10711.3647005135</v>
      </c>
      <c r="T679" s="14" t="n">
        <f aca="false">$B$4-41*($B$5+$B$6)/30-IF($B$11&lt;=41,$B$12,0)+L679+M679</f>
        <v>1607.85620972798</v>
      </c>
      <c r="U679" s="14" t="n">
        <f aca="false">$B$4-55*($B$5+$B$6)/30-IF($B$11&lt;=55,$B$12,0)+L679+M679+N679</f>
        <v>3185.33460335219</v>
      </c>
      <c r="V679" s="14" t="n">
        <f aca="false">$B$4-69*($B$5+$B$6)/30-IF($B$11&lt;=69,$B$12,0)+L679+M679+N679+O679</f>
        <v>4729.78793925419</v>
      </c>
      <c r="W679" s="14" t="n">
        <f aca="false">$B$4-83*($B$5+$B$6)/30-IF($B$11&lt;=83,$B$12,0)+L679+M679+N679+O679+P679</f>
        <v>6386.7822427332</v>
      </c>
      <c r="X679" s="14" t="n">
        <f aca="false">$B$4-90*($B$5+$B$6)/30-IF($B$11&lt;=90,$B$12,0)+L679+M679+N679+O679+P679+Q679</f>
        <v>9499.83048301633</v>
      </c>
      <c r="AA679" s="14" t="n">
        <f aca="false">MIN(R679:X679)</f>
        <v>1607.85620972798</v>
      </c>
    </row>
    <row r="680" customFormat="false" ht="15" hidden="false" customHeight="false" outlineLevel="0" collapsed="false">
      <c r="K680" s="2" t="n">
        <v>675</v>
      </c>
      <c r="L680" s="14" t="n">
        <f aca="true">$B$16+NORMINV(RAND(),0,SQRT($B$13*($B$7+$B$8^2))*$B$9*(1-$B$10))</f>
        <v>4162.87985032619</v>
      </c>
      <c r="M680" s="14" t="n">
        <f aca="true">$B$16+NORMINV(RAND(),0,SQRT($B$13*($B$7+$B$8^2))*$B$9*(1-$B$10))</f>
        <v>3783.65079002693</v>
      </c>
      <c r="N680" s="14" t="n">
        <f aca="true">$B$16+NORMINV(RAND(),0,SQRT($B$13*($B$7+$B$8^2))*$B$9*(1-$B$10))</f>
        <v>4092.50294827654</v>
      </c>
      <c r="O680" s="14" t="n">
        <f aca="true">$B$16+NORMINV(RAND(),0,SQRT($B$13*($B$7+$B$8^2))*$B$9*(1-$B$10))</f>
        <v>3958.21899352828</v>
      </c>
      <c r="P680" s="14" t="n">
        <f aca="true">$B$16+NORMINV(RAND(),0,SQRT($B$13*($B$7+$B$8^2))*$B$9*(1-$B$10))</f>
        <v>3943.20253041185</v>
      </c>
      <c r="Q680" s="14" t="n">
        <f aca="true">$B$16+NORMINV(RAND(),0,SQRT($B$13*($B$7+$B$8^2))*$B$9*(1-$B$10))</f>
        <v>3987.77108582342</v>
      </c>
      <c r="R680" s="14" t="n">
        <f aca="false">$B$4-13*($B$5+$B$6)/30-IF($B$11&lt;=13,$B$12,0)+0</f>
        <v>8876.66666666667</v>
      </c>
      <c r="S680" s="14" t="n">
        <f aca="false">$B$4-27*($B$5+$B$6)/30-IF($B$11&lt;=27,$B$12,0)+L680</f>
        <v>10752.8798503262</v>
      </c>
      <c r="T680" s="14" t="n">
        <f aca="false">$B$4-41*($B$5+$B$6)/30-IF($B$11&lt;=41,$B$12,0)+L680+M680</f>
        <v>1065.06397368645</v>
      </c>
      <c r="U680" s="14" t="n">
        <f aca="false">$B$4-55*($B$5+$B$6)/30-IF($B$11&lt;=55,$B$12,0)+L680+M680+N680</f>
        <v>2870.90025529632</v>
      </c>
      <c r="V680" s="14" t="n">
        <f aca="false">$B$4-69*($B$5+$B$6)/30-IF($B$11&lt;=69,$B$12,0)+L680+M680+N680+O680</f>
        <v>4542.45258215793</v>
      </c>
      <c r="W680" s="14" t="n">
        <f aca="false">$B$4-83*($B$5+$B$6)/30-IF($B$11&lt;=83,$B$12,0)+L680+M680+N680+O680+P680</f>
        <v>6198.98844590311</v>
      </c>
      <c r="X680" s="14" t="n">
        <f aca="false">$B$4-90*($B$5+$B$6)/30-IF($B$11&lt;=90,$B$12,0)+L680+M680+N680+O680+P680+Q680</f>
        <v>9043.4261983932</v>
      </c>
      <c r="AA680" s="14" t="n">
        <f aca="false">MIN(R680:X680)</f>
        <v>1065.06397368645</v>
      </c>
    </row>
    <row r="681" customFormat="false" ht="15" hidden="false" customHeight="false" outlineLevel="0" collapsed="false">
      <c r="K681" s="2" t="n">
        <v>676</v>
      </c>
      <c r="L681" s="14" t="n">
        <f aca="true">$B$16+NORMINV(RAND(),0,SQRT($B$13*($B$7+$B$8^2))*$B$9*(1-$B$10))</f>
        <v>4809.74584038634</v>
      </c>
      <c r="M681" s="14" t="n">
        <f aca="true">$B$16+NORMINV(RAND(),0,SQRT($B$13*($B$7+$B$8^2))*$B$9*(1-$B$10))</f>
        <v>4319.77329037059</v>
      </c>
      <c r="N681" s="14" t="n">
        <f aca="true">$B$16+NORMINV(RAND(),0,SQRT($B$13*($B$7+$B$8^2))*$B$9*(1-$B$10))</f>
        <v>4252.68414964638</v>
      </c>
      <c r="O681" s="14" t="n">
        <f aca="true">$B$16+NORMINV(RAND(),0,SQRT($B$13*($B$7+$B$8^2))*$B$9*(1-$B$10))</f>
        <v>3878.61027782855</v>
      </c>
      <c r="P681" s="14" t="n">
        <f aca="true">$B$16+NORMINV(RAND(),0,SQRT($B$13*($B$7+$B$8^2))*$B$9*(1-$B$10))</f>
        <v>4620.27463183339</v>
      </c>
      <c r="Q681" s="14" t="n">
        <f aca="true">$B$16+NORMINV(RAND(),0,SQRT($B$13*($B$7+$B$8^2))*$B$9*(1-$B$10))</f>
        <v>4495.30984938071</v>
      </c>
      <c r="R681" s="14" t="n">
        <f aca="false">$B$4-13*($B$5+$B$6)/30-IF($B$11&lt;=13,$B$12,0)+0</f>
        <v>8876.66666666667</v>
      </c>
      <c r="S681" s="14" t="n">
        <f aca="false">$B$4-27*($B$5+$B$6)/30-IF($B$11&lt;=27,$B$12,0)+L681</f>
        <v>11399.7458403863</v>
      </c>
      <c r="T681" s="14" t="n">
        <f aca="false">$B$4-41*($B$5+$B$6)/30-IF($B$11&lt;=41,$B$12,0)+L681+M681</f>
        <v>2248.05246409026</v>
      </c>
      <c r="U681" s="14" t="n">
        <f aca="false">$B$4-55*($B$5+$B$6)/30-IF($B$11&lt;=55,$B$12,0)+L681+M681+N681</f>
        <v>4214.06994706997</v>
      </c>
      <c r="V681" s="14" t="n">
        <f aca="false">$B$4-69*($B$5+$B$6)/30-IF($B$11&lt;=69,$B$12,0)+L681+M681+N681+O681</f>
        <v>5806.01355823185</v>
      </c>
      <c r="W681" s="14" t="n">
        <f aca="false">$B$4-83*($B$5+$B$6)/30-IF($B$11&lt;=83,$B$12,0)+L681+M681+N681+O681+P681</f>
        <v>8139.62152339858</v>
      </c>
      <c r="X681" s="14" t="n">
        <f aca="false">$B$4-90*($B$5+$B$6)/30-IF($B$11&lt;=90,$B$12,0)+L681+M681+N681+O681+P681+Q681</f>
        <v>11491.5980394459</v>
      </c>
      <c r="AA681" s="14" t="n">
        <f aca="false">MIN(R681:X681)</f>
        <v>2248.05246409026</v>
      </c>
    </row>
    <row r="682" customFormat="false" ht="15" hidden="false" customHeight="false" outlineLevel="0" collapsed="false">
      <c r="K682" s="2" t="n">
        <v>677</v>
      </c>
      <c r="L682" s="14" t="n">
        <f aca="true">$B$16+NORMINV(RAND(),0,SQRT($B$13*($B$7+$B$8^2))*$B$9*(1-$B$10))</f>
        <v>4588.8153884099</v>
      </c>
      <c r="M682" s="14" t="n">
        <f aca="true">$B$16+NORMINV(RAND(),0,SQRT($B$13*($B$7+$B$8^2))*$B$9*(1-$B$10))</f>
        <v>3631.24672061528</v>
      </c>
      <c r="N682" s="14" t="n">
        <f aca="true">$B$16+NORMINV(RAND(),0,SQRT($B$13*($B$7+$B$8^2))*$B$9*(1-$B$10))</f>
        <v>4110.01585507615</v>
      </c>
      <c r="O682" s="14" t="n">
        <f aca="true">$B$16+NORMINV(RAND(),0,SQRT($B$13*($B$7+$B$8^2))*$B$9*(1-$B$10))</f>
        <v>3730.19134582983</v>
      </c>
      <c r="P682" s="14" t="n">
        <f aca="true">$B$16+NORMINV(RAND(),0,SQRT($B$13*($B$7+$B$8^2))*$B$9*(1-$B$10))</f>
        <v>4150.57750015138</v>
      </c>
      <c r="Q682" s="14" t="n">
        <f aca="true">$B$16+NORMINV(RAND(),0,SQRT($B$13*($B$7+$B$8^2))*$B$9*(1-$B$10))</f>
        <v>4143.29478880321</v>
      </c>
      <c r="R682" s="14" t="n">
        <f aca="false">$B$4-13*($B$5+$B$6)/30-IF($B$11&lt;=13,$B$12,0)+0</f>
        <v>8876.66666666667</v>
      </c>
      <c r="S682" s="14" t="n">
        <f aca="false">$B$4-27*($B$5+$B$6)/30-IF($B$11&lt;=27,$B$12,0)+L682</f>
        <v>11178.8153884099</v>
      </c>
      <c r="T682" s="14" t="n">
        <f aca="false">$B$4-41*($B$5+$B$6)/30-IF($B$11&lt;=41,$B$12,0)+L682+M682</f>
        <v>1338.59544235851</v>
      </c>
      <c r="U682" s="14" t="n">
        <f aca="false">$B$4-55*($B$5+$B$6)/30-IF($B$11&lt;=55,$B$12,0)+L682+M682+N682</f>
        <v>3161.944630768</v>
      </c>
      <c r="V682" s="14" t="n">
        <f aca="false">$B$4-69*($B$5+$B$6)/30-IF($B$11&lt;=69,$B$12,0)+L682+M682+N682+O682</f>
        <v>4605.46930993116</v>
      </c>
      <c r="W682" s="14" t="n">
        <f aca="false">$B$4-83*($B$5+$B$6)/30-IF($B$11&lt;=83,$B$12,0)+L682+M682+N682+O682+P682</f>
        <v>6469.38014341588</v>
      </c>
      <c r="X682" s="14" t="n">
        <f aca="false">$B$4-90*($B$5+$B$6)/30-IF($B$11&lt;=90,$B$12,0)+L682+M682+N682+O682+P682+Q682</f>
        <v>9469.34159888575</v>
      </c>
      <c r="AA682" s="14" t="n">
        <f aca="false">MIN(R682:X682)</f>
        <v>1338.59544235851</v>
      </c>
    </row>
    <row r="683" customFormat="false" ht="15" hidden="false" customHeight="false" outlineLevel="0" collapsed="false">
      <c r="K683" s="2" t="n">
        <v>678</v>
      </c>
      <c r="L683" s="14" t="n">
        <f aca="true">$B$16+NORMINV(RAND(),0,SQRT($B$13*($B$7+$B$8^2))*$B$9*(1-$B$10))</f>
        <v>4311.77298720953</v>
      </c>
      <c r="M683" s="14" t="n">
        <f aca="true">$B$16+NORMINV(RAND(),0,SQRT($B$13*($B$7+$B$8^2))*$B$9*(1-$B$10))</f>
        <v>4374.98524024355</v>
      </c>
      <c r="N683" s="14" t="n">
        <f aca="true">$B$16+NORMINV(RAND(),0,SQRT($B$13*($B$7+$B$8^2))*$B$9*(1-$B$10))</f>
        <v>3786.58307715666</v>
      </c>
      <c r="O683" s="14" t="n">
        <f aca="true">$B$16+NORMINV(RAND(),0,SQRT($B$13*($B$7+$B$8^2))*$B$9*(1-$B$10))</f>
        <v>4095.00494277976</v>
      </c>
      <c r="P683" s="14" t="n">
        <f aca="true">$B$16+NORMINV(RAND(),0,SQRT($B$13*($B$7+$B$8^2))*$B$9*(1-$B$10))</f>
        <v>3928.28420693005</v>
      </c>
      <c r="Q683" s="14" t="n">
        <f aca="true">$B$16+NORMINV(RAND(),0,SQRT($B$13*($B$7+$B$8^2))*$B$9*(1-$B$10))</f>
        <v>3879.54461361507</v>
      </c>
      <c r="R683" s="14" t="n">
        <f aca="false">$B$4-13*($B$5+$B$6)/30-IF($B$11&lt;=13,$B$12,0)+0</f>
        <v>8876.66666666667</v>
      </c>
      <c r="S683" s="14" t="n">
        <f aca="false">$B$4-27*($B$5+$B$6)/30-IF($B$11&lt;=27,$B$12,0)+L683</f>
        <v>10901.7729872095</v>
      </c>
      <c r="T683" s="14" t="n">
        <f aca="false">$B$4-41*($B$5+$B$6)/30-IF($B$11&lt;=41,$B$12,0)+L683+M683</f>
        <v>1805.2915607864</v>
      </c>
      <c r="U683" s="14" t="n">
        <f aca="false">$B$4-55*($B$5+$B$6)/30-IF($B$11&lt;=55,$B$12,0)+L683+M683+N683</f>
        <v>3305.2079712764</v>
      </c>
      <c r="V683" s="14" t="n">
        <f aca="false">$B$4-69*($B$5+$B$6)/30-IF($B$11&lt;=69,$B$12,0)+L683+M683+N683+O683</f>
        <v>5113.54624738949</v>
      </c>
      <c r="W683" s="14" t="n">
        <f aca="false">$B$4-83*($B$5+$B$6)/30-IF($B$11&lt;=83,$B$12,0)+L683+M683+N683+O683+P683</f>
        <v>6755.16378765287</v>
      </c>
      <c r="X683" s="14" t="n">
        <f aca="false">$B$4-90*($B$5+$B$6)/30-IF($B$11&lt;=90,$B$12,0)+L683+M683+N683+O683+P683+Q683</f>
        <v>9491.37506793461</v>
      </c>
      <c r="AA683" s="14" t="n">
        <f aca="false">MIN(R683:X683)</f>
        <v>1805.2915607864</v>
      </c>
    </row>
    <row r="684" customFormat="false" ht="15" hidden="false" customHeight="false" outlineLevel="0" collapsed="false">
      <c r="K684" s="2" t="n">
        <v>679</v>
      </c>
      <c r="L684" s="14" t="n">
        <f aca="true">$B$16+NORMINV(RAND(),0,SQRT($B$13*($B$7+$B$8^2))*$B$9*(1-$B$10))</f>
        <v>3496.02103582115</v>
      </c>
      <c r="M684" s="14" t="n">
        <f aca="true">$B$16+NORMINV(RAND(),0,SQRT($B$13*($B$7+$B$8^2))*$B$9*(1-$B$10))</f>
        <v>4058.96356521033</v>
      </c>
      <c r="N684" s="14" t="n">
        <f aca="true">$B$16+NORMINV(RAND(),0,SQRT($B$13*($B$7+$B$8^2))*$B$9*(1-$B$10))</f>
        <v>4132.65284377804</v>
      </c>
      <c r="O684" s="14" t="n">
        <f aca="true">$B$16+NORMINV(RAND(),0,SQRT($B$13*($B$7+$B$8^2))*$B$9*(1-$B$10))</f>
        <v>4437.66539890351</v>
      </c>
      <c r="P684" s="14" t="n">
        <f aca="true">$B$16+NORMINV(RAND(),0,SQRT($B$13*($B$7+$B$8^2))*$B$9*(1-$B$10))</f>
        <v>4396.04140655615</v>
      </c>
      <c r="Q684" s="14" t="n">
        <f aca="true">$B$16+NORMINV(RAND(),0,SQRT($B$13*($B$7+$B$8^2))*$B$9*(1-$B$10))</f>
        <v>3994.13984819811</v>
      </c>
      <c r="R684" s="14" t="n">
        <f aca="false">$B$4-13*($B$5+$B$6)/30-IF($B$11&lt;=13,$B$12,0)+0</f>
        <v>8876.66666666667</v>
      </c>
      <c r="S684" s="14" t="n">
        <f aca="false">$B$4-27*($B$5+$B$6)/30-IF($B$11&lt;=27,$B$12,0)+L684</f>
        <v>10086.0210358212</v>
      </c>
      <c r="T684" s="14" t="n">
        <f aca="false">$B$4-41*($B$5+$B$6)/30-IF($B$11&lt;=41,$B$12,0)+L684+M684</f>
        <v>673.517934364815</v>
      </c>
      <c r="U684" s="14" t="n">
        <f aca="false">$B$4-55*($B$5+$B$6)/30-IF($B$11&lt;=55,$B$12,0)+L684+M684+N684</f>
        <v>2519.50411147619</v>
      </c>
      <c r="V684" s="14" t="n">
        <f aca="false">$B$4-69*($B$5+$B$6)/30-IF($B$11&lt;=69,$B$12,0)+L684+M684+N684+O684</f>
        <v>4670.50284371303</v>
      </c>
      <c r="W684" s="14" t="n">
        <f aca="false">$B$4-83*($B$5+$B$6)/30-IF($B$11&lt;=83,$B$12,0)+L684+M684+N684+O684+P684</f>
        <v>6779.87758360252</v>
      </c>
      <c r="X684" s="14" t="n">
        <f aca="false">$B$4-90*($B$5+$B$6)/30-IF($B$11&lt;=90,$B$12,0)+L684+M684+N684+O684+P684+Q684</f>
        <v>9630.6840984673</v>
      </c>
      <c r="AA684" s="14" t="n">
        <f aca="false">MIN(R684:X684)</f>
        <v>673.517934364815</v>
      </c>
    </row>
    <row r="685" customFormat="false" ht="15" hidden="false" customHeight="false" outlineLevel="0" collapsed="false">
      <c r="K685" s="2" t="n">
        <v>680</v>
      </c>
      <c r="L685" s="14" t="n">
        <f aca="true">$B$16+NORMINV(RAND(),0,SQRT($B$13*($B$7+$B$8^2))*$B$9*(1-$B$10))</f>
        <v>3919.12834678192</v>
      </c>
      <c r="M685" s="14" t="n">
        <f aca="true">$B$16+NORMINV(RAND(),0,SQRT($B$13*($B$7+$B$8^2))*$B$9*(1-$B$10))</f>
        <v>4261.39082005097</v>
      </c>
      <c r="N685" s="14" t="n">
        <f aca="true">$B$16+NORMINV(RAND(),0,SQRT($B$13*($B$7+$B$8^2))*$B$9*(1-$B$10))</f>
        <v>3946.65838877484</v>
      </c>
      <c r="O685" s="14" t="n">
        <f aca="true">$B$16+NORMINV(RAND(),0,SQRT($B$13*($B$7+$B$8^2))*$B$9*(1-$B$10))</f>
        <v>4104.54637135157</v>
      </c>
      <c r="P685" s="14" t="n">
        <f aca="true">$B$16+NORMINV(RAND(),0,SQRT($B$13*($B$7+$B$8^2))*$B$9*(1-$B$10))</f>
        <v>4116.36358036978</v>
      </c>
      <c r="Q685" s="14" t="n">
        <f aca="true">$B$16+NORMINV(RAND(),0,SQRT($B$13*($B$7+$B$8^2))*$B$9*(1-$B$10))</f>
        <v>4240.14526697208</v>
      </c>
      <c r="R685" s="14" t="n">
        <f aca="false">$B$4-13*($B$5+$B$6)/30-IF($B$11&lt;=13,$B$12,0)+0</f>
        <v>8876.66666666667</v>
      </c>
      <c r="S685" s="14" t="n">
        <f aca="false">$B$4-27*($B$5+$B$6)/30-IF($B$11&lt;=27,$B$12,0)+L685</f>
        <v>10509.1283467819</v>
      </c>
      <c r="T685" s="14" t="n">
        <f aca="false">$B$4-41*($B$5+$B$6)/30-IF($B$11&lt;=41,$B$12,0)+L685+M685</f>
        <v>1299.05250016622</v>
      </c>
      <c r="U685" s="14" t="n">
        <f aca="false">$B$4-55*($B$5+$B$6)/30-IF($B$11&lt;=55,$B$12,0)+L685+M685+N685</f>
        <v>2959.04422227439</v>
      </c>
      <c r="V685" s="14" t="n">
        <f aca="false">$B$4-69*($B$5+$B$6)/30-IF($B$11&lt;=69,$B$12,0)+L685+M685+N685+O685</f>
        <v>4776.92392695929</v>
      </c>
      <c r="W685" s="14" t="n">
        <f aca="false">$B$4-83*($B$5+$B$6)/30-IF($B$11&lt;=83,$B$12,0)+L685+M685+N685+O685+P685</f>
        <v>6606.62084066241</v>
      </c>
      <c r="X685" s="14" t="n">
        <f aca="false">$B$4-90*($B$5+$B$6)/30-IF($B$11&lt;=90,$B$12,0)+L685+M685+N685+O685+P685+Q685</f>
        <v>9703.43277430116</v>
      </c>
      <c r="AA685" s="14" t="n">
        <f aca="false">MIN(R685:X685)</f>
        <v>1299.05250016622</v>
      </c>
    </row>
    <row r="686" customFormat="false" ht="15" hidden="false" customHeight="false" outlineLevel="0" collapsed="false">
      <c r="K686" s="2" t="n">
        <v>681</v>
      </c>
      <c r="L686" s="14" t="n">
        <f aca="true">$B$16+NORMINV(RAND(),0,SQRT($B$13*($B$7+$B$8^2))*$B$9*(1-$B$10))</f>
        <v>4064.42348980878</v>
      </c>
      <c r="M686" s="14" t="n">
        <f aca="true">$B$16+NORMINV(RAND(),0,SQRT($B$13*($B$7+$B$8^2))*$B$9*(1-$B$10))</f>
        <v>3651.08520483563</v>
      </c>
      <c r="N686" s="14" t="n">
        <f aca="true">$B$16+NORMINV(RAND(),0,SQRT($B$13*($B$7+$B$8^2))*$B$9*(1-$B$10))</f>
        <v>3727.98824122317</v>
      </c>
      <c r="O686" s="14" t="n">
        <f aca="true">$B$16+NORMINV(RAND(),0,SQRT($B$13*($B$7+$B$8^2))*$B$9*(1-$B$10))</f>
        <v>4683.74246479596</v>
      </c>
      <c r="P686" s="14" t="n">
        <f aca="true">$B$16+NORMINV(RAND(),0,SQRT($B$13*($B$7+$B$8^2))*$B$9*(1-$B$10))</f>
        <v>3442.26884552809</v>
      </c>
      <c r="Q686" s="14" t="n">
        <f aca="true">$B$16+NORMINV(RAND(),0,SQRT($B$13*($B$7+$B$8^2))*$B$9*(1-$B$10))</f>
        <v>3932.56368108324</v>
      </c>
      <c r="R686" s="14" t="n">
        <f aca="false">$B$4-13*($B$5+$B$6)/30-IF($B$11&lt;=13,$B$12,0)+0</f>
        <v>8876.66666666667</v>
      </c>
      <c r="S686" s="14" t="n">
        <f aca="false">$B$4-27*($B$5+$B$6)/30-IF($B$11&lt;=27,$B$12,0)+L686</f>
        <v>10654.4234898088</v>
      </c>
      <c r="T686" s="14" t="n">
        <f aca="false">$B$4-41*($B$5+$B$6)/30-IF($B$11&lt;=41,$B$12,0)+L686+M686</f>
        <v>834.042027977745</v>
      </c>
      <c r="U686" s="14" t="n">
        <f aca="false">$B$4-55*($B$5+$B$6)/30-IF($B$11&lt;=55,$B$12,0)+L686+M686+N686</f>
        <v>2275.36360253425</v>
      </c>
      <c r="V686" s="14" t="n">
        <f aca="false">$B$4-69*($B$5+$B$6)/30-IF($B$11&lt;=69,$B$12,0)+L686+M686+N686+O686</f>
        <v>4672.43940066354</v>
      </c>
      <c r="W686" s="14" t="n">
        <f aca="false">$B$4-83*($B$5+$B$6)/30-IF($B$11&lt;=83,$B$12,0)+L686+M686+N686+O686+P686</f>
        <v>5828.04157952497</v>
      </c>
      <c r="X686" s="14" t="n">
        <f aca="false">$B$4-90*($B$5+$B$6)/30-IF($B$11&lt;=90,$B$12,0)+L686+M686+N686+O686+P686+Q686</f>
        <v>8617.27192727487</v>
      </c>
      <c r="AA686" s="14" t="n">
        <f aca="false">MIN(R686:X686)</f>
        <v>834.042027977745</v>
      </c>
    </row>
    <row r="687" customFormat="false" ht="15" hidden="false" customHeight="false" outlineLevel="0" collapsed="false">
      <c r="K687" s="2" t="n">
        <v>682</v>
      </c>
      <c r="L687" s="14" t="n">
        <f aca="true">$B$16+NORMINV(RAND(),0,SQRT($B$13*($B$7+$B$8^2))*$B$9*(1-$B$10))</f>
        <v>4482.08335618433</v>
      </c>
      <c r="M687" s="14" t="n">
        <f aca="true">$B$16+NORMINV(RAND(),0,SQRT($B$13*($B$7+$B$8^2))*$B$9*(1-$B$10))</f>
        <v>4002.91785766855</v>
      </c>
      <c r="N687" s="14" t="n">
        <f aca="true">$B$16+NORMINV(RAND(),0,SQRT($B$13*($B$7+$B$8^2))*$B$9*(1-$B$10))</f>
        <v>3517.37596140062</v>
      </c>
      <c r="O687" s="14" t="n">
        <f aca="true">$B$16+NORMINV(RAND(),0,SQRT($B$13*($B$7+$B$8^2))*$B$9*(1-$B$10))</f>
        <v>4052.29890929966</v>
      </c>
      <c r="P687" s="14" t="n">
        <f aca="true">$B$16+NORMINV(RAND(),0,SQRT($B$13*($B$7+$B$8^2))*$B$9*(1-$B$10))</f>
        <v>4313.60811563402</v>
      </c>
      <c r="Q687" s="14" t="n">
        <f aca="true">$B$16+NORMINV(RAND(),0,SQRT($B$13*($B$7+$B$8^2))*$B$9*(1-$B$10))</f>
        <v>4393.40259187578</v>
      </c>
      <c r="R687" s="14" t="n">
        <f aca="false">$B$4-13*($B$5+$B$6)/30-IF($B$11&lt;=13,$B$12,0)+0</f>
        <v>8876.66666666667</v>
      </c>
      <c r="S687" s="14" t="n">
        <f aca="false">$B$4-27*($B$5+$B$6)/30-IF($B$11&lt;=27,$B$12,0)+L687</f>
        <v>11072.0833561843</v>
      </c>
      <c r="T687" s="14" t="n">
        <f aca="false">$B$4-41*($B$5+$B$6)/30-IF($B$11&lt;=41,$B$12,0)+L687+M687</f>
        <v>1603.53454718621</v>
      </c>
      <c r="U687" s="14" t="n">
        <f aca="false">$B$4-55*($B$5+$B$6)/30-IF($B$11&lt;=55,$B$12,0)+L687+M687+N687</f>
        <v>2834.24384192017</v>
      </c>
      <c r="V687" s="14" t="n">
        <f aca="false">$B$4-69*($B$5+$B$6)/30-IF($B$11&lt;=69,$B$12,0)+L687+M687+N687+O687</f>
        <v>4599.87608455316</v>
      </c>
      <c r="W687" s="14" t="n">
        <f aca="false">$B$4-83*($B$5+$B$6)/30-IF($B$11&lt;=83,$B$12,0)+L687+M687+N687+O687+P687</f>
        <v>6626.81753352051</v>
      </c>
      <c r="X687" s="14" t="n">
        <f aca="false">$B$4-90*($B$5+$B$6)/30-IF($B$11&lt;=90,$B$12,0)+L687+M687+N687+O687+P687+Q687</f>
        <v>9876.88679206296</v>
      </c>
      <c r="AA687" s="14" t="n">
        <f aca="false">MIN(R687:X687)</f>
        <v>1603.53454718621</v>
      </c>
    </row>
    <row r="688" customFormat="false" ht="15" hidden="false" customHeight="false" outlineLevel="0" collapsed="false">
      <c r="K688" s="2" t="n">
        <v>683</v>
      </c>
      <c r="L688" s="14" t="n">
        <f aca="true">$B$16+NORMINV(RAND(),0,SQRT($B$13*($B$7+$B$8^2))*$B$9*(1-$B$10))</f>
        <v>4180.65439276097</v>
      </c>
      <c r="M688" s="14" t="n">
        <f aca="true">$B$16+NORMINV(RAND(),0,SQRT($B$13*($B$7+$B$8^2))*$B$9*(1-$B$10))</f>
        <v>4070.23730597312</v>
      </c>
      <c r="N688" s="14" t="n">
        <f aca="true">$B$16+NORMINV(RAND(),0,SQRT($B$13*($B$7+$B$8^2))*$B$9*(1-$B$10))</f>
        <v>4133.93684037492</v>
      </c>
      <c r="O688" s="14" t="n">
        <f aca="true">$B$16+NORMINV(RAND(),0,SQRT($B$13*($B$7+$B$8^2))*$B$9*(1-$B$10))</f>
        <v>4043.56038883105</v>
      </c>
      <c r="P688" s="14" t="n">
        <f aca="true">$B$16+NORMINV(RAND(),0,SQRT($B$13*($B$7+$B$8^2))*$B$9*(1-$B$10))</f>
        <v>3925.3531197367</v>
      </c>
      <c r="Q688" s="14" t="n">
        <f aca="true">$B$16+NORMINV(RAND(),0,SQRT($B$13*($B$7+$B$8^2))*$B$9*(1-$B$10))</f>
        <v>4366.6918442365</v>
      </c>
      <c r="R688" s="14" t="n">
        <f aca="false">$B$4-13*($B$5+$B$6)/30-IF($B$11&lt;=13,$B$12,0)+0</f>
        <v>8876.66666666667</v>
      </c>
      <c r="S688" s="14" t="n">
        <f aca="false">$B$4-27*($B$5+$B$6)/30-IF($B$11&lt;=27,$B$12,0)+L688</f>
        <v>10770.654392761</v>
      </c>
      <c r="T688" s="14" t="n">
        <f aca="false">$B$4-41*($B$5+$B$6)/30-IF($B$11&lt;=41,$B$12,0)+L688+M688</f>
        <v>1369.42503206742</v>
      </c>
      <c r="U688" s="14" t="n">
        <f aca="false">$B$4-55*($B$5+$B$6)/30-IF($B$11&lt;=55,$B$12,0)+L688+M688+N688</f>
        <v>3216.69520577567</v>
      </c>
      <c r="V688" s="14" t="n">
        <f aca="false">$B$4-69*($B$5+$B$6)/30-IF($B$11&lt;=69,$B$12,0)+L688+M688+N688+O688</f>
        <v>4973.58892794005</v>
      </c>
      <c r="W688" s="14" t="n">
        <f aca="false">$B$4-83*($B$5+$B$6)/30-IF($B$11&lt;=83,$B$12,0)+L688+M688+N688+O688+P688</f>
        <v>6612.27538101009</v>
      </c>
      <c r="X688" s="14" t="n">
        <f aca="false">$B$4-90*($B$5+$B$6)/30-IF($B$11&lt;=90,$B$12,0)+L688+M688+N688+O688+P688+Q688</f>
        <v>9835.63389191325</v>
      </c>
      <c r="AA688" s="14" t="n">
        <f aca="false">MIN(R688:X688)</f>
        <v>1369.42503206742</v>
      </c>
    </row>
    <row r="689" customFormat="false" ht="15" hidden="false" customHeight="false" outlineLevel="0" collapsed="false">
      <c r="K689" s="2" t="n">
        <v>684</v>
      </c>
      <c r="L689" s="14" t="n">
        <f aca="true">$B$16+NORMINV(RAND(),0,SQRT($B$13*($B$7+$B$8^2))*$B$9*(1-$B$10))</f>
        <v>4298.20755075766</v>
      </c>
      <c r="M689" s="14" t="n">
        <f aca="true">$B$16+NORMINV(RAND(),0,SQRT($B$13*($B$7+$B$8^2))*$B$9*(1-$B$10))</f>
        <v>4610.4954810089</v>
      </c>
      <c r="N689" s="14" t="n">
        <f aca="true">$B$16+NORMINV(RAND(),0,SQRT($B$13*($B$7+$B$8^2))*$B$9*(1-$B$10))</f>
        <v>4599.91394480554</v>
      </c>
      <c r="O689" s="14" t="n">
        <f aca="true">$B$16+NORMINV(RAND(),0,SQRT($B$13*($B$7+$B$8^2))*$B$9*(1-$B$10))</f>
        <v>4256.39619062067</v>
      </c>
      <c r="P689" s="14" t="n">
        <f aca="true">$B$16+NORMINV(RAND(),0,SQRT($B$13*($B$7+$B$8^2))*$B$9*(1-$B$10))</f>
        <v>3793.12499687584</v>
      </c>
      <c r="Q689" s="14" t="n">
        <f aca="true">$B$16+NORMINV(RAND(),0,SQRT($B$13*($B$7+$B$8^2))*$B$9*(1-$B$10))</f>
        <v>4070.58797493609</v>
      </c>
      <c r="R689" s="14" t="n">
        <f aca="false">$B$4-13*($B$5+$B$6)/30-IF($B$11&lt;=13,$B$12,0)+0</f>
        <v>8876.66666666667</v>
      </c>
      <c r="S689" s="14" t="n">
        <f aca="false">$B$4-27*($B$5+$B$6)/30-IF($B$11&lt;=27,$B$12,0)+L689</f>
        <v>10888.2075507577</v>
      </c>
      <c r="T689" s="14" t="n">
        <f aca="false">$B$4-41*($B$5+$B$6)/30-IF($B$11&lt;=41,$B$12,0)+L689+M689</f>
        <v>2027.23636509989</v>
      </c>
      <c r="U689" s="14" t="n">
        <f aca="false">$B$4-55*($B$5+$B$6)/30-IF($B$11&lt;=55,$B$12,0)+L689+M689+N689</f>
        <v>4340.48364323875</v>
      </c>
      <c r="V689" s="14" t="n">
        <f aca="false">$B$4-69*($B$5+$B$6)/30-IF($B$11&lt;=69,$B$12,0)+L689+M689+N689+O689</f>
        <v>6310.21316719276</v>
      </c>
      <c r="W689" s="14" t="n">
        <f aca="false">$B$4-83*($B$5+$B$6)/30-IF($B$11&lt;=83,$B$12,0)+L689+M689+N689+O689+P689</f>
        <v>7816.67149740194</v>
      </c>
      <c r="X689" s="14" t="n">
        <f aca="false">$B$4-90*($B$5+$B$6)/30-IF($B$11&lt;=90,$B$12,0)+L689+M689+N689+O689+P689+Q689</f>
        <v>10743.9261390047</v>
      </c>
      <c r="AA689" s="14" t="n">
        <f aca="false">MIN(R689:X689)</f>
        <v>2027.23636509989</v>
      </c>
    </row>
    <row r="690" customFormat="false" ht="15" hidden="false" customHeight="false" outlineLevel="0" collapsed="false">
      <c r="K690" s="2" t="n">
        <v>685</v>
      </c>
      <c r="L690" s="14" t="n">
        <f aca="true">$B$16+NORMINV(RAND(),0,SQRT($B$13*($B$7+$B$8^2))*$B$9*(1-$B$10))</f>
        <v>4607.47800466159</v>
      </c>
      <c r="M690" s="14" t="n">
        <f aca="true">$B$16+NORMINV(RAND(),0,SQRT($B$13*($B$7+$B$8^2))*$B$9*(1-$B$10))</f>
        <v>4436.16205213386</v>
      </c>
      <c r="N690" s="14" t="n">
        <f aca="true">$B$16+NORMINV(RAND(),0,SQRT($B$13*($B$7+$B$8^2))*$B$9*(1-$B$10))</f>
        <v>4284.04347554097</v>
      </c>
      <c r="O690" s="14" t="n">
        <f aca="true">$B$16+NORMINV(RAND(),0,SQRT($B$13*($B$7+$B$8^2))*$B$9*(1-$B$10))</f>
        <v>3920.61698745877</v>
      </c>
      <c r="P690" s="14" t="n">
        <f aca="true">$B$16+NORMINV(RAND(),0,SQRT($B$13*($B$7+$B$8^2))*$B$9*(1-$B$10))</f>
        <v>4042.72625985762</v>
      </c>
      <c r="Q690" s="14" t="n">
        <f aca="true">$B$16+NORMINV(RAND(),0,SQRT($B$13*($B$7+$B$8^2))*$B$9*(1-$B$10))</f>
        <v>3904.34277439435</v>
      </c>
      <c r="R690" s="14" t="n">
        <f aca="false">$B$4-13*($B$5+$B$6)/30-IF($B$11&lt;=13,$B$12,0)+0</f>
        <v>8876.66666666667</v>
      </c>
      <c r="S690" s="14" t="n">
        <f aca="false">$B$4-27*($B$5+$B$6)/30-IF($B$11&lt;=27,$B$12,0)+L690</f>
        <v>11197.4780046616</v>
      </c>
      <c r="T690" s="14" t="n">
        <f aca="false">$B$4-41*($B$5+$B$6)/30-IF($B$11&lt;=41,$B$12,0)+L690+M690</f>
        <v>2162.17339012878</v>
      </c>
      <c r="U690" s="14" t="n">
        <f aca="false">$B$4-55*($B$5+$B$6)/30-IF($B$11&lt;=55,$B$12,0)+L690+M690+N690</f>
        <v>4159.55019900308</v>
      </c>
      <c r="V690" s="14" t="n">
        <f aca="false">$B$4-69*($B$5+$B$6)/30-IF($B$11&lt;=69,$B$12,0)+L690+M690+N690+O690</f>
        <v>5793.50051979518</v>
      </c>
      <c r="W690" s="14" t="n">
        <f aca="false">$B$4-83*($B$5+$B$6)/30-IF($B$11&lt;=83,$B$12,0)+L690+M690+N690+O690+P690</f>
        <v>7549.56011298613</v>
      </c>
      <c r="X690" s="14" t="n">
        <f aca="false">$B$4-90*($B$5+$B$6)/30-IF($B$11&lt;=90,$B$12,0)+L690+M690+N690+O690+P690+Q690</f>
        <v>10310.5695540472</v>
      </c>
      <c r="AA690" s="14" t="n">
        <f aca="false">MIN(R690:X690)</f>
        <v>2162.17339012878</v>
      </c>
    </row>
    <row r="691" customFormat="false" ht="15" hidden="false" customHeight="false" outlineLevel="0" collapsed="false">
      <c r="K691" s="2" t="n">
        <v>686</v>
      </c>
      <c r="L691" s="14" t="n">
        <f aca="true">$B$16+NORMINV(RAND(),0,SQRT($B$13*($B$7+$B$8^2))*$B$9*(1-$B$10))</f>
        <v>4979.88115749548</v>
      </c>
      <c r="M691" s="14" t="n">
        <f aca="true">$B$16+NORMINV(RAND(),0,SQRT($B$13*($B$7+$B$8^2))*$B$9*(1-$B$10))</f>
        <v>4009.90012145328</v>
      </c>
      <c r="N691" s="14" t="n">
        <f aca="true">$B$16+NORMINV(RAND(),0,SQRT($B$13*($B$7+$B$8^2))*$B$9*(1-$B$10))</f>
        <v>4165.1137355776</v>
      </c>
      <c r="O691" s="14" t="n">
        <f aca="true">$B$16+NORMINV(RAND(),0,SQRT($B$13*($B$7+$B$8^2))*$B$9*(1-$B$10))</f>
        <v>4295.694079957</v>
      </c>
      <c r="P691" s="14" t="n">
        <f aca="true">$B$16+NORMINV(RAND(),0,SQRT($B$13*($B$7+$B$8^2))*$B$9*(1-$B$10))</f>
        <v>4299.43366181745</v>
      </c>
      <c r="Q691" s="14" t="n">
        <f aca="true">$B$16+NORMINV(RAND(),0,SQRT($B$13*($B$7+$B$8^2))*$B$9*(1-$B$10))</f>
        <v>4223.34439720985</v>
      </c>
      <c r="R691" s="14" t="n">
        <f aca="false">$B$4-13*($B$5+$B$6)/30-IF($B$11&lt;=13,$B$12,0)+0</f>
        <v>8876.66666666667</v>
      </c>
      <c r="S691" s="14" t="n">
        <f aca="false">$B$4-27*($B$5+$B$6)/30-IF($B$11&lt;=27,$B$12,0)+L691</f>
        <v>11569.8811574955</v>
      </c>
      <c r="T691" s="14" t="n">
        <f aca="false">$B$4-41*($B$5+$B$6)/30-IF($B$11&lt;=41,$B$12,0)+L691+M691</f>
        <v>2108.3146122821</v>
      </c>
      <c r="U691" s="14" t="n">
        <f aca="false">$B$4-55*($B$5+$B$6)/30-IF($B$11&lt;=55,$B$12,0)+L691+M691+N691</f>
        <v>3986.76168119304</v>
      </c>
      <c r="V691" s="14" t="n">
        <f aca="false">$B$4-69*($B$5+$B$6)/30-IF($B$11&lt;=69,$B$12,0)+L691+M691+N691+O691</f>
        <v>5995.78909448337</v>
      </c>
      <c r="W691" s="14" t="n">
        <f aca="false">$B$4-83*($B$5+$B$6)/30-IF($B$11&lt;=83,$B$12,0)+L691+M691+N691+O691+P691</f>
        <v>8008.55608963416</v>
      </c>
      <c r="X691" s="14" t="n">
        <f aca="false">$B$4-90*($B$5+$B$6)/30-IF($B$11&lt;=90,$B$12,0)+L691+M691+N691+O691+P691+Q691</f>
        <v>11088.5671535107</v>
      </c>
      <c r="AA691" s="14" t="n">
        <f aca="false">MIN(R691:X691)</f>
        <v>2108.3146122821</v>
      </c>
    </row>
    <row r="692" customFormat="false" ht="15" hidden="false" customHeight="false" outlineLevel="0" collapsed="false">
      <c r="K692" s="2" t="n">
        <v>687</v>
      </c>
      <c r="L692" s="14" t="n">
        <f aca="true">$B$16+NORMINV(RAND(),0,SQRT($B$13*($B$7+$B$8^2))*$B$9*(1-$B$10))</f>
        <v>4207.9517209416</v>
      </c>
      <c r="M692" s="14" t="n">
        <f aca="true">$B$16+NORMINV(RAND(),0,SQRT($B$13*($B$7+$B$8^2))*$B$9*(1-$B$10))</f>
        <v>3964.7338074917</v>
      </c>
      <c r="N692" s="14" t="n">
        <f aca="true">$B$16+NORMINV(RAND(),0,SQRT($B$13*($B$7+$B$8^2))*$B$9*(1-$B$10))</f>
        <v>3841.29649054491</v>
      </c>
      <c r="O692" s="14" t="n">
        <f aca="true">$B$16+NORMINV(RAND(),0,SQRT($B$13*($B$7+$B$8^2))*$B$9*(1-$B$10))</f>
        <v>4231.57802517883</v>
      </c>
      <c r="P692" s="14" t="n">
        <f aca="true">$B$16+NORMINV(RAND(),0,SQRT($B$13*($B$7+$B$8^2))*$B$9*(1-$B$10))</f>
        <v>4445.0999356208</v>
      </c>
      <c r="Q692" s="14" t="n">
        <f aca="true">$B$16+NORMINV(RAND(),0,SQRT($B$13*($B$7+$B$8^2))*$B$9*(1-$B$10))</f>
        <v>4185.92080651957</v>
      </c>
      <c r="R692" s="14" t="n">
        <f aca="false">$B$4-13*($B$5+$B$6)/30-IF($B$11&lt;=13,$B$12,0)+0</f>
        <v>8876.66666666667</v>
      </c>
      <c r="S692" s="14" t="n">
        <f aca="false">$B$4-27*($B$5+$B$6)/30-IF($B$11&lt;=27,$B$12,0)+L692</f>
        <v>10797.9517209416</v>
      </c>
      <c r="T692" s="14" t="n">
        <f aca="false">$B$4-41*($B$5+$B$6)/30-IF($B$11&lt;=41,$B$12,0)+L692+M692</f>
        <v>1291.21886176663</v>
      </c>
      <c r="U692" s="14" t="n">
        <f aca="false">$B$4-55*($B$5+$B$6)/30-IF($B$11&lt;=55,$B$12,0)+L692+M692+N692</f>
        <v>2845.84868564488</v>
      </c>
      <c r="V692" s="14" t="n">
        <f aca="false">$B$4-69*($B$5+$B$6)/30-IF($B$11&lt;=69,$B$12,0)+L692+M692+N692+O692</f>
        <v>4790.76004415704</v>
      </c>
      <c r="W692" s="14" t="n">
        <f aca="false">$B$4-83*($B$5+$B$6)/30-IF($B$11&lt;=83,$B$12,0)+L692+M692+N692+O692+P692</f>
        <v>6949.19331311117</v>
      </c>
      <c r="X692" s="14" t="n">
        <f aca="false">$B$4-90*($B$5+$B$6)/30-IF($B$11&lt;=90,$B$12,0)+L692+M692+N692+O692+P692+Q692</f>
        <v>9991.7807862974</v>
      </c>
      <c r="AA692" s="14" t="n">
        <f aca="false">MIN(R692:X692)</f>
        <v>1291.21886176663</v>
      </c>
    </row>
    <row r="693" customFormat="false" ht="15" hidden="false" customHeight="false" outlineLevel="0" collapsed="false">
      <c r="K693" s="2" t="n">
        <v>688</v>
      </c>
      <c r="L693" s="14" t="n">
        <f aca="true">$B$16+NORMINV(RAND(),0,SQRT($B$13*($B$7+$B$8^2))*$B$9*(1-$B$10))</f>
        <v>4134.40136241289</v>
      </c>
      <c r="M693" s="14" t="n">
        <f aca="true">$B$16+NORMINV(RAND(),0,SQRT($B$13*($B$7+$B$8^2))*$B$9*(1-$B$10))</f>
        <v>4050.49667610171</v>
      </c>
      <c r="N693" s="14" t="n">
        <f aca="true">$B$16+NORMINV(RAND(),0,SQRT($B$13*($B$7+$B$8^2))*$B$9*(1-$B$10))</f>
        <v>4148.26706672499</v>
      </c>
      <c r="O693" s="14" t="n">
        <f aca="true">$B$16+NORMINV(RAND(),0,SQRT($B$13*($B$7+$B$8^2))*$B$9*(1-$B$10))</f>
        <v>3380.55481111443</v>
      </c>
      <c r="P693" s="14" t="n">
        <f aca="true">$B$16+NORMINV(RAND(),0,SQRT($B$13*($B$7+$B$8^2))*$B$9*(1-$B$10))</f>
        <v>3671.57361515704</v>
      </c>
      <c r="Q693" s="14" t="n">
        <f aca="true">$B$16+NORMINV(RAND(),0,SQRT($B$13*($B$7+$B$8^2))*$B$9*(1-$B$10))</f>
        <v>3991.1367599454</v>
      </c>
      <c r="R693" s="14" t="n">
        <f aca="false">$B$4-13*($B$5+$B$6)/30-IF($B$11&lt;=13,$B$12,0)+0</f>
        <v>8876.66666666667</v>
      </c>
      <c r="S693" s="14" t="n">
        <f aca="false">$B$4-27*($B$5+$B$6)/30-IF($B$11&lt;=27,$B$12,0)+L693</f>
        <v>10724.4013624129</v>
      </c>
      <c r="T693" s="14" t="n">
        <f aca="false">$B$4-41*($B$5+$B$6)/30-IF($B$11&lt;=41,$B$12,0)+L693+M693</f>
        <v>1303.43137184793</v>
      </c>
      <c r="U693" s="14" t="n">
        <f aca="false">$B$4-55*($B$5+$B$6)/30-IF($B$11&lt;=55,$B$12,0)+L693+M693+N693</f>
        <v>3165.03177190626</v>
      </c>
      <c r="V693" s="14" t="n">
        <f aca="false">$B$4-69*($B$5+$B$6)/30-IF($B$11&lt;=69,$B$12,0)+L693+M693+N693+O693</f>
        <v>4258.91991635402</v>
      </c>
      <c r="W693" s="14" t="n">
        <f aca="false">$B$4-83*($B$5+$B$6)/30-IF($B$11&lt;=83,$B$12,0)+L693+M693+N693+O693+P693</f>
        <v>5643.82686484439</v>
      </c>
      <c r="X693" s="14" t="n">
        <f aca="false">$B$4-90*($B$5+$B$6)/30-IF($B$11&lt;=90,$B$12,0)+L693+M693+N693+O693+P693+Q693</f>
        <v>8491.63029145645</v>
      </c>
      <c r="AA693" s="14" t="n">
        <f aca="false">MIN(R693:X693)</f>
        <v>1303.43137184793</v>
      </c>
    </row>
    <row r="694" customFormat="false" ht="15" hidden="false" customHeight="false" outlineLevel="0" collapsed="false">
      <c r="K694" s="2" t="n">
        <v>689</v>
      </c>
      <c r="L694" s="14" t="n">
        <f aca="true">$B$16+NORMINV(RAND(),0,SQRT($B$13*($B$7+$B$8^2))*$B$9*(1-$B$10))</f>
        <v>4189.02889767267</v>
      </c>
      <c r="M694" s="14" t="n">
        <f aca="true">$B$16+NORMINV(RAND(),0,SQRT($B$13*($B$7+$B$8^2))*$B$9*(1-$B$10))</f>
        <v>3924.34035742111</v>
      </c>
      <c r="N694" s="14" t="n">
        <f aca="true">$B$16+NORMINV(RAND(),0,SQRT($B$13*($B$7+$B$8^2))*$B$9*(1-$B$10))</f>
        <v>3730.78739564505</v>
      </c>
      <c r="O694" s="14" t="n">
        <f aca="true">$B$16+NORMINV(RAND(),0,SQRT($B$13*($B$7+$B$8^2))*$B$9*(1-$B$10))</f>
        <v>3758.25030465813</v>
      </c>
      <c r="P694" s="14" t="n">
        <f aca="true">$B$16+NORMINV(RAND(),0,SQRT($B$13*($B$7+$B$8^2))*$B$9*(1-$B$10))</f>
        <v>4379.00262326178</v>
      </c>
      <c r="Q694" s="14" t="n">
        <f aca="true">$B$16+NORMINV(RAND(),0,SQRT($B$13*($B$7+$B$8^2))*$B$9*(1-$B$10))</f>
        <v>3553.68431810352</v>
      </c>
      <c r="R694" s="14" t="n">
        <f aca="false">$B$4-13*($B$5+$B$6)/30-IF($B$11&lt;=13,$B$12,0)+0</f>
        <v>8876.66666666667</v>
      </c>
      <c r="S694" s="14" t="n">
        <f aca="false">$B$4-27*($B$5+$B$6)/30-IF($B$11&lt;=27,$B$12,0)+L694</f>
        <v>10779.0288976727</v>
      </c>
      <c r="T694" s="14" t="n">
        <f aca="false">$B$4-41*($B$5+$B$6)/30-IF($B$11&lt;=41,$B$12,0)+L694+M694</f>
        <v>1231.90258842711</v>
      </c>
      <c r="U694" s="14" t="n">
        <f aca="false">$B$4-55*($B$5+$B$6)/30-IF($B$11&lt;=55,$B$12,0)+L694+M694+N694</f>
        <v>2676.02331740549</v>
      </c>
      <c r="V694" s="14" t="n">
        <f aca="false">$B$4-69*($B$5+$B$6)/30-IF($B$11&lt;=69,$B$12,0)+L694+M694+N694+O694</f>
        <v>4147.60695539695</v>
      </c>
      <c r="W694" s="14" t="n">
        <f aca="false">$B$4-83*($B$5+$B$6)/30-IF($B$11&lt;=83,$B$12,0)+L694+M694+N694+O694+P694</f>
        <v>6239.94291199206</v>
      </c>
      <c r="X694" s="14" t="n">
        <f aca="false">$B$4-90*($B$5+$B$6)/30-IF($B$11&lt;=90,$B$12,0)+L694+M694+N694+O694+P694+Q694</f>
        <v>8650.29389676225</v>
      </c>
      <c r="AA694" s="14" t="n">
        <f aca="false">MIN(R694:X694)</f>
        <v>1231.90258842711</v>
      </c>
    </row>
    <row r="695" customFormat="false" ht="15" hidden="false" customHeight="false" outlineLevel="0" collapsed="false">
      <c r="K695" s="2" t="n">
        <v>690</v>
      </c>
      <c r="L695" s="14" t="n">
        <f aca="true">$B$16+NORMINV(RAND(),0,SQRT($B$13*($B$7+$B$8^2))*$B$9*(1-$B$10))</f>
        <v>3651.28951376489</v>
      </c>
      <c r="M695" s="14" t="n">
        <f aca="true">$B$16+NORMINV(RAND(),0,SQRT($B$13*($B$7+$B$8^2))*$B$9*(1-$B$10))</f>
        <v>3758.0274678109</v>
      </c>
      <c r="N695" s="14" t="n">
        <f aca="true">$B$16+NORMINV(RAND(),0,SQRT($B$13*($B$7+$B$8^2))*$B$9*(1-$B$10))</f>
        <v>4384.71628517227</v>
      </c>
      <c r="O695" s="14" t="n">
        <f aca="true">$B$16+NORMINV(RAND(),0,SQRT($B$13*($B$7+$B$8^2))*$B$9*(1-$B$10))</f>
        <v>3415.14622307839</v>
      </c>
      <c r="P695" s="14" t="n">
        <f aca="true">$B$16+NORMINV(RAND(),0,SQRT($B$13*($B$7+$B$8^2))*$B$9*(1-$B$10))</f>
        <v>3643.01776908138</v>
      </c>
      <c r="Q695" s="14" t="n">
        <f aca="true">$B$16+NORMINV(RAND(),0,SQRT($B$13*($B$7+$B$8^2))*$B$9*(1-$B$10))</f>
        <v>4365.9769634646</v>
      </c>
      <c r="R695" s="14" t="n">
        <f aca="false">$B$4-13*($B$5+$B$6)/30-IF($B$11&lt;=13,$B$12,0)+0</f>
        <v>8876.66666666667</v>
      </c>
      <c r="S695" s="14" t="n">
        <f aca="false">$B$4-27*($B$5+$B$6)/30-IF($B$11&lt;=27,$B$12,0)+L695</f>
        <v>10241.2895137649</v>
      </c>
      <c r="T695" s="14" t="n">
        <f aca="false">$B$4-41*($B$5+$B$6)/30-IF($B$11&lt;=41,$B$12,0)+L695+M695</f>
        <v>527.850314909127</v>
      </c>
      <c r="U695" s="14" t="n">
        <f aca="false">$B$4-55*($B$5+$B$6)/30-IF($B$11&lt;=55,$B$12,0)+L695+M695+N695</f>
        <v>2625.89993341472</v>
      </c>
      <c r="V695" s="14" t="n">
        <f aca="false">$B$4-69*($B$5+$B$6)/30-IF($B$11&lt;=69,$B$12,0)+L695+M695+N695+O695</f>
        <v>3754.37948982645</v>
      </c>
      <c r="W695" s="14" t="n">
        <f aca="false">$B$4-83*($B$5+$B$6)/30-IF($B$11&lt;=83,$B$12,0)+L695+M695+N695+O695+P695</f>
        <v>5110.73059224116</v>
      </c>
      <c r="X695" s="14" t="n">
        <f aca="false">$B$4-90*($B$5+$B$6)/30-IF($B$11&lt;=90,$B$12,0)+L695+M695+N695+O695+P695+Q695</f>
        <v>8333.37422237242</v>
      </c>
      <c r="AA695" s="14" t="n">
        <f aca="false">MIN(R695:X695)</f>
        <v>527.850314909127</v>
      </c>
    </row>
    <row r="696" customFormat="false" ht="15" hidden="false" customHeight="false" outlineLevel="0" collapsed="false">
      <c r="K696" s="2" t="n">
        <v>691</v>
      </c>
      <c r="L696" s="14" t="n">
        <f aca="true">$B$16+NORMINV(RAND(),0,SQRT($B$13*($B$7+$B$8^2))*$B$9*(1-$B$10))</f>
        <v>3873.39113899187</v>
      </c>
      <c r="M696" s="14" t="n">
        <f aca="true">$B$16+NORMINV(RAND(),0,SQRT($B$13*($B$7+$B$8^2))*$B$9*(1-$B$10))</f>
        <v>3732.23982605186</v>
      </c>
      <c r="N696" s="14" t="n">
        <f aca="true">$B$16+NORMINV(RAND(),0,SQRT($B$13*($B$7+$B$8^2))*$B$9*(1-$B$10))</f>
        <v>3378.12517530733</v>
      </c>
      <c r="O696" s="14" t="n">
        <f aca="true">$B$16+NORMINV(RAND(),0,SQRT($B$13*($B$7+$B$8^2))*$B$9*(1-$B$10))</f>
        <v>3735.29971386662</v>
      </c>
      <c r="P696" s="14" t="n">
        <f aca="true">$B$16+NORMINV(RAND(),0,SQRT($B$13*($B$7+$B$8^2))*$B$9*(1-$B$10))</f>
        <v>4256.08488156209</v>
      </c>
      <c r="Q696" s="14" t="n">
        <f aca="true">$B$16+NORMINV(RAND(),0,SQRT($B$13*($B$7+$B$8^2))*$B$9*(1-$B$10))</f>
        <v>4286.79465284957</v>
      </c>
      <c r="R696" s="14" t="n">
        <f aca="false">$B$4-13*($B$5+$B$6)/30-IF($B$11&lt;=13,$B$12,0)+0</f>
        <v>8876.66666666667</v>
      </c>
      <c r="S696" s="14" t="n">
        <f aca="false">$B$4-27*($B$5+$B$6)/30-IF($B$11&lt;=27,$B$12,0)+L696</f>
        <v>10463.3911389919</v>
      </c>
      <c r="T696" s="14" t="n">
        <f aca="false">$B$4-41*($B$5+$B$6)/30-IF($B$11&lt;=41,$B$12,0)+L696+M696</f>
        <v>724.164298377056</v>
      </c>
      <c r="U696" s="14" t="n">
        <f aca="false">$B$4-55*($B$5+$B$6)/30-IF($B$11&lt;=55,$B$12,0)+L696+M696+N696</f>
        <v>1815.62280701772</v>
      </c>
      <c r="V696" s="14" t="n">
        <f aca="false">$B$4-69*($B$5+$B$6)/30-IF($B$11&lt;=69,$B$12,0)+L696+M696+N696+O696</f>
        <v>3264.25585421768</v>
      </c>
      <c r="W696" s="14" t="n">
        <f aca="false">$B$4-83*($B$5+$B$6)/30-IF($B$11&lt;=83,$B$12,0)+L696+M696+N696+O696+P696</f>
        <v>5233.6740691131</v>
      </c>
      <c r="X696" s="14" t="n">
        <f aca="false">$B$4-90*($B$5+$B$6)/30-IF($B$11&lt;=90,$B$12,0)+L696+M696+N696+O696+P696+Q696</f>
        <v>8377.13538862934</v>
      </c>
      <c r="AA696" s="14" t="n">
        <f aca="false">MIN(R696:X696)</f>
        <v>724.164298377056</v>
      </c>
    </row>
    <row r="697" customFormat="false" ht="15" hidden="false" customHeight="false" outlineLevel="0" collapsed="false">
      <c r="K697" s="2" t="n">
        <v>692</v>
      </c>
      <c r="L697" s="14" t="n">
        <f aca="true">$B$16+NORMINV(RAND(),0,SQRT($B$13*($B$7+$B$8^2))*$B$9*(1-$B$10))</f>
        <v>4282.16435884143</v>
      </c>
      <c r="M697" s="14" t="n">
        <f aca="true">$B$16+NORMINV(RAND(),0,SQRT($B$13*($B$7+$B$8^2))*$B$9*(1-$B$10))</f>
        <v>4201.10719264722</v>
      </c>
      <c r="N697" s="14" t="n">
        <f aca="true">$B$16+NORMINV(RAND(),0,SQRT($B$13*($B$7+$B$8^2))*$B$9*(1-$B$10))</f>
        <v>3593.1498534249</v>
      </c>
      <c r="O697" s="14" t="n">
        <f aca="true">$B$16+NORMINV(RAND(),0,SQRT($B$13*($B$7+$B$8^2))*$B$9*(1-$B$10))</f>
        <v>3686.55014008711</v>
      </c>
      <c r="P697" s="14" t="n">
        <f aca="true">$B$16+NORMINV(RAND(),0,SQRT($B$13*($B$7+$B$8^2))*$B$9*(1-$B$10))</f>
        <v>3659.12106396849</v>
      </c>
      <c r="Q697" s="14" t="n">
        <f aca="true">$B$16+NORMINV(RAND(),0,SQRT($B$13*($B$7+$B$8^2))*$B$9*(1-$B$10))</f>
        <v>3817.24582115115</v>
      </c>
      <c r="R697" s="14" t="n">
        <f aca="false">$B$4-13*($B$5+$B$6)/30-IF($B$11&lt;=13,$B$12,0)+0</f>
        <v>8876.66666666667</v>
      </c>
      <c r="S697" s="14" t="n">
        <f aca="false">$B$4-27*($B$5+$B$6)/30-IF($B$11&lt;=27,$B$12,0)+L697</f>
        <v>10872.1643588414</v>
      </c>
      <c r="T697" s="14" t="n">
        <f aca="false">$B$4-41*($B$5+$B$6)/30-IF($B$11&lt;=41,$B$12,0)+L697+M697</f>
        <v>1601.80488482199</v>
      </c>
      <c r="U697" s="14" t="n">
        <f aca="false">$B$4-55*($B$5+$B$6)/30-IF($B$11&lt;=55,$B$12,0)+L697+M697+N697</f>
        <v>2908.28807158022</v>
      </c>
      <c r="V697" s="14" t="n">
        <f aca="false">$B$4-69*($B$5+$B$6)/30-IF($B$11&lt;=69,$B$12,0)+L697+M697+N697+O697</f>
        <v>4308.17154500066</v>
      </c>
      <c r="W697" s="14" t="n">
        <f aca="false">$B$4-83*($B$5+$B$6)/30-IF($B$11&lt;=83,$B$12,0)+L697+M697+N697+O697+P697</f>
        <v>5680.62594230249</v>
      </c>
      <c r="X697" s="14" t="n">
        <f aca="false">$B$4-90*($B$5+$B$6)/30-IF($B$11&lt;=90,$B$12,0)+L697+M697+N697+O697+P697+Q697</f>
        <v>8354.5384301203</v>
      </c>
      <c r="AA697" s="14" t="n">
        <f aca="false">MIN(R697:X697)</f>
        <v>1601.80488482199</v>
      </c>
    </row>
    <row r="698" customFormat="false" ht="15" hidden="false" customHeight="false" outlineLevel="0" collapsed="false">
      <c r="K698" s="2" t="n">
        <v>693</v>
      </c>
      <c r="L698" s="14" t="n">
        <f aca="true">$B$16+NORMINV(RAND(),0,SQRT($B$13*($B$7+$B$8^2))*$B$9*(1-$B$10))</f>
        <v>3939.85058529887</v>
      </c>
      <c r="M698" s="14" t="n">
        <f aca="true">$B$16+NORMINV(RAND(),0,SQRT($B$13*($B$7+$B$8^2))*$B$9*(1-$B$10))</f>
        <v>4524.35185291805</v>
      </c>
      <c r="N698" s="14" t="n">
        <f aca="true">$B$16+NORMINV(RAND(),0,SQRT($B$13*($B$7+$B$8^2))*$B$9*(1-$B$10))</f>
        <v>4244.6185883987</v>
      </c>
      <c r="O698" s="14" t="n">
        <f aca="true">$B$16+NORMINV(RAND(),0,SQRT($B$13*($B$7+$B$8^2))*$B$9*(1-$B$10))</f>
        <v>4101.13896644627</v>
      </c>
      <c r="P698" s="14" t="n">
        <f aca="true">$B$16+NORMINV(RAND(),0,SQRT($B$13*($B$7+$B$8^2))*$B$9*(1-$B$10))</f>
        <v>4265.38503183202</v>
      </c>
      <c r="Q698" s="14" t="n">
        <f aca="true">$B$16+NORMINV(RAND(),0,SQRT($B$13*($B$7+$B$8^2))*$B$9*(1-$B$10))</f>
        <v>3776.24004204716</v>
      </c>
      <c r="R698" s="14" t="n">
        <f aca="false">$B$4-13*($B$5+$B$6)/30-IF($B$11&lt;=13,$B$12,0)+0</f>
        <v>8876.66666666667</v>
      </c>
      <c r="S698" s="14" t="n">
        <f aca="false">$B$4-27*($B$5+$B$6)/30-IF($B$11&lt;=27,$B$12,0)+L698</f>
        <v>10529.8505852989</v>
      </c>
      <c r="T698" s="14" t="n">
        <f aca="false">$B$4-41*($B$5+$B$6)/30-IF($B$11&lt;=41,$B$12,0)+L698+M698</f>
        <v>1582.73577155025</v>
      </c>
      <c r="U698" s="14" t="n">
        <f aca="false">$B$4-55*($B$5+$B$6)/30-IF($B$11&lt;=55,$B$12,0)+L698+M698+N698</f>
        <v>3540.68769328228</v>
      </c>
      <c r="V698" s="14" t="n">
        <f aca="false">$B$4-69*($B$5+$B$6)/30-IF($B$11&lt;=69,$B$12,0)+L698+M698+N698+O698</f>
        <v>5355.15999306188</v>
      </c>
      <c r="W698" s="14" t="n">
        <f aca="false">$B$4-83*($B$5+$B$6)/30-IF($B$11&lt;=83,$B$12,0)+L698+M698+N698+O698+P698</f>
        <v>7333.87835822723</v>
      </c>
      <c r="X698" s="14" t="n">
        <f aca="false">$B$4-90*($B$5+$B$6)/30-IF($B$11&lt;=90,$B$12,0)+L698+M698+N698+O698+P698+Q698</f>
        <v>9966.78506694106</v>
      </c>
      <c r="AA698" s="14" t="n">
        <f aca="false">MIN(R698:X698)</f>
        <v>1582.73577155025</v>
      </c>
    </row>
    <row r="699" customFormat="false" ht="15" hidden="false" customHeight="false" outlineLevel="0" collapsed="false">
      <c r="K699" s="2" t="n">
        <v>694</v>
      </c>
      <c r="L699" s="14" t="n">
        <f aca="true">$B$16+NORMINV(RAND(),0,SQRT($B$13*($B$7+$B$8^2))*$B$9*(1-$B$10))</f>
        <v>4273.41685950503</v>
      </c>
      <c r="M699" s="14" t="n">
        <f aca="true">$B$16+NORMINV(RAND(),0,SQRT($B$13*($B$7+$B$8^2))*$B$9*(1-$B$10))</f>
        <v>4141.41214564559</v>
      </c>
      <c r="N699" s="14" t="n">
        <f aca="true">$B$16+NORMINV(RAND(),0,SQRT($B$13*($B$7+$B$8^2))*$B$9*(1-$B$10))</f>
        <v>4424.16617162305</v>
      </c>
      <c r="O699" s="14" t="n">
        <f aca="true">$B$16+NORMINV(RAND(),0,SQRT($B$13*($B$7+$B$8^2))*$B$9*(1-$B$10))</f>
        <v>4094.92747075941</v>
      </c>
      <c r="P699" s="14" t="n">
        <f aca="true">$B$16+NORMINV(RAND(),0,SQRT($B$13*($B$7+$B$8^2))*$B$9*(1-$B$10))</f>
        <v>3479.70529091804</v>
      </c>
      <c r="Q699" s="14" t="n">
        <f aca="true">$B$16+NORMINV(RAND(),0,SQRT($B$13*($B$7+$B$8^2))*$B$9*(1-$B$10))</f>
        <v>4201.96684365733</v>
      </c>
      <c r="R699" s="14" t="n">
        <f aca="false">$B$4-13*($B$5+$B$6)/30-IF($B$11&lt;=13,$B$12,0)+0</f>
        <v>8876.66666666667</v>
      </c>
      <c r="S699" s="14" t="n">
        <f aca="false">$B$4-27*($B$5+$B$6)/30-IF($B$11&lt;=27,$B$12,0)+L699</f>
        <v>10863.416859505</v>
      </c>
      <c r="T699" s="14" t="n">
        <f aca="false">$B$4-41*($B$5+$B$6)/30-IF($B$11&lt;=41,$B$12,0)+L699+M699</f>
        <v>1533.36233848395</v>
      </c>
      <c r="U699" s="14" t="n">
        <f aca="false">$B$4-55*($B$5+$B$6)/30-IF($B$11&lt;=55,$B$12,0)+L699+M699+N699</f>
        <v>3670.86184344032</v>
      </c>
      <c r="V699" s="14" t="n">
        <f aca="false">$B$4-69*($B$5+$B$6)/30-IF($B$11&lt;=69,$B$12,0)+L699+M699+N699+O699</f>
        <v>5479.12264753307</v>
      </c>
      <c r="W699" s="14" t="n">
        <f aca="false">$B$4-83*($B$5+$B$6)/30-IF($B$11&lt;=83,$B$12,0)+L699+M699+N699+O699+P699</f>
        <v>6672.16127178444</v>
      </c>
      <c r="X699" s="14" t="n">
        <f aca="false">$B$4-90*($B$5+$B$6)/30-IF($B$11&lt;=90,$B$12,0)+L699+M699+N699+O699+P699+Q699</f>
        <v>9730.79478210843</v>
      </c>
      <c r="AA699" s="14" t="n">
        <f aca="false">MIN(R699:X699)</f>
        <v>1533.36233848395</v>
      </c>
    </row>
    <row r="700" customFormat="false" ht="15" hidden="false" customHeight="false" outlineLevel="0" collapsed="false">
      <c r="K700" s="2" t="n">
        <v>695</v>
      </c>
      <c r="L700" s="14" t="n">
        <f aca="true">$B$16+NORMINV(RAND(),0,SQRT($B$13*($B$7+$B$8^2))*$B$9*(1-$B$10))</f>
        <v>4061.17693566296</v>
      </c>
      <c r="M700" s="14" t="n">
        <f aca="true">$B$16+NORMINV(RAND(),0,SQRT($B$13*($B$7+$B$8^2))*$B$9*(1-$B$10))</f>
        <v>3620.56525763178</v>
      </c>
      <c r="N700" s="14" t="n">
        <f aca="true">$B$16+NORMINV(RAND(),0,SQRT($B$13*($B$7+$B$8^2))*$B$9*(1-$B$10))</f>
        <v>4219.17554512954</v>
      </c>
      <c r="O700" s="14" t="n">
        <f aca="true">$B$16+NORMINV(RAND(),0,SQRT($B$13*($B$7+$B$8^2))*$B$9*(1-$B$10))</f>
        <v>4049.349201839</v>
      </c>
      <c r="P700" s="14" t="n">
        <f aca="true">$B$16+NORMINV(RAND(),0,SQRT($B$13*($B$7+$B$8^2))*$B$9*(1-$B$10))</f>
        <v>3943.31035543195</v>
      </c>
      <c r="Q700" s="14" t="n">
        <f aca="true">$B$16+NORMINV(RAND(),0,SQRT($B$13*($B$7+$B$8^2))*$B$9*(1-$B$10))</f>
        <v>3854.93459049484</v>
      </c>
      <c r="R700" s="14" t="n">
        <f aca="false">$B$4-13*($B$5+$B$6)/30-IF($B$11&lt;=13,$B$12,0)+0</f>
        <v>8876.66666666667</v>
      </c>
      <c r="S700" s="14" t="n">
        <f aca="false">$B$4-27*($B$5+$B$6)/30-IF($B$11&lt;=27,$B$12,0)+L700</f>
        <v>10651.176935663</v>
      </c>
      <c r="T700" s="14" t="n">
        <f aca="false">$B$4-41*($B$5+$B$6)/30-IF($B$11&lt;=41,$B$12,0)+L700+M700</f>
        <v>800.275526628066</v>
      </c>
      <c r="U700" s="14" t="n">
        <f aca="false">$B$4-55*($B$5+$B$6)/30-IF($B$11&lt;=55,$B$12,0)+L700+M700+N700</f>
        <v>2732.78440509094</v>
      </c>
      <c r="V700" s="14" t="n">
        <f aca="false">$B$4-69*($B$5+$B$6)/30-IF($B$11&lt;=69,$B$12,0)+L700+M700+N700+O700</f>
        <v>4495.46694026327</v>
      </c>
      <c r="W700" s="14" t="n">
        <f aca="false">$B$4-83*($B$5+$B$6)/30-IF($B$11&lt;=83,$B$12,0)+L700+M700+N700+O700+P700</f>
        <v>6152.11062902855</v>
      </c>
      <c r="X700" s="14" t="n">
        <f aca="false">$B$4-90*($B$5+$B$6)/30-IF($B$11&lt;=90,$B$12,0)+L700+M700+N700+O700+P700+Q700</f>
        <v>8863.71188619005</v>
      </c>
      <c r="AA700" s="14" t="n">
        <f aca="false">MIN(R700:X700)</f>
        <v>800.275526628066</v>
      </c>
    </row>
    <row r="701" customFormat="false" ht="15" hidden="false" customHeight="false" outlineLevel="0" collapsed="false">
      <c r="K701" s="2" t="n">
        <v>696</v>
      </c>
      <c r="L701" s="14" t="n">
        <f aca="true">$B$16+NORMINV(RAND(),0,SQRT($B$13*($B$7+$B$8^2))*$B$9*(1-$B$10))</f>
        <v>3860.33461894622</v>
      </c>
      <c r="M701" s="14" t="n">
        <f aca="true">$B$16+NORMINV(RAND(),0,SQRT($B$13*($B$7+$B$8^2))*$B$9*(1-$B$10))</f>
        <v>4050.69934945158</v>
      </c>
      <c r="N701" s="14" t="n">
        <f aca="true">$B$16+NORMINV(RAND(),0,SQRT($B$13*($B$7+$B$8^2))*$B$9*(1-$B$10))</f>
        <v>3611.75560798978</v>
      </c>
      <c r="O701" s="14" t="n">
        <f aca="true">$B$16+NORMINV(RAND(),0,SQRT($B$13*($B$7+$B$8^2))*$B$9*(1-$B$10))</f>
        <v>4747.04220995551</v>
      </c>
      <c r="P701" s="14" t="n">
        <f aca="true">$B$16+NORMINV(RAND(),0,SQRT($B$13*($B$7+$B$8^2))*$B$9*(1-$B$10))</f>
        <v>4707.92134323309</v>
      </c>
      <c r="Q701" s="14" t="n">
        <f aca="true">$B$16+NORMINV(RAND(),0,SQRT($B$13*($B$7+$B$8^2))*$B$9*(1-$B$10))</f>
        <v>4302.74765687381</v>
      </c>
      <c r="R701" s="14" t="n">
        <f aca="false">$B$4-13*($B$5+$B$6)/30-IF($B$11&lt;=13,$B$12,0)+0</f>
        <v>8876.66666666667</v>
      </c>
      <c r="S701" s="14" t="n">
        <f aca="false">$B$4-27*($B$5+$B$6)/30-IF($B$11&lt;=27,$B$12,0)+L701</f>
        <v>10450.3346189462</v>
      </c>
      <c r="T701" s="14" t="n">
        <f aca="false">$B$4-41*($B$5+$B$6)/30-IF($B$11&lt;=41,$B$12,0)+L701+M701</f>
        <v>1029.56730173113</v>
      </c>
      <c r="U701" s="14" t="n">
        <f aca="false">$B$4-55*($B$5+$B$6)/30-IF($B$11&lt;=55,$B$12,0)+L701+M701+N701</f>
        <v>2354.65624305424</v>
      </c>
      <c r="V701" s="14" t="n">
        <f aca="false">$B$4-69*($B$5+$B$6)/30-IF($B$11&lt;=69,$B$12,0)+L701+M701+N701+O701</f>
        <v>4815.03178634308</v>
      </c>
      <c r="W701" s="14" t="n">
        <f aca="false">$B$4-83*($B$5+$B$6)/30-IF($B$11&lt;=83,$B$12,0)+L701+M701+N701+O701+P701</f>
        <v>7236.28646290951</v>
      </c>
      <c r="X701" s="14" t="n">
        <f aca="false">$B$4-90*($B$5+$B$6)/30-IF($B$11&lt;=90,$B$12,0)+L701+M701+N701+O701+P701+Q701</f>
        <v>10395.70078645</v>
      </c>
      <c r="AA701" s="14" t="n">
        <f aca="false">MIN(R701:X701)</f>
        <v>1029.56730173113</v>
      </c>
    </row>
    <row r="702" customFormat="false" ht="15" hidden="false" customHeight="false" outlineLevel="0" collapsed="false">
      <c r="K702" s="2" t="n">
        <v>697</v>
      </c>
      <c r="L702" s="14" t="n">
        <f aca="true">$B$16+NORMINV(RAND(),0,SQRT($B$13*($B$7+$B$8^2))*$B$9*(1-$B$10))</f>
        <v>4378.1857985489</v>
      </c>
      <c r="M702" s="14" t="n">
        <f aca="true">$B$16+NORMINV(RAND(),0,SQRT($B$13*($B$7+$B$8^2))*$B$9*(1-$B$10))</f>
        <v>4261.73273018823</v>
      </c>
      <c r="N702" s="14" t="n">
        <f aca="true">$B$16+NORMINV(RAND(),0,SQRT($B$13*($B$7+$B$8^2))*$B$9*(1-$B$10))</f>
        <v>4616.22654227182</v>
      </c>
      <c r="O702" s="14" t="n">
        <f aca="true">$B$16+NORMINV(RAND(),0,SQRT($B$13*($B$7+$B$8^2))*$B$9*(1-$B$10))</f>
        <v>3870.37226328237</v>
      </c>
      <c r="P702" s="14" t="n">
        <f aca="true">$B$16+NORMINV(RAND(),0,SQRT($B$13*($B$7+$B$8^2))*$B$9*(1-$B$10))</f>
        <v>4281.37519776704</v>
      </c>
      <c r="Q702" s="14" t="n">
        <f aca="true">$B$16+NORMINV(RAND(),0,SQRT($B$13*($B$7+$B$8^2))*$B$9*(1-$B$10))</f>
        <v>3984.75025532396</v>
      </c>
      <c r="R702" s="14" t="n">
        <f aca="false">$B$4-13*($B$5+$B$6)/30-IF($B$11&lt;=13,$B$12,0)+0</f>
        <v>8876.66666666667</v>
      </c>
      <c r="S702" s="14" t="n">
        <f aca="false">$B$4-27*($B$5+$B$6)/30-IF($B$11&lt;=27,$B$12,0)+L702</f>
        <v>10968.1857985489</v>
      </c>
      <c r="T702" s="14" t="n">
        <f aca="false">$B$4-41*($B$5+$B$6)/30-IF($B$11&lt;=41,$B$12,0)+L702+M702</f>
        <v>1758.45186207046</v>
      </c>
      <c r="U702" s="14" t="n">
        <f aca="false">$B$4-55*($B$5+$B$6)/30-IF($B$11&lt;=55,$B$12,0)+L702+M702+N702</f>
        <v>4088.01173767561</v>
      </c>
      <c r="V702" s="14" t="n">
        <f aca="false">$B$4-69*($B$5+$B$6)/30-IF($B$11&lt;=69,$B$12,0)+L702+M702+N702+O702</f>
        <v>5671.71733429131</v>
      </c>
      <c r="W702" s="14" t="n">
        <f aca="false">$B$4-83*($B$5+$B$6)/30-IF($B$11&lt;=83,$B$12,0)+L702+M702+N702+O702+P702</f>
        <v>7666.42586539168</v>
      </c>
      <c r="X702" s="14" t="n">
        <f aca="false">$B$4-90*($B$5+$B$6)/30-IF($B$11&lt;=90,$B$12,0)+L702+M702+N702+O702+P702+Q702</f>
        <v>10507.8427873823</v>
      </c>
      <c r="AA702" s="14" t="n">
        <f aca="false">MIN(R702:X702)</f>
        <v>1758.45186207046</v>
      </c>
    </row>
    <row r="703" customFormat="false" ht="15" hidden="false" customHeight="false" outlineLevel="0" collapsed="false">
      <c r="K703" s="2" t="n">
        <v>698</v>
      </c>
      <c r="L703" s="14" t="n">
        <f aca="true">$B$16+NORMINV(RAND(),0,SQRT($B$13*($B$7+$B$8^2))*$B$9*(1-$B$10))</f>
        <v>4166.02907054311</v>
      </c>
      <c r="M703" s="14" t="n">
        <f aca="true">$B$16+NORMINV(RAND(),0,SQRT($B$13*($B$7+$B$8^2))*$B$9*(1-$B$10))</f>
        <v>4483.44805775044</v>
      </c>
      <c r="N703" s="14" t="n">
        <f aca="true">$B$16+NORMINV(RAND(),0,SQRT($B$13*($B$7+$B$8^2))*$B$9*(1-$B$10))</f>
        <v>4494.78139889599</v>
      </c>
      <c r="O703" s="14" t="n">
        <f aca="true">$B$16+NORMINV(RAND(),0,SQRT($B$13*($B$7+$B$8^2))*$B$9*(1-$B$10))</f>
        <v>4169.13095393125</v>
      </c>
      <c r="P703" s="14" t="n">
        <f aca="true">$B$16+NORMINV(RAND(),0,SQRT($B$13*($B$7+$B$8^2))*$B$9*(1-$B$10))</f>
        <v>4291.29301672275</v>
      </c>
      <c r="Q703" s="14" t="n">
        <f aca="true">$B$16+NORMINV(RAND(),0,SQRT($B$13*($B$7+$B$8^2))*$B$9*(1-$B$10))</f>
        <v>3938.21611112729</v>
      </c>
      <c r="R703" s="14" t="n">
        <f aca="false">$B$4-13*($B$5+$B$6)/30-IF($B$11&lt;=13,$B$12,0)+0</f>
        <v>8876.66666666667</v>
      </c>
      <c r="S703" s="14" t="n">
        <f aca="false">$B$4-27*($B$5+$B$6)/30-IF($B$11&lt;=27,$B$12,0)+L703</f>
        <v>10756.0290705431</v>
      </c>
      <c r="T703" s="14" t="n">
        <f aca="false">$B$4-41*($B$5+$B$6)/30-IF($B$11&lt;=41,$B$12,0)+L703+M703</f>
        <v>1768.01046162688</v>
      </c>
      <c r="U703" s="14" t="n">
        <f aca="false">$B$4-55*($B$5+$B$6)/30-IF($B$11&lt;=55,$B$12,0)+L703+M703+N703</f>
        <v>3976.1251938562</v>
      </c>
      <c r="V703" s="14" t="n">
        <f aca="false">$B$4-69*($B$5+$B$6)/30-IF($B$11&lt;=69,$B$12,0)+L703+M703+N703+O703</f>
        <v>5858.58948112079</v>
      </c>
      <c r="W703" s="14" t="n">
        <f aca="false">$B$4-83*($B$5+$B$6)/30-IF($B$11&lt;=83,$B$12,0)+L703+M703+N703+O703+P703</f>
        <v>7863.21583117688</v>
      </c>
      <c r="X703" s="14" t="n">
        <f aca="false">$B$4-90*($B$5+$B$6)/30-IF($B$11&lt;=90,$B$12,0)+L703+M703+N703+O703+P703+Q703</f>
        <v>10658.0986089708</v>
      </c>
      <c r="AA703" s="14" t="n">
        <f aca="false">MIN(R703:X703)</f>
        <v>1768.01046162688</v>
      </c>
    </row>
    <row r="704" customFormat="false" ht="15" hidden="false" customHeight="false" outlineLevel="0" collapsed="false">
      <c r="K704" s="2" t="n">
        <v>699</v>
      </c>
      <c r="L704" s="14" t="n">
        <f aca="true">$B$16+NORMINV(RAND(),0,SQRT($B$13*($B$7+$B$8^2))*$B$9*(1-$B$10))</f>
        <v>4397.32499376903</v>
      </c>
      <c r="M704" s="14" t="n">
        <f aca="true">$B$16+NORMINV(RAND(),0,SQRT($B$13*($B$7+$B$8^2))*$B$9*(1-$B$10))</f>
        <v>3948.90742804612</v>
      </c>
      <c r="N704" s="14" t="n">
        <f aca="true">$B$16+NORMINV(RAND(),0,SQRT($B$13*($B$7+$B$8^2))*$B$9*(1-$B$10))</f>
        <v>4565.13183342145</v>
      </c>
      <c r="O704" s="14" t="n">
        <f aca="true">$B$16+NORMINV(RAND(),0,SQRT($B$13*($B$7+$B$8^2))*$B$9*(1-$B$10))</f>
        <v>3829.08018627949</v>
      </c>
      <c r="P704" s="14" t="n">
        <f aca="true">$B$16+NORMINV(RAND(),0,SQRT($B$13*($B$7+$B$8^2))*$B$9*(1-$B$10))</f>
        <v>3963.84803157333</v>
      </c>
      <c r="Q704" s="14" t="n">
        <f aca="true">$B$16+NORMINV(RAND(),0,SQRT($B$13*($B$7+$B$8^2))*$B$9*(1-$B$10))</f>
        <v>3892.61442526805</v>
      </c>
      <c r="R704" s="14" t="n">
        <f aca="false">$B$4-13*($B$5+$B$6)/30-IF($B$11&lt;=13,$B$12,0)+0</f>
        <v>8876.66666666667</v>
      </c>
      <c r="S704" s="14" t="n">
        <f aca="false">$B$4-27*($B$5+$B$6)/30-IF($B$11&lt;=27,$B$12,0)+L704</f>
        <v>10987.324993769</v>
      </c>
      <c r="T704" s="14" t="n">
        <f aca="false">$B$4-41*($B$5+$B$6)/30-IF($B$11&lt;=41,$B$12,0)+L704+M704</f>
        <v>1464.76575514848</v>
      </c>
      <c r="U704" s="14" t="n">
        <f aca="false">$B$4-55*($B$5+$B$6)/30-IF($B$11&lt;=55,$B$12,0)+L704+M704+N704</f>
        <v>3743.23092190326</v>
      </c>
      <c r="V704" s="14" t="n">
        <f aca="false">$B$4-69*($B$5+$B$6)/30-IF($B$11&lt;=69,$B$12,0)+L704+M704+N704+O704</f>
        <v>5285.64444151608</v>
      </c>
      <c r="W704" s="14" t="n">
        <f aca="false">$B$4-83*($B$5+$B$6)/30-IF($B$11&lt;=83,$B$12,0)+L704+M704+N704+O704+P704</f>
        <v>6962.82580642275</v>
      </c>
      <c r="X704" s="14" t="n">
        <f aca="false">$B$4-90*($B$5+$B$6)/30-IF($B$11&lt;=90,$B$12,0)+L704+M704+N704+O704+P704+Q704</f>
        <v>9712.10689835747</v>
      </c>
      <c r="AA704" s="14" t="n">
        <f aca="false">MIN(R704:X704)</f>
        <v>1464.76575514848</v>
      </c>
    </row>
    <row r="705" customFormat="false" ht="15" hidden="false" customHeight="false" outlineLevel="0" collapsed="false">
      <c r="K705" s="2" t="n">
        <v>700</v>
      </c>
      <c r="L705" s="14" t="n">
        <f aca="true">$B$16+NORMINV(RAND(),0,SQRT($B$13*($B$7+$B$8^2))*$B$9*(1-$B$10))</f>
        <v>4254.24240093284</v>
      </c>
      <c r="M705" s="14" t="n">
        <f aca="true">$B$16+NORMINV(RAND(),0,SQRT($B$13*($B$7+$B$8^2))*$B$9*(1-$B$10))</f>
        <v>4588.85831450978</v>
      </c>
      <c r="N705" s="14" t="n">
        <f aca="true">$B$16+NORMINV(RAND(),0,SQRT($B$13*($B$7+$B$8^2))*$B$9*(1-$B$10))</f>
        <v>4155.69582524677</v>
      </c>
      <c r="O705" s="14" t="n">
        <f aca="true">$B$16+NORMINV(RAND(),0,SQRT($B$13*($B$7+$B$8^2))*$B$9*(1-$B$10))</f>
        <v>4310.91103933621</v>
      </c>
      <c r="P705" s="14" t="n">
        <f aca="true">$B$16+NORMINV(RAND(),0,SQRT($B$13*($B$7+$B$8^2))*$B$9*(1-$B$10))</f>
        <v>4026.40898570196</v>
      </c>
      <c r="Q705" s="14" t="n">
        <f aca="true">$B$16+NORMINV(RAND(),0,SQRT($B$13*($B$7+$B$8^2))*$B$9*(1-$B$10))</f>
        <v>4426.22395287245</v>
      </c>
      <c r="R705" s="14" t="n">
        <f aca="false">$B$4-13*($B$5+$B$6)/30-IF($B$11&lt;=13,$B$12,0)+0</f>
        <v>8876.66666666667</v>
      </c>
      <c r="S705" s="14" t="n">
        <f aca="false">$B$4-27*($B$5+$B$6)/30-IF($B$11&lt;=27,$B$12,0)+L705</f>
        <v>10844.2424009328</v>
      </c>
      <c r="T705" s="14" t="n">
        <f aca="false">$B$4-41*($B$5+$B$6)/30-IF($B$11&lt;=41,$B$12,0)+L705+M705</f>
        <v>1961.63404877596</v>
      </c>
      <c r="U705" s="14" t="n">
        <f aca="false">$B$4-55*($B$5+$B$6)/30-IF($B$11&lt;=55,$B$12,0)+L705+M705+N705</f>
        <v>3830.66320735606</v>
      </c>
      <c r="V705" s="14" t="n">
        <f aca="false">$B$4-69*($B$5+$B$6)/30-IF($B$11&lt;=69,$B$12,0)+L705+M705+N705+O705</f>
        <v>5854.90758002561</v>
      </c>
      <c r="W705" s="14" t="n">
        <f aca="false">$B$4-83*($B$5+$B$6)/30-IF($B$11&lt;=83,$B$12,0)+L705+M705+N705+O705+P705</f>
        <v>7594.64989906091</v>
      </c>
      <c r="X705" s="14" t="n">
        <f aca="false">$B$4-90*($B$5+$B$6)/30-IF($B$11&lt;=90,$B$12,0)+L705+M705+N705+O705+P705+Q705</f>
        <v>10877.5405186</v>
      </c>
      <c r="AA705" s="14" t="n">
        <f aca="false">MIN(R705:X705)</f>
        <v>1961.63404877596</v>
      </c>
    </row>
    <row r="706" customFormat="false" ht="15" hidden="false" customHeight="false" outlineLevel="0" collapsed="false">
      <c r="K706" s="2" t="n">
        <v>701</v>
      </c>
      <c r="L706" s="14" t="n">
        <f aca="true">$B$16+NORMINV(RAND(),0,SQRT($B$13*($B$7+$B$8^2))*$B$9*(1-$B$10))</f>
        <v>4127.68070197527</v>
      </c>
      <c r="M706" s="14" t="n">
        <f aca="true">$B$16+NORMINV(RAND(),0,SQRT($B$13*($B$7+$B$8^2))*$B$9*(1-$B$10))</f>
        <v>3785.3277772745</v>
      </c>
      <c r="N706" s="14" t="n">
        <f aca="true">$B$16+NORMINV(RAND(),0,SQRT($B$13*($B$7+$B$8^2))*$B$9*(1-$B$10))</f>
        <v>3031.72231313237</v>
      </c>
      <c r="O706" s="14" t="n">
        <f aca="true">$B$16+NORMINV(RAND(),0,SQRT($B$13*($B$7+$B$8^2))*$B$9*(1-$B$10))</f>
        <v>3939.96986548737</v>
      </c>
      <c r="P706" s="14" t="n">
        <f aca="true">$B$16+NORMINV(RAND(),0,SQRT($B$13*($B$7+$B$8^2))*$B$9*(1-$B$10))</f>
        <v>4529.19145121262</v>
      </c>
      <c r="Q706" s="14" t="n">
        <f aca="true">$B$16+NORMINV(RAND(),0,SQRT($B$13*($B$7+$B$8^2))*$B$9*(1-$B$10))</f>
        <v>4485.93456911078</v>
      </c>
      <c r="R706" s="14" t="n">
        <f aca="false">$B$4-13*($B$5+$B$6)/30-IF($B$11&lt;=13,$B$12,0)+0</f>
        <v>8876.66666666667</v>
      </c>
      <c r="S706" s="14" t="n">
        <f aca="false">$B$4-27*($B$5+$B$6)/30-IF($B$11&lt;=27,$B$12,0)+L706</f>
        <v>10717.6807019753</v>
      </c>
      <c r="T706" s="14" t="n">
        <f aca="false">$B$4-41*($B$5+$B$6)/30-IF($B$11&lt;=41,$B$12,0)+L706+M706</f>
        <v>1031.5418125831</v>
      </c>
      <c r="U706" s="14" t="n">
        <f aca="false">$B$4-55*($B$5+$B$6)/30-IF($B$11&lt;=55,$B$12,0)+L706+M706+N706</f>
        <v>1776.5974590488</v>
      </c>
      <c r="V706" s="14" t="n">
        <f aca="false">$B$4-69*($B$5+$B$6)/30-IF($B$11&lt;=69,$B$12,0)+L706+M706+N706+O706</f>
        <v>3429.9006578695</v>
      </c>
      <c r="W706" s="14" t="n">
        <f aca="false">$B$4-83*($B$5+$B$6)/30-IF($B$11&lt;=83,$B$12,0)+L706+M706+N706+O706+P706</f>
        <v>5672.42544241546</v>
      </c>
      <c r="X706" s="14" t="n">
        <f aca="false">$B$4-90*($B$5+$B$6)/30-IF($B$11&lt;=90,$B$12,0)+L706+M706+N706+O706+P706+Q706</f>
        <v>9015.0266781929</v>
      </c>
      <c r="AA706" s="14" t="n">
        <f aca="false">MIN(R706:X706)</f>
        <v>1031.5418125831</v>
      </c>
    </row>
    <row r="707" customFormat="false" ht="15" hidden="false" customHeight="false" outlineLevel="0" collapsed="false">
      <c r="K707" s="2" t="n">
        <v>702</v>
      </c>
      <c r="L707" s="14" t="n">
        <f aca="true">$B$16+NORMINV(RAND(),0,SQRT($B$13*($B$7+$B$8^2))*$B$9*(1-$B$10))</f>
        <v>3992.83237942047</v>
      </c>
      <c r="M707" s="14" t="n">
        <f aca="true">$B$16+NORMINV(RAND(),0,SQRT($B$13*($B$7+$B$8^2))*$B$9*(1-$B$10))</f>
        <v>4050.53688843202</v>
      </c>
      <c r="N707" s="14" t="n">
        <f aca="true">$B$16+NORMINV(RAND(),0,SQRT($B$13*($B$7+$B$8^2))*$B$9*(1-$B$10))</f>
        <v>4282.95345875576</v>
      </c>
      <c r="O707" s="14" t="n">
        <f aca="true">$B$16+NORMINV(RAND(),0,SQRT($B$13*($B$7+$B$8^2))*$B$9*(1-$B$10))</f>
        <v>4607.64129566696</v>
      </c>
      <c r="P707" s="14" t="n">
        <f aca="true">$B$16+NORMINV(RAND(),0,SQRT($B$13*($B$7+$B$8^2))*$B$9*(1-$B$10))</f>
        <v>4049.73443630438</v>
      </c>
      <c r="Q707" s="14" t="n">
        <f aca="true">$B$16+NORMINV(RAND(),0,SQRT($B$13*($B$7+$B$8^2))*$B$9*(1-$B$10))</f>
        <v>4437.96696096753</v>
      </c>
      <c r="R707" s="14" t="n">
        <f aca="false">$B$4-13*($B$5+$B$6)/30-IF($B$11&lt;=13,$B$12,0)+0</f>
        <v>8876.66666666667</v>
      </c>
      <c r="S707" s="14" t="n">
        <f aca="false">$B$4-27*($B$5+$B$6)/30-IF($B$11&lt;=27,$B$12,0)+L707</f>
        <v>10582.8323794205</v>
      </c>
      <c r="T707" s="14" t="n">
        <f aca="false">$B$4-41*($B$5+$B$6)/30-IF($B$11&lt;=41,$B$12,0)+L707+M707</f>
        <v>1161.90260118582</v>
      </c>
      <c r="U707" s="14" t="n">
        <f aca="false">$B$4-55*($B$5+$B$6)/30-IF($B$11&lt;=55,$B$12,0)+L707+M707+N707</f>
        <v>3158.18939327491</v>
      </c>
      <c r="V707" s="14" t="n">
        <f aca="false">$B$4-69*($B$5+$B$6)/30-IF($B$11&lt;=69,$B$12,0)+L707+M707+N707+O707</f>
        <v>5479.16402227521</v>
      </c>
      <c r="W707" s="14" t="n">
        <f aca="false">$B$4-83*($B$5+$B$6)/30-IF($B$11&lt;=83,$B$12,0)+L707+M707+N707+O707+P707</f>
        <v>7242.23179191292</v>
      </c>
      <c r="X707" s="14" t="n">
        <f aca="false">$B$4-90*($B$5+$B$6)/30-IF($B$11&lt;=90,$B$12,0)+L707+M707+N707+O707+P707+Q707</f>
        <v>10536.8654195471</v>
      </c>
      <c r="AA707" s="14" t="n">
        <f aca="false">MIN(R707:X707)</f>
        <v>1161.90260118582</v>
      </c>
    </row>
    <row r="708" customFormat="false" ht="15" hidden="false" customHeight="false" outlineLevel="0" collapsed="false">
      <c r="K708" s="2" t="n">
        <v>703</v>
      </c>
      <c r="L708" s="14" t="n">
        <f aca="true">$B$16+NORMINV(RAND(),0,SQRT($B$13*($B$7+$B$8^2))*$B$9*(1-$B$10))</f>
        <v>3996.07428562039</v>
      </c>
      <c r="M708" s="14" t="n">
        <f aca="true">$B$16+NORMINV(RAND(),0,SQRT($B$13*($B$7+$B$8^2))*$B$9*(1-$B$10))</f>
        <v>3768.80393188286</v>
      </c>
      <c r="N708" s="14" t="n">
        <f aca="true">$B$16+NORMINV(RAND(),0,SQRT($B$13*($B$7+$B$8^2))*$B$9*(1-$B$10))</f>
        <v>3854.7351553374</v>
      </c>
      <c r="O708" s="14" t="n">
        <f aca="true">$B$16+NORMINV(RAND(),0,SQRT($B$13*($B$7+$B$8^2))*$B$9*(1-$B$10))</f>
        <v>3609.49767956125</v>
      </c>
      <c r="P708" s="14" t="n">
        <f aca="true">$B$16+NORMINV(RAND(),0,SQRT($B$13*($B$7+$B$8^2))*$B$9*(1-$B$10))</f>
        <v>3819.36172833949</v>
      </c>
      <c r="Q708" s="14" t="n">
        <f aca="true">$B$16+NORMINV(RAND(),0,SQRT($B$13*($B$7+$B$8^2))*$B$9*(1-$B$10))</f>
        <v>4182.41755493063</v>
      </c>
      <c r="R708" s="14" t="n">
        <f aca="false">$B$4-13*($B$5+$B$6)/30-IF($B$11&lt;=13,$B$12,0)+0</f>
        <v>8876.66666666667</v>
      </c>
      <c r="S708" s="14" t="n">
        <f aca="false">$B$4-27*($B$5+$B$6)/30-IF($B$11&lt;=27,$B$12,0)+L708</f>
        <v>10586.0742856204</v>
      </c>
      <c r="T708" s="14" t="n">
        <f aca="false">$B$4-41*($B$5+$B$6)/30-IF($B$11&lt;=41,$B$12,0)+L708+M708</f>
        <v>883.411550836579</v>
      </c>
      <c r="U708" s="14" t="n">
        <f aca="false">$B$4-55*($B$5+$B$6)/30-IF($B$11&lt;=55,$B$12,0)+L708+M708+N708</f>
        <v>2451.48003950731</v>
      </c>
      <c r="V708" s="14" t="n">
        <f aca="false">$B$4-69*($B$5+$B$6)/30-IF($B$11&lt;=69,$B$12,0)+L708+M708+N708+O708</f>
        <v>3774.31105240189</v>
      </c>
      <c r="W708" s="14" t="n">
        <f aca="false">$B$4-83*($B$5+$B$6)/30-IF($B$11&lt;=83,$B$12,0)+L708+M708+N708+O708+P708</f>
        <v>5307.00611407472</v>
      </c>
      <c r="X708" s="14" t="n">
        <f aca="false">$B$4-90*($B$5+$B$6)/30-IF($B$11&lt;=90,$B$12,0)+L708+M708+N708+O708+P708+Q708</f>
        <v>8346.09033567202</v>
      </c>
      <c r="AA708" s="14" t="n">
        <f aca="false">MIN(R708:X708)</f>
        <v>883.411550836579</v>
      </c>
    </row>
    <row r="709" customFormat="false" ht="15" hidden="false" customHeight="false" outlineLevel="0" collapsed="false">
      <c r="K709" s="2" t="n">
        <v>704</v>
      </c>
      <c r="L709" s="14" t="n">
        <f aca="true">$B$16+NORMINV(RAND(),0,SQRT($B$13*($B$7+$B$8^2))*$B$9*(1-$B$10))</f>
        <v>3860.3341698924</v>
      </c>
      <c r="M709" s="14" t="n">
        <f aca="true">$B$16+NORMINV(RAND(),0,SQRT($B$13*($B$7+$B$8^2))*$B$9*(1-$B$10))</f>
        <v>4073.1372048753</v>
      </c>
      <c r="N709" s="14" t="n">
        <f aca="true">$B$16+NORMINV(RAND(),0,SQRT($B$13*($B$7+$B$8^2))*$B$9*(1-$B$10))</f>
        <v>4486.98400302747</v>
      </c>
      <c r="O709" s="14" t="n">
        <f aca="true">$B$16+NORMINV(RAND(),0,SQRT($B$13*($B$7+$B$8^2))*$B$9*(1-$B$10))</f>
        <v>4407.90898103648</v>
      </c>
      <c r="P709" s="14" t="n">
        <f aca="true">$B$16+NORMINV(RAND(),0,SQRT($B$13*($B$7+$B$8^2))*$B$9*(1-$B$10))</f>
        <v>4161.0392950809</v>
      </c>
      <c r="Q709" s="14" t="n">
        <f aca="true">$B$16+NORMINV(RAND(),0,SQRT($B$13*($B$7+$B$8^2))*$B$9*(1-$B$10))</f>
        <v>4294.52657784791</v>
      </c>
      <c r="R709" s="14" t="n">
        <f aca="false">$B$4-13*($B$5+$B$6)/30-IF($B$11&lt;=13,$B$12,0)+0</f>
        <v>8876.66666666667</v>
      </c>
      <c r="S709" s="14" t="n">
        <f aca="false">$B$4-27*($B$5+$B$6)/30-IF($B$11&lt;=27,$B$12,0)+L709</f>
        <v>10450.3341698924</v>
      </c>
      <c r="T709" s="14" t="n">
        <f aca="false">$B$4-41*($B$5+$B$6)/30-IF($B$11&lt;=41,$B$12,0)+L709+M709</f>
        <v>1052.00470810103</v>
      </c>
      <c r="U709" s="14" t="n">
        <f aca="false">$B$4-55*($B$5+$B$6)/30-IF($B$11&lt;=55,$B$12,0)+L709+M709+N709</f>
        <v>3252.32204446183</v>
      </c>
      <c r="V709" s="14" t="n">
        <f aca="false">$B$4-69*($B$5+$B$6)/30-IF($B$11&lt;=69,$B$12,0)+L709+M709+N709+O709</f>
        <v>5373.56435883164</v>
      </c>
      <c r="W709" s="14" t="n">
        <f aca="false">$B$4-83*($B$5+$B$6)/30-IF($B$11&lt;=83,$B$12,0)+L709+M709+N709+O709+P709</f>
        <v>7247.93698724588</v>
      </c>
      <c r="X709" s="14" t="n">
        <f aca="false">$B$4-90*($B$5+$B$6)/30-IF($B$11&lt;=90,$B$12,0)+L709+M709+N709+O709+P709+Q709</f>
        <v>10399.1302317605</v>
      </c>
      <c r="AA709" s="14" t="n">
        <f aca="false">MIN(R709:X709)</f>
        <v>1052.00470810103</v>
      </c>
    </row>
    <row r="710" customFormat="false" ht="15" hidden="false" customHeight="false" outlineLevel="0" collapsed="false">
      <c r="K710" s="2" t="n">
        <v>705</v>
      </c>
      <c r="L710" s="14" t="n">
        <f aca="true">$B$16+NORMINV(RAND(),0,SQRT($B$13*($B$7+$B$8^2))*$B$9*(1-$B$10))</f>
        <v>4303.85722575535</v>
      </c>
      <c r="M710" s="14" t="n">
        <f aca="true">$B$16+NORMINV(RAND(),0,SQRT($B$13*($B$7+$B$8^2))*$B$9*(1-$B$10))</f>
        <v>3900.73541426697</v>
      </c>
      <c r="N710" s="14" t="n">
        <f aca="true">$B$16+NORMINV(RAND(),0,SQRT($B$13*($B$7+$B$8^2))*$B$9*(1-$B$10))</f>
        <v>4360.73584173341</v>
      </c>
      <c r="O710" s="14" t="n">
        <f aca="true">$B$16+NORMINV(RAND(),0,SQRT($B$13*($B$7+$B$8^2))*$B$9*(1-$B$10))</f>
        <v>3814.3067459873</v>
      </c>
      <c r="P710" s="14" t="n">
        <f aca="true">$B$16+NORMINV(RAND(),0,SQRT($B$13*($B$7+$B$8^2))*$B$9*(1-$B$10))</f>
        <v>4100.99550036476</v>
      </c>
      <c r="Q710" s="14" t="n">
        <f aca="true">$B$16+NORMINV(RAND(),0,SQRT($B$13*($B$7+$B$8^2))*$B$9*(1-$B$10))</f>
        <v>4425.54626465448</v>
      </c>
      <c r="R710" s="14" t="n">
        <f aca="false">$B$4-13*($B$5+$B$6)/30-IF($B$11&lt;=13,$B$12,0)+0</f>
        <v>8876.66666666667</v>
      </c>
      <c r="S710" s="14" t="n">
        <f aca="false">$B$4-27*($B$5+$B$6)/30-IF($B$11&lt;=27,$B$12,0)+L710</f>
        <v>10893.8572257554</v>
      </c>
      <c r="T710" s="14" t="n">
        <f aca="false">$B$4-41*($B$5+$B$6)/30-IF($B$11&lt;=41,$B$12,0)+L710+M710</f>
        <v>1323.12597335565</v>
      </c>
      <c r="U710" s="14" t="n">
        <f aca="false">$B$4-55*($B$5+$B$6)/30-IF($B$11&lt;=55,$B$12,0)+L710+M710+N710</f>
        <v>3397.19514842239</v>
      </c>
      <c r="V710" s="14" t="n">
        <f aca="false">$B$4-69*($B$5+$B$6)/30-IF($B$11&lt;=69,$B$12,0)+L710+M710+N710+O710</f>
        <v>4924.83522774303</v>
      </c>
      <c r="W710" s="14" t="n">
        <f aca="false">$B$4-83*($B$5+$B$6)/30-IF($B$11&lt;=83,$B$12,0)+L710+M710+N710+O710+P710</f>
        <v>6739.16406144112</v>
      </c>
      <c r="X710" s="14" t="n">
        <f aca="false">$B$4-90*($B$5+$B$6)/30-IF($B$11&lt;=90,$B$12,0)+L710+M710+N710+O710+P710+Q710</f>
        <v>10021.3769927623</v>
      </c>
      <c r="AA710" s="14" t="n">
        <f aca="false">MIN(R710:X710)</f>
        <v>1323.12597335565</v>
      </c>
    </row>
    <row r="711" customFormat="false" ht="15" hidden="false" customHeight="false" outlineLevel="0" collapsed="false">
      <c r="K711" s="2" t="n">
        <v>706</v>
      </c>
      <c r="L711" s="14" t="n">
        <f aca="true">$B$16+NORMINV(RAND(),0,SQRT($B$13*($B$7+$B$8^2))*$B$9*(1-$B$10))</f>
        <v>4018.31689595752</v>
      </c>
      <c r="M711" s="14" t="n">
        <f aca="true">$B$16+NORMINV(RAND(),0,SQRT($B$13*($B$7+$B$8^2))*$B$9*(1-$B$10))</f>
        <v>4045.17254015232</v>
      </c>
      <c r="N711" s="14" t="n">
        <f aca="true">$B$16+NORMINV(RAND(),0,SQRT($B$13*($B$7+$B$8^2))*$B$9*(1-$B$10))</f>
        <v>3947.01867066475</v>
      </c>
      <c r="O711" s="14" t="n">
        <f aca="true">$B$16+NORMINV(RAND(),0,SQRT($B$13*($B$7+$B$8^2))*$B$9*(1-$B$10))</f>
        <v>3525.45046755695</v>
      </c>
      <c r="P711" s="14" t="n">
        <f aca="true">$B$16+NORMINV(RAND(),0,SQRT($B$13*($B$7+$B$8^2))*$B$9*(1-$B$10))</f>
        <v>3868.67125490751</v>
      </c>
      <c r="Q711" s="14" t="n">
        <f aca="true">$B$16+NORMINV(RAND(),0,SQRT($B$13*($B$7+$B$8^2))*$B$9*(1-$B$10))</f>
        <v>4450.44230664083</v>
      </c>
      <c r="R711" s="14" t="n">
        <f aca="false">$B$4-13*($B$5+$B$6)/30-IF($B$11&lt;=13,$B$12,0)+0</f>
        <v>8876.66666666667</v>
      </c>
      <c r="S711" s="14" t="n">
        <f aca="false">$B$4-27*($B$5+$B$6)/30-IF($B$11&lt;=27,$B$12,0)+L711</f>
        <v>10608.3168959575</v>
      </c>
      <c r="T711" s="14" t="n">
        <f aca="false">$B$4-41*($B$5+$B$6)/30-IF($B$11&lt;=41,$B$12,0)+L711+M711</f>
        <v>1182.02276944317</v>
      </c>
      <c r="U711" s="14" t="n">
        <f aca="false">$B$4-55*($B$5+$B$6)/30-IF($B$11&lt;=55,$B$12,0)+L711+M711+N711</f>
        <v>2842.37477344126</v>
      </c>
      <c r="V711" s="14" t="n">
        <f aca="false">$B$4-69*($B$5+$B$6)/30-IF($B$11&lt;=69,$B$12,0)+L711+M711+N711+O711</f>
        <v>4081.15857433155</v>
      </c>
      <c r="W711" s="14" t="n">
        <f aca="false">$B$4-83*($B$5+$B$6)/30-IF($B$11&lt;=83,$B$12,0)+L711+M711+N711+O711+P711</f>
        <v>5663.16316257239</v>
      </c>
      <c r="X711" s="14" t="n">
        <f aca="false">$B$4-90*($B$5+$B$6)/30-IF($B$11&lt;=90,$B$12,0)+L711+M711+N711+O711+P711+Q711</f>
        <v>8970.27213587988</v>
      </c>
      <c r="AA711" s="14" t="n">
        <f aca="false">MIN(R711:X711)</f>
        <v>1182.02276944317</v>
      </c>
    </row>
    <row r="712" customFormat="false" ht="15" hidden="false" customHeight="false" outlineLevel="0" collapsed="false">
      <c r="K712" s="2" t="n">
        <v>707</v>
      </c>
      <c r="L712" s="14" t="n">
        <f aca="true">$B$16+NORMINV(RAND(),0,SQRT($B$13*($B$7+$B$8^2))*$B$9*(1-$B$10))</f>
        <v>4146.17582717495</v>
      </c>
      <c r="M712" s="14" t="n">
        <f aca="true">$B$16+NORMINV(RAND(),0,SQRT($B$13*($B$7+$B$8^2))*$B$9*(1-$B$10))</f>
        <v>3349.49604268759</v>
      </c>
      <c r="N712" s="14" t="n">
        <f aca="true">$B$16+NORMINV(RAND(),0,SQRT($B$13*($B$7+$B$8^2))*$B$9*(1-$B$10))</f>
        <v>3832.66439915056</v>
      </c>
      <c r="O712" s="14" t="n">
        <f aca="true">$B$16+NORMINV(RAND(),0,SQRT($B$13*($B$7+$B$8^2))*$B$9*(1-$B$10))</f>
        <v>3971.40343778388</v>
      </c>
      <c r="P712" s="14" t="n">
        <f aca="true">$B$16+NORMINV(RAND(),0,SQRT($B$13*($B$7+$B$8^2))*$B$9*(1-$B$10))</f>
        <v>4293.79809209532</v>
      </c>
      <c r="Q712" s="14" t="n">
        <f aca="true">$B$16+NORMINV(RAND(),0,SQRT($B$13*($B$7+$B$8^2))*$B$9*(1-$B$10))</f>
        <v>4062.12367531099</v>
      </c>
      <c r="R712" s="14" t="n">
        <f aca="false">$B$4-13*($B$5+$B$6)/30-IF($B$11&lt;=13,$B$12,0)+0</f>
        <v>8876.66666666667</v>
      </c>
      <c r="S712" s="14" t="n">
        <f aca="false">$B$4-27*($B$5+$B$6)/30-IF($B$11&lt;=27,$B$12,0)+L712</f>
        <v>10736.175827175</v>
      </c>
      <c r="T712" s="14" t="n">
        <f aca="false">$B$4-41*($B$5+$B$6)/30-IF($B$11&lt;=41,$B$12,0)+L712+M712</f>
        <v>614.205203195867</v>
      </c>
      <c r="U712" s="14" t="n">
        <f aca="false">$B$4-55*($B$5+$B$6)/30-IF($B$11&lt;=55,$B$12,0)+L712+M712+N712</f>
        <v>2160.20293567976</v>
      </c>
      <c r="V712" s="14" t="n">
        <f aca="false">$B$4-69*($B$5+$B$6)/30-IF($B$11&lt;=69,$B$12,0)+L712+M712+N712+O712</f>
        <v>3844.93970679697</v>
      </c>
      <c r="W712" s="14" t="n">
        <f aca="false">$B$4-83*($B$5+$B$6)/30-IF($B$11&lt;=83,$B$12,0)+L712+M712+N712+O712+P712</f>
        <v>5852.07113222562</v>
      </c>
      <c r="X712" s="14" t="n">
        <f aca="false">$B$4-90*($B$5+$B$6)/30-IF($B$11&lt;=90,$B$12,0)+L712+M712+N712+O712+P712+Q712</f>
        <v>8770.86147420328</v>
      </c>
      <c r="AA712" s="14" t="n">
        <f aca="false">MIN(R712:X712)</f>
        <v>614.205203195867</v>
      </c>
    </row>
    <row r="713" customFormat="false" ht="15" hidden="false" customHeight="false" outlineLevel="0" collapsed="false">
      <c r="K713" s="2" t="n">
        <v>708</v>
      </c>
      <c r="L713" s="14" t="n">
        <f aca="true">$B$16+NORMINV(RAND(),0,SQRT($B$13*($B$7+$B$8^2))*$B$9*(1-$B$10))</f>
        <v>3503.93998233499</v>
      </c>
      <c r="M713" s="14" t="n">
        <f aca="true">$B$16+NORMINV(RAND(),0,SQRT($B$13*($B$7+$B$8^2))*$B$9*(1-$B$10))</f>
        <v>4604.11235465261</v>
      </c>
      <c r="N713" s="14" t="n">
        <f aca="true">$B$16+NORMINV(RAND(),0,SQRT($B$13*($B$7+$B$8^2))*$B$9*(1-$B$10))</f>
        <v>4601.47053449504</v>
      </c>
      <c r="O713" s="14" t="n">
        <f aca="true">$B$16+NORMINV(RAND(),0,SQRT($B$13*($B$7+$B$8^2))*$B$9*(1-$B$10))</f>
        <v>3728.18748618879</v>
      </c>
      <c r="P713" s="14" t="n">
        <f aca="true">$B$16+NORMINV(RAND(),0,SQRT($B$13*($B$7+$B$8^2))*$B$9*(1-$B$10))</f>
        <v>4218.63254612554</v>
      </c>
      <c r="Q713" s="14" t="n">
        <f aca="true">$B$16+NORMINV(RAND(),0,SQRT($B$13*($B$7+$B$8^2))*$B$9*(1-$B$10))</f>
        <v>4000.41745383647</v>
      </c>
      <c r="R713" s="14" t="n">
        <f aca="false">$B$4-13*($B$5+$B$6)/30-IF($B$11&lt;=13,$B$12,0)+0</f>
        <v>8876.66666666667</v>
      </c>
      <c r="S713" s="14" t="n">
        <f aca="false">$B$4-27*($B$5+$B$6)/30-IF($B$11&lt;=27,$B$12,0)+L713</f>
        <v>10093.939982335</v>
      </c>
      <c r="T713" s="14" t="n">
        <f aca="false">$B$4-41*($B$5+$B$6)/30-IF($B$11&lt;=41,$B$12,0)+L713+M713</f>
        <v>1226.58567032094</v>
      </c>
      <c r="U713" s="14" t="n">
        <f aca="false">$B$4-55*($B$5+$B$6)/30-IF($B$11&lt;=55,$B$12,0)+L713+M713+N713</f>
        <v>3541.38953814931</v>
      </c>
      <c r="V713" s="14" t="n">
        <f aca="false">$B$4-69*($B$5+$B$6)/30-IF($B$11&lt;=69,$B$12,0)+L713+M713+N713+O713</f>
        <v>4982.91035767143</v>
      </c>
      <c r="W713" s="14" t="n">
        <f aca="false">$B$4-83*($B$5+$B$6)/30-IF($B$11&lt;=83,$B$12,0)+L713+M713+N713+O713+P713</f>
        <v>6914.8762371303</v>
      </c>
      <c r="X713" s="14" t="n">
        <f aca="false">$B$4-90*($B$5+$B$6)/30-IF($B$11&lt;=90,$B$12,0)+L713+M713+N713+O713+P713+Q713</f>
        <v>9771.96035763344</v>
      </c>
      <c r="AA713" s="14" t="n">
        <f aca="false">MIN(R713:X713)</f>
        <v>1226.58567032094</v>
      </c>
    </row>
    <row r="714" customFormat="false" ht="15" hidden="false" customHeight="false" outlineLevel="0" collapsed="false">
      <c r="K714" s="2" t="n">
        <v>709</v>
      </c>
      <c r="L714" s="14" t="n">
        <f aca="true">$B$16+NORMINV(RAND(),0,SQRT($B$13*($B$7+$B$8^2))*$B$9*(1-$B$10))</f>
        <v>4203.77364271158</v>
      </c>
      <c r="M714" s="14" t="n">
        <f aca="true">$B$16+NORMINV(RAND(),0,SQRT($B$13*($B$7+$B$8^2))*$B$9*(1-$B$10))</f>
        <v>4029.38187990035</v>
      </c>
      <c r="N714" s="14" t="n">
        <f aca="true">$B$16+NORMINV(RAND(),0,SQRT($B$13*($B$7+$B$8^2))*$B$9*(1-$B$10))</f>
        <v>4018.11287249571</v>
      </c>
      <c r="O714" s="14" t="n">
        <f aca="true">$B$16+NORMINV(RAND(),0,SQRT($B$13*($B$7+$B$8^2))*$B$9*(1-$B$10))</f>
        <v>4076.11284996636</v>
      </c>
      <c r="P714" s="14" t="n">
        <f aca="true">$B$16+NORMINV(RAND(),0,SQRT($B$13*($B$7+$B$8^2))*$B$9*(1-$B$10))</f>
        <v>4245.93075985292</v>
      </c>
      <c r="Q714" s="14" t="n">
        <f aca="true">$B$16+NORMINV(RAND(),0,SQRT($B$13*($B$7+$B$8^2))*$B$9*(1-$B$10))</f>
        <v>4219.60397995826</v>
      </c>
      <c r="R714" s="14" t="n">
        <f aca="false">$B$4-13*($B$5+$B$6)/30-IF($B$11&lt;=13,$B$12,0)+0</f>
        <v>8876.66666666667</v>
      </c>
      <c r="S714" s="14" t="n">
        <f aca="false">$B$4-27*($B$5+$B$6)/30-IF($B$11&lt;=27,$B$12,0)+L714</f>
        <v>10793.7736427116</v>
      </c>
      <c r="T714" s="14" t="n">
        <f aca="false">$B$4-41*($B$5+$B$6)/30-IF($B$11&lt;=41,$B$12,0)+L714+M714</f>
        <v>1351.68885594526</v>
      </c>
      <c r="U714" s="14" t="n">
        <f aca="false">$B$4-55*($B$5+$B$6)/30-IF($B$11&lt;=55,$B$12,0)+L714+M714+N714</f>
        <v>3083.1350617743</v>
      </c>
      <c r="V714" s="14" t="n">
        <f aca="false">$B$4-69*($B$5+$B$6)/30-IF($B$11&lt;=69,$B$12,0)+L714+M714+N714+O714</f>
        <v>4872.581245074</v>
      </c>
      <c r="W714" s="14" t="n">
        <f aca="false">$B$4-83*($B$5+$B$6)/30-IF($B$11&lt;=83,$B$12,0)+L714+M714+N714+O714+P714</f>
        <v>6831.84533826026</v>
      </c>
      <c r="X714" s="14" t="n">
        <f aca="false">$B$4-90*($B$5+$B$6)/30-IF($B$11&lt;=90,$B$12,0)+L714+M714+N714+O714+P714+Q714</f>
        <v>9908.11598488518</v>
      </c>
      <c r="AA714" s="14" t="n">
        <f aca="false">MIN(R714:X714)</f>
        <v>1351.68885594526</v>
      </c>
    </row>
    <row r="715" customFormat="false" ht="15" hidden="false" customHeight="false" outlineLevel="0" collapsed="false">
      <c r="K715" s="2" t="n">
        <v>710</v>
      </c>
      <c r="L715" s="14" t="n">
        <f aca="true">$B$16+NORMINV(RAND(),0,SQRT($B$13*($B$7+$B$8^2))*$B$9*(1-$B$10))</f>
        <v>3785.53345076708</v>
      </c>
      <c r="M715" s="14" t="n">
        <f aca="true">$B$16+NORMINV(RAND(),0,SQRT($B$13*($B$7+$B$8^2))*$B$9*(1-$B$10))</f>
        <v>3474.86676954253</v>
      </c>
      <c r="N715" s="14" t="n">
        <f aca="true">$B$16+NORMINV(RAND(),0,SQRT($B$13*($B$7+$B$8^2))*$B$9*(1-$B$10))</f>
        <v>4572.69316091939</v>
      </c>
      <c r="O715" s="14" t="n">
        <f aca="true">$B$16+NORMINV(RAND(),0,SQRT($B$13*($B$7+$B$8^2))*$B$9*(1-$B$10))</f>
        <v>4239.57528667125</v>
      </c>
      <c r="P715" s="14" t="n">
        <f aca="true">$B$16+NORMINV(RAND(),0,SQRT($B$13*($B$7+$B$8^2))*$B$9*(1-$B$10))</f>
        <v>4121.1842619365</v>
      </c>
      <c r="Q715" s="14" t="n">
        <f aca="true">$B$16+NORMINV(RAND(),0,SQRT($B$13*($B$7+$B$8^2))*$B$9*(1-$B$10))</f>
        <v>3874.5837591399</v>
      </c>
      <c r="R715" s="14" t="n">
        <f aca="false">$B$4-13*($B$5+$B$6)/30-IF($B$11&lt;=13,$B$12,0)+0</f>
        <v>8876.66666666667</v>
      </c>
      <c r="S715" s="14" t="n">
        <f aca="false">$B$4-27*($B$5+$B$6)/30-IF($B$11&lt;=27,$B$12,0)+L715</f>
        <v>10375.5334507671</v>
      </c>
      <c r="T715" s="14" t="n">
        <f aca="false">$B$4-41*($B$5+$B$6)/30-IF($B$11&lt;=41,$B$12,0)+L715+M715</f>
        <v>378.933553642937</v>
      </c>
      <c r="U715" s="14" t="n">
        <f aca="false">$B$4-55*($B$5+$B$6)/30-IF($B$11&lt;=55,$B$12,0)+L715+M715+N715</f>
        <v>2664.96004789566</v>
      </c>
      <c r="V715" s="14" t="n">
        <f aca="false">$B$4-69*($B$5+$B$6)/30-IF($B$11&lt;=69,$B$12,0)+L715+M715+N715+O715</f>
        <v>4617.86866790024</v>
      </c>
      <c r="W715" s="14" t="n">
        <f aca="false">$B$4-83*($B$5+$B$6)/30-IF($B$11&lt;=83,$B$12,0)+L715+M715+N715+O715+P715</f>
        <v>6452.38626317008</v>
      </c>
      <c r="X715" s="14" t="n">
        <f aca="false">$B$4-90*($B$5+$B$6)/30-IF($B$11&lt;=90,$B$12,0)+L715+M715+N715+O715+P715+Q715</f>
        <v>9183.63668897664</v>
      </c>
      <c r="AA715" s="14" t="n">
        <f aca="false">MIN(R715:X715)</f>
        <v>378.933553642937</v>
      </c>
    </row>
    <row r="716" customFormat="false" ht="15" hidden="false" customHeight="false" outlineLevel="0" collapsed="false">
      <c r="K716" s="2" t="n">
        <v>711</v>
      </c>
      <c r="L716" s="14" t="n">
        <f aca="true">$B$16+NORMINV(RAND(),0,SQRT($B$13*($B$7+$B$8^2))*$B$9*(1-$B$10))</f>
        <v>4046.77520135077</v>
      </c>
      <c r="M716" s="14" t="n">
        <f aca="true">$B$16+NORMINV(RAND(),0,SQRT($B$13*($B$7+$B$8^2))*$B$9*(1-$B$10))</f>
        <v>4230.05710644663</v>
      </c>
      <c r="N716" s="14" t="n">
        <f aca="true">$B$16+NORMINV(RAND(),0,SQRT($B$13*($B$7+$B$8^2))*$B$9*(1-$B$10))</f>
        <v>3327.68048426542</v>
      </c>
      <c r="O716" s="14" t="n">
        <f aca="true">$B$16+NORMINV(RAND(),0,SQRT($B$13*($B$7+$B$8^2))*$B$9*(1-$B$10))</f>
        <v>3615.40659782274</v>
      </c>
      <c r="P716" s="14" t="n">
        <f aca="true">$B$16+NORMINV(RAND(),0,SQRT($B$13*($B$7+$B$8^2))*$B$9*(1-$B$10))</f>
        <v>3610.23822688845</v>
      </c>
      <c r="Q716" s="14" t="n">
        <f aca="true">$B$16+NORMINV(RAND(),0,SQRT($B$13*($B$7+$B$8^2))*$B$9*(1-$B$10))</f>
        <v>4480.47172642671</v>
      </c>
      <c r="R716" s="14" t="n">
        <f aca="false">$B$4-13*($B$5+$B$6)/30-IF($B$11&lt;=13,$B$12,0)+0</f>
        <v>8876.66666666667</v>
      </c>
      <c r="S716" s="14" t="n">
        <f aca="false">$B$4-27*($B$5+$B$6)/30-IF($B$11&lt;=27,$B$12,0)+L716</f>
        <v>10636.7752013508</v>
      </c>
      <c r="T716" s="14" t="n">
        <f aca="false">$B$4-41*($B$5+$B$6)/30-IF($B$11&lt;=41,$B$12,0)+L716+M716</f>
        <v>1395.36564113074</v>
      </c>
      <c r="U716" s="14" t="n">
        <f aca="false">$B$4-55*($B$5+$B$6)/30-IF($B$11&lt;=55,$B$12,0)+L716+M716+N716</f>
        <v>2436.37945872949</v>
      </c>
      <c r="V716" s="14" t="n">
        <f aca="false">$B$4-69*($B$5+$B$6)/30-IF($B$11&lt;=69,$B$12,0)+L716+M716+N716+O716</f>
        <v>3765.11938988556</v>
      </c>
      <c r="W716" s="14" t="n">
        <f aca="false">$B$4-83*($B$5+$B$6)/30-IF($B$11&lt;=83,$B$12,0)+L716+M716+N716+O716+P716</f>
        <v>5088.69095010734</v>
      </c>
      <c r="X716" s="14" t="n">
        <f aca="false">$B$4-90*($B$5+$B$6)/30-IF($B$11&lt;=90,$B$12,0)+L716+M716+N716+O716+P716+Q716</f>
        <v>8425.82934320072</v>
      </c>
      <c r="AA716" s="14" t="n">
        <f aca="false">MIN(R716:X716)</f>
        <v>1395.36564113074</v>
      </c>
    </row>
    <row r="717" customFormat="false" ht="15" hidden="false" customHeight="false" outlineLevel="0" collapsed="false">
      <c r="K717" s="2" t="n">
        <v>712</v>
      </c>
      <c r="L717" s="14" t="n">
        <f aca="true">$B$16+NORMINV(RAND(),0,SQRT($B$13*($B$7+$B$8^2))*$B$9*(1-$B$10))</f>
        <v>3840.43212605287</v>
      </c>
      <c r="M717" s="14" t="n">
        <f aca="true">$B$16+NORMINV(RAND(),0,SQRT($B$13*($B$7+$B$8^2))*$B$9*(1-$B$10))</f>
        <v>3402.10888240848</v>
      </c>
      <c r="N717" s="14" t="n">
        <f aca="true">$B$16+NORMINV(RAND(),0,SQRT($B$13*($B$7+$B$8^2))*$B$9*(1-$B$10))</f>
        <v>4182.36411923251</v>
      </c>
      <c r="O717" s="14" t="n">
        <f aca="true">$B$16+NORMINV(RAND(),0,SQRT($B$13*($B$7+$B$8^2))*$B$9*(1-$B$10))</f>
        <v>3939.51705226633</v>
      </c>
      <c r="P717" s="14" t="n">
        <f aca="true">$B$16+NORMINV(RAND(),0,SQRT($B$13*($B$7+$B$8^2))*$B$9*(1-$B$10))</f>
        <v>3364.31298101907</v>
      </c>
      <c r="Q717" s="14" t="n">
        <f aca="true">$B$16+NORMINV(RAND(),0,SQRT($B$13*($B$7+$B$8^2))*$B$9*(1-$B$10))</f>
        <v>4577.14182048141</v>
      </c>
      <c r="R717" s="14" t="n">
        <f aca="false">$B$4-13*($B$5+$B$6)/30-IF($B$11&lt;=13,$B$12,0)+0</f>
        <v>8876.66666666667</v>
      </c>
      <c r="S717" s="14" t="n">
        <f aca="false">$B$4-27*($B$5+$B$6)/30-IF($B$11&lt;=27,$B$12,0)+L717</f>
        <v>10430.4321260529</v>
      </c>
      <c r="T717" s="14" t="n">
        <f aca="false">$B$4-41*($B$5+$B$6)/30-IF($B$11&lt;=41,$B$12,0)+L717+M717</f>
        <v>361.074341794686</v>
      </c>
      <c r="U717" s="14" t="n">
        <f aca="false">$B$4-55*($B$5+$B$6)/30-IF($B$11&lt;=55,$B$12,0)+L717+M717+N717</f>
        <v>2256.77179436053</v>
      </c>
      <c r="V717" s="14" t="n">
        <f aca="false">$B$4-69*($B$5+$B$6)/30-IF($B$11&lt;=69,$B$12,0)+L717+M717+N717+O717</f>
        <v>3909.62217996019</v>
      </c>
      <c r="W717" s="14" t="n">
        <f aca="false">$B$4-83*($B$5+$B$6)/30-IF($B$11&lt;=83,$B$12,0)+L717+M717+N717+O717+P717</f>
        <v>4987.26849431259</v>
      </c>
      <c r="X717" s="14" t="n">
        <f aca="false">$B$4-90*($B$5+$B$6)/30-IF($B$11&lt;=90,$B$12,0)+L717+M717+N717+O717+P717+Q717</f>
        <v>8421.07698146067</v>
      </c>
      <c r="AA717" s="14" t="n">
        <f aca="false">MIN(R717:X717)</f>
        <v>361.074341794686</v>
      </c>
    </row>
    <row r="718" customFormat="false" ht="15" hidden="false" customHeight="false" outlineLevel="0" collapsed="false">
      <c r="K718" s="2" t="n">
        <v>713</v>
      </c>
      <c r="L718" s="14" t="n">
        <f aca="true">$B$16+NORMINV(RAND(),0,SQRT($B$13*($B$7+$B$8^2))*$B$9*(1-$B$10))</f>
        <v>4244.15734621091</v>
      </c>
      <c r="M718" s="14" t="n">
        <f aca="true">$B$16+NORMINV(RAND(),0,SQRT($B$13*($B$7+$B$8^2))*$B$9*(1-$B$10))</f>
        <v>4200.54250540824</v>
      </c>
      <c r="N718" s="14" t="n">
        <f aca="true">$B$16+NORMINV(RAND(),0,SQRT($B$13*($B$7+$B$8^2))*$B$9*(1-$B$10))</f>
        <v>3413.71579912608</v>
      </c>
      <c r="O718" s="14" t="n">
        <f aca="true">$B$16+NORMINV(RAND(),0,SQRT($B$13*($B$7+$B$8^2))*$B$9*(1-$B$10))</f>
        <v>4202.11659708708</v>
      </c>
      <c r="P718" s="14" t="n">
        <f aca="true">$B$16+NORMINV(RAND(),0,SQRT($B$13*($B$7+$B$8^2))*$B$9*(1-$B$10))</f>
        <v>4075.30353485009</v>
      </c>
      <c r="Q718" s="14" t="n">
        <f aca="true">$B$16+NORMINV(RAND(),0,SQRT($B$13*($B$7+$B$8^2))*$B$9*(1-$B$10))</f>
        <v>3582.62633691675</v>
      </c>
      <c r="R718" s="14" t="n">
        <f aca="false">$B$4-13*($B$5+$B$6)/30-IF($B$11&lt;=13,$B$12,0)+0</f>
        <v>8876.66666666667</v>
      </c>
      <c r="S718" s="14" t="n">
        <f aca="false">$B$4-27*($B$5+$B$6)/30-IF($B$11&lt;=27,$B$12,0)+L718</f>
        <v>10834.1573462109</v>
      </c>
      <c r="T718" s="14" t="n">
        <f aca="false">$B$4-41*($B$5+$B$6)/30-IF($B$11&lt;=41,$B$12,0)+L718+M718</f>
        <v>1563.23318495248</v>
      </c>
      <c r="U718" s="14" t="n">
        <f aca="false">$B$4-55*($B$5+$B$6)/30-IF($B$11&lt;=55,$B$12,0)+L718+M718+N718</f>
        <v>2690.28231741189</v>
      </c>
      <c r="V718" s="14" t="n">
        <f aca="false">$B$4-69*($B$5+$B$6)/30-IF($B$11&lt;=69,$B$12,0)+L718+M718+N718+O718</f>
        <v>4605.73224783231</v>
      </c>
      <c r="W718" s="14" t="n">
        <f aca="false">$B$4-83*($B$5+$B$6)/30-IF($B$11&lt;=83,$B$12,0)+L718+M718+N718+O718+P718</f>
        <v>6394.36911601573</v>
      </c>
      <c r="X718" s="14" t="n">
        <f aca="false">$B$4-90*($B$5+$B$6)/30-IF($B$11&lt;=90,$B$12,0)+L718+M718+N718+O718+P718+Q718</f>
        <v>8833.66211959915</v>
      </c>
      <c r="AA718" s="14" t="n">
        <f aca="false">MIN(R718:X718)</f>
        <v>1563.23318495248</v>
      </c>
    </row>
    <row r="719" customFormat="false" ht="15" hidden="false" customHeight="false" outlineLevel="0" collapsed="false">
      <c r="K719" s="2" t="n">
        <v>714</v>
      </c>
      <c r="L719" s="14" t="n">
        <f aca="true">$B$16+NORMINV(RAND(),0,SQRT($B$13*($B$7+$B$8^2))*$B$9*(1-$B$10))</f>
        <v>3707.18785076169</v>
      </c>
      <c r="M719" s="14" t="n">
        <f aca="true">$B$16+NORMINV(RAND(),0,SQRT($B$13*($B$7+$B$8^2))*$B$9*(1-$B$10))</f>
        <v>4425.38823776245</v>
      </c>
      <c r="N719" s="14" t="n">
        <f aca="true">$B$16+NORMINV(RAND(),0,SQRT($B$13*($B$7+$B$8^2))*$B$9*(1-$B$10))</f>
        <v>4304.97008448464</v>
      </c>
      <c r="O719" s="14" t="n">
        <f aca="true">$B$16+NORMINV(RAND(),0,SQRT($B$13*($B$7+$B$8^2))*$B$9*(1-$B$10))</f>
        <v>4353.03510885415</v>
      </c>
      <c r="P719" s="14" t="n">
        <f aca="true">$B$16+NORMINV(RAND(),0,SQRT($B$13*($B$7+$B$8^2))*$B$9*(1-$B$10))</f>
        <v>3797.46375932058</v>
      </c>
      <c r="Q719" s="14" t="n">
        <f aca="true">$B$16+NORMINV(RAND(),0,SQRT($B$13*($B$7+$B$8^2))*$B$9*(1-$B$10))</f>
        <v>3840.07943808042</v>
      </c>
      <c r="R719" s="14" t="n">
        <f aca="false">$B$4-13*($B$5+$B$6)/30-IF($B$11&lt;=13,$B$12,0)+0</f>
        <v>8876.66666666667</v>
      </c>
      <c r="S719" s="14" t="n">
        <f aca="false">$B$4-27*($B$5+$B$6)/30-IF($B$11&lt;=27,$B$12,0)+L719</f>
        <v>10297.1878507617</v>
      </c>
      <c r="T719" s="14" t="n">
        <f aca="false">$B$4-41*($B$5+$B$6)/30-IF($B$11&lt;=41,$B$12,0)+L719+M719</f>
        <v>1251.10942185748</v>
      </c>
      <c r="U719" s="14" t="n">
        <f aca="false">$B$4-55*($B$5+$B$6)/30-IF($B$11&lt;=55,$B$12,0)+L719+M719+N719</f>
        <v>3269.41283967544</v>
      </c>
      <c r="V719" s="14" t="n">
        <f aca="false">$B$4-69*($B$5+$B$6)/30-IF($B$11&lt;=69,$B$12,0)+L719+M719+N719+O719</f>
        <v>5335.78128186293</v>
      </c>
      <c r="W719" s="14" t="n">
        <f aca="false">$B$4-83*($B$5+$B$6)/30-IF($B$11&lt;=83,$B$12,0)+L719+M719+N719+O719+P719</f>
        <v>6846.57837451684</v>
      </c>
      <c r="X719" s="14" t="n">
        <f aca="false">$B$4-90*($B$5+$B$6)/30-IF($B$11&lt;=90,$B$12,0)+L719+M719+N719+O719+P719+Q719</f>
        <v>9543.32447926393</v>
      </c>
      <c r="AA719" s="14" t="n">
        <f aca="false">MIN(R719:X719)</f>
        <v>1251.10942185748</v>
      </c>
    </row>
    <row r="720" customFormat="false" ht="15" hidden="false" customHeight="false" outlineLevel="0" collapsed="false">
      <c r="K720" s="2" t="n">
        <v>715</v>
      </c>
      <c r="L720" s="14" t="n">
        <f aca="true">$B$16+NORMINV(RAND(),0,SQRT($B$13*($B$7+$B$8^2))*$B$9*(1-$B$10))</f>
        <v>3964.15706646933</v>
      </c>
      <c r="M720" s="14" t="n">
        <f aca="true">$B$16+NORMINV(RAND(),0,SQRT($B$13*($B$7+$B$8^2))*$B$9*(1-$B$10))</f>
        <v>4361.61513835049</v>
      </c>
      <c r="N720" s="14" t="n">
        <f aca="true">$B$16+NORMINV(RAND(),0,SQRT($B$13*($B$7+$B$8^2))*$B$9*(1-$B$10))</f>
        <v>4075.47982658859</v>
      </c>
      <c r="O720" s="14" t="n">
        <f aca="true">$B$16+NORMINV(RAND(),0,SQRT($B$13*($B$7+$B$8^2))*$B$9*(1-$B$10))</f>
        <v>4025.98480491847</v>
      </c>
      <c r="P720" s="14" t="n">
        <f aca="true">$B$16+NORMINV(RAND(),0,SQRT($B$13*($B$7+$B$8^2))*$B$9*(1-$B$10))</f>
        <v>3790.69438915283</v>
      </c>
      <c r="Q720" s="14" t="n">
        <f aca="true">$B$16+NORMINV(RAND(),0,SQRT($B$13*($B$7+$B$8^2))*$B$9*(1-$B$10))</f>
        <v>3676.08404349823</v>
      </c>
      <c r="R720" s="14" t="n">
        <f aca="false">$B$4-13*($B$5+$B$6)/30-IF($B$11&lt;=13,$B$12,0)+0</f>
        <v>8876.66666666667</v>
      </c>
      <c r="S720" s="14" t="n">
        <f aca="false">$B$4-27*($B$5+$B$6)/30-IF($B$11&lt;=27,$B$12,0)+L720</f>
        <v>10554.1570664693</v>
      </c>
      <c r="T720" s="14" t="n">
        <f aca="false">$B$4-41*($B$5+$B$6)/30-IF($B$11&lt;=41,$B$12,0)+L720+M720</f>
        <v>1444.30553815315</v>
      </c>
      <c r="U720" s="14" t="n">
        <f aca="false">$B$4-55*($B$5+$B$6)/30-IF($B$11&lt;=55,$B$12,0)+L720+M720+N720</f>
        <v>3233.11869807508</v>
      </c>
      <c r="V720" s="14" t="n">
        <f aca="false">$B$4-69*($B$5+$B$6)/30-IF($B$11&lt;=69,$B$12,0)+L720+M720+N720+O720</f>
        <v>4972.43683632689</v>
      </c>
      <c r="W720" s="14" t="n">
        <f aca="false">$B$4-83*($B$5+$B$6)/30-IF($B$11&lt;=83,$B$12,0)+L720+M720+N720+O720+P720</f>
        <v>6476.46455881304</v>
      </c>
      <c r="X720" s="14" t="n">
        <f aca="false">$B$4-90*($B$5+$B$6)/30-IF($B$11&lt;=90,$B$12,0)+L720+M720+N720+O720+P720+Q720</f>
        <v>9009.21526897794</v>
      </c>
      <c r="AA720" s="14" t="n">
        <f aca="false">MIN(R720:X720)</f>
        <v>1444.30553815315</v>
      </c>
    </row>
    <row r="721" customFormat="false" ht="15" hidden="false" customHeight="false" outlineLevel="0" collapsed="false">
      <c r="K721" s="2" t="n">
        <v>716</v>
      </c>
      <c r="L721" s="14" t="n">
        <f aca="true">$B$16+NORMINV(RAND(),0,SQRT($B$13*($B$7+$B$8^2))*$B$9*(1-$B$10))</f>
        <v>4102.02893837492</v>
      </c>
      <c r="M721" s="14" t="n">
        <f aca="true">$B$16+NORMINV(RAND(),0,SQRT($B$13*($B$7+$B$8^2))*$B$9*(1-$B$10))</f>
        <v>3831.85464272239</v>
      </c>
      <c r="N721" s="14" t="n">
        <f aca="true">$B$16+NORMINV(RAND(),0,SQRT($B$13*($B$7+$B$8^2))*$B$9*(1-$B$10))</f>
        <v>3738.0688406409</v>
      </c>
      <c r="O721" s="14" t="n">
        <f aca="true">$B$16+NORMINV(RAND(),0,SQRT($B$13*($B$7+$B$8^2))*$B$9*(1-$B$10))</f>
        <v>3524.80785662532</v>
      </c>
      <c r="P721" s="14" t="n">
        <f aca="true">$B$16+NORMINV(RAND(),0,SQRT($B$13*($B$7+$B$8^2))*$B$9*(1-$B$10))</f>
        <v>4080.020849583</v>
      </c>
      <c r="Q721" s="14" t="n">
        <f aca="true">$B$16+NORMINV(RAND(),0,SQRT($B$13*($B$7+$B$8^2))*$B$9*(1-$B$10))</f>
        <v>3383.68622101548</v>
      </c>
      <c r="R721" s="14" t="n">
        <f aca="false">$B$4-13*($B$5+$B$6)/30-IF($B$11&lt;=13,$B$12,0)+0</f>
        <v>8876.66666666667</v>
      </c>
      <c r="S721" s="14" t="n">
        <f aca="false">$B$4-27*($B$5+$B$6)/30-IF($B$11&lt;=27,$B$12,0)+L721</f>
        <v>10692.0289383749</v>
      </c>
      <c r="T721" s="14" t="n">
        <f aca="false">$B$4-41*($B$5+$B$6)/30-IF($B$11&lt;=41,$B$12,0)+L721+M721</f>
        <v>1052.41691443063</v>
      </c>
      <c r="U721" s="14" t="n">
        <f aca="false">$B$4-55*($B$5+$B$6)/30-IF($B$11&lt;=55,$B$12,0)+L721+M721+N721</f>
        <v>2503.81908840487</v>
      </c>
      <c r="V721" s="14" t="n">
        <f aca="false">$B$4-69*($B$5+$B$6)/30-IF($B$11&lt;=69,$B$12,0)+L721+M721+N721+O721</f>
        <v>3741.96027836352</v>
      </c>
      <c r="W721" s="14" t="n">
        <f aca="false">$B$4-83*($B$5+$B$6)/30-IF($B$11&lt;=83,$B$12,0)+L721+M721+N721+O721+P721</f>
        <v>5535.31446127985</v>
      </c>
      <c r="X721" s="14" t="n">
        <f aca="false">$B$4-90*($B$5+$B$6)/30-IF($B$11&lt;=90,$B$12,0)+L721+M721+N721+O721+P721+Q721</f>
        <v>7775.667348962</v>
      </c>
      <c r="AA721" s="14" t="n">
        <f aca="false">MIN(R721:X721)</f>
        <v>1052.41691443063</v>
      </c>
    </row>
    <row r="722" customFormat="false" ht="15" hidden="false" customHeight="false" outlineLevel="0" collapsed="false">
      <c r="K722" s="2" t="n">
        <v>717</v>
      </c>
      <c r="L722" s="14" t="n">
        <f aca="true">$B$16+NORMINV(RAND(),0,SQRT($B$13*($B$7+$B$8^2))*$B$9*(1-$B$10))</f>
        <v>4530.39119067822</v>
      </c>
      <c r="M722" s="14" t="n">
        <f aca="true">$B$16+NORMINV(RAND(),0,SQRT($B$13*($B$7+$B$8^2))*$B$9*(1-$B$10))</f>
        <v>3697.81767762837</v>
      </c>
      <c r="N722" s="14" t="n">
        <f aca="true">$B$16+NORMINV(RAND(),0,SQRT($B$13*($B$7+$B$8^2))*$B$9*(1-$B$10))</f>
        <v>3775.38713927012</v>
      </c>
      <c r="O722" s="14" t="n">
        <f aca="true">$B$16+NORMINV(RAND(),0,SQRT($B$13*($B$7+$B$8^2))*$B$9*(1-$B$10))</f>
        <v>3962.81930796749</v>
      </c>
      <c r="P722" s="14" t="n">
        <f aca="true">$B$16+NORMINV(RAND(),0,SQRT($B$13*($B$7+$B$8^2))*$B$9*(1-$B$10))</f>
        <v>4316.02876574029</v>
      </c>
      <c r="Q722" s="14" t="n">
        <f aca="true">$B$16+NORMINV(RAND(),0,SQRT($B$13*($B$7+$B$8^2))*$B$9*(1-$B$10))</f>
        <v>4927.63846394815</v>
      </c>
      <c r="R722" s="14" t="n">
        <f aca="false">$B$4-13*($B$5+$B$6)/30-IF($B$11&lt;=13,$B$12,0)+0</f>
        <v>8876.66666666667</v>
      </c>
      <c r="S722" s="14" t="n">
        <f aca="false">$B$4-27*($B$5+$B$6)/30-IF($B$11&lt;=27,$B$12,0)+L722</f>
        <v>11120.3911906782</v>
      </c>
      <c r="T722" s="14" t="n">
        <f aca="false">$B$4-41*($B$5+$B$6)/30-IF($B$11&lt;=41,$B$12,0)+L722+M722</f>
        <v>1346.74220163992</v>
      </c>
      <c r="U722" s="14" t="n">
        <f aca="false">$B$4-55*($B$5+$B$6)/30-IF($B$11&lt;=55,$B$12,0)+L722+M722+N722</f>
        <v>2835.46267424337</v>
      </c>
      <c r="V722" s="14" t="n">
        <f aca="false">$B$4-69*($B$5+$B$6)/30-IF($B$11&lt;=69,$B$12,0)+L722+M722+N722+O722</f>
        <v>4511.6153155442</v>
      </c>
      <c r="W722" s="14" t="n">
        <f aca="false">$B$4-83*($B$5+$B$6)/30-IF($B$11&lt;=83,$B$12,0)+L722+M722+N722+O722+P722</f>
        <v>6540.97741461783</v>
      </c>
      <c r="X722" s="14" t="n">
        <f aca="false">$B$4-90*($B$5+$B$6)/30-IF($B$11&lt;=90,$B$12,0)+L722+M722+N722+O722+P722+Q722</f>
        <v>10325.2825452326</v>
      </c>
      <c r="AA722" s="14" t="n">
        <f aca="false">MIN(R722:X722)</f>
        <v>1346.74220163992</v>
      </c>
    </row>
    <row r="723" customFormat="false" ht="15" hidden="false" customHeight="false" outlineLevel="0" collapsed="false">
      <c r="K723" s="2" t="n">
        <v>718</v>
      </c>
      <c r="L723" s="14" t="n">
        <f aca="true">$B$16+NORMINV(RAND(),0,SQRT($B$13*($B$7+$B$8^2))*$B$9*(1-$B$10))</f>
        <v>4659.51786430562</v>
      </c>
      <c r="M723" s="14" t="n">
        <f aca="true">$B$16+NORMINV(RAND(),0,SQRT($B$13*($B$7+$B$8^2))*$B$9*(1-$B$10))</f>
        <v>4599.9116512055</v>
      </c>
      <c r="N723" s="14" t="n">
        <f aca="true">$B$16+NORMINV(RAND(),0,SQRT($B$13*($B$7+$B$8^2))*$B$9*(1-$B$10))</f>
        <v>3694.4071002058</v>
      </c>
      <c r="O723" s="14" t="n">
        <f aca="true">$B$16+NORMINV(RAND(),0,SQRT($B$13*($B$7+$B$8^2))*$B$9*(1-$B$10))</f>
        <v>3559.99408206163</v>
      </c>
      <c r="P723" s="14" t="n">
        <f aca="true">$B$16+NORMINV(RAND(),0,SQRT($B$13*($B$7+$B$8^2))*$B$9*(1-$B$10))</f>
        <v>4255.29770360392</v>
      </c>
      <c r="Q723" s="14" t="n">
        <f aca="true">$B$16+NORMINV(RAND(),0,SQRT($B$13*($B$7+$B$8^2))*$B$9*(1-$B$10))</f>
        <v>4529.95670071082</v>
      </c>
      <c r="R723" s="14" t="n">
        <f aca="false">$B$4-13*($B$5+$B$6)/30-IF($B$11&lt;=13,$B$12,0)+0</f>
        <v>8876.66666666667</v>
      </c>
      <c r="S723" s="14" t="n">
        <f aca="false">$B$4-27*($B$5+$B$6)/30-IF($B$11&lt;=27,$B$12,0)+L723</f>
        <v>11249.5178643056</v>
      </c>
      <c r="T723" s="14" t="n">
        <f aca="false">$B$4-41*($B$5+$B$6)/30-IF($B$11&lt;=41,$B$12,0)+L723+M723</f>
        <v>2377.96284884446</v>
      </c>
      <c r="U723" s="14" t="n">
        <f aca="false">$B$4-55*($B$5+$B$6)/30-IF($B$11&lt;=55,$B$12,0)+L723+M723+N723</f>
        <v>3785.70328238359</v>
      </c>
      <c r="V723" s="14" t="n">
        <f aca="false">$B$4-69*($B$5+$B$6)/30-IF($B$11&lt;=69,$B$12,0)+L723+M723+N723+O723</f>
        <v>5059.03069777856</v>
      </c>
      <c r="W723" s="14" t="n">
        <f aca="false">$B$4-83*($B$5+$B$6)/30-IF($B$11&lt;=83,$B$12,0)+L723+M723+N723+O723+P723</f>
        <v>7027.66173471581</v>
      </c>
      <c r="X723" s="14" t="n">
        <f aca="false">$B$4-90*($B$5+$B$6)/30-IF($B$11&lt;=90,$B$12,0)+L723+M723+N723+O723+P723+Q723</f>
        <v>10414.2851020933</v>
      </c>
      <c r="AA723" s="14" t="n">
        <f aca="false">MIN(R723:X723)</f>
        <v>2377.96284884446</v>
      </c>
    </row>
    <row r="724" customFormat="false" ht="15" hidden="false" customHeight="false" outlineLevel="0" collapsed="false">
      <c r="K724" s="2" t="n">
        <v>719</v>
      </c>
      <c r="L724" s="14" t="n">
        <f aca="true">$B$16+NORMINV(RAND(),0,SQRT($B$13*($B$7+$B$8^2))*$B$9*(1-$B$10))</f>
        <v>4106.71325049941</v>
      </c>
      <c r="M724" s="14" t="n">
        <f aca="true">$B$16+NORMINV(RAND(),0,SQRT($B$13*($B$7+$B$8^2))*$B$9*(1-$B$10))</f>
        <v>3542.21091909344</v>
      </c>
      <c r="N724" s="14" t="n">
        <f aca="true">$B$16+NORMINV(RAND(),0,SQRT($B$13*($B$7+$B$8^2))*$B$9*(1-$B$10))</f>
        <v>4032.64313988207</v>
      </c>
      <c r="O724" s="14" t="n">
        <f aca="true">$B$16+NORMINV(RAND(),0,SQRT($B$13*($B$7+$B$8^2))*$B$9*(1-$B$10))</f>
        <v>4266.33119882096</v>
      </c>
      <c r="P724" s="14" t="n">
        <f aca="true">$B$16+NORMINV(RAND(),0,SQRT($B$13*($B$7+$B$8^2))*$B$9*(1-$B$10))</f>
        <v>3986.536829713</v>
      </c>
      <c r="Q724" s="14" t="n">
        <f aca="true">$B$16+NORMINV(RAND(),0,SQRT($B$13*($B$7+$B$8^2))*$B$9*(1-$B$10))</f>
        <v>4384.21566868989</v>
      </c>
      <c r="R724" s="14" t="n">
        <f aca="false">$B$4-13*($B$5+$B$6)/30-IF($B$11&lt;=13,$B$12,0)+0</f>
        <v>8876.66666666667</v>
      </c>
      <c r="S724" s="14" t="n">
        <f aca="false">$B$4-27*($B$5+$B$6)/30-IF($B$11&lt;=27,$B$12,0)+L724</f>
        <v>10696.7132504994</v>
      </c>
      <c r="T724" s="14" t="n">
        <f aca="false">$B$4-41*($B$5+$B$6)/30-IF($B$11&lt;=41,$B$12,0)+L724+M724</f>
        <v>767.457502926183</v>
      </c>
      <c r="U724" s="14" t="n">
        <f aca="false">$B$4-55*($B$5+$B$6)/30-IF($B$11&lt;=55,$B$12,0)+L724+M724+N724</f>
        <v>2513.43397614158</v>
      </c>
      <c r="V724" s="14" t="n">
        <f aca="false">$B$4-69*($B$5+$B$6)/30-IF($B$11&lt;=69,$B$12,0)+L724+M724+N724+O724</f>
        <v>4493.09850829587</v>
      </c>
      <c r="W724" s="14" t="n">
        <f aca="false">$B$4-83*($B$5+$B$6)/30-IF($B$11&lt;=83,$B$12,0)+L724+M724+N724+O724+P724</f>
        <v>6192.96867134221</v>
      </c>
      <c r="X724" s="14" t="n">
        <f aca="false">$B$4-90*($B$5+$B$6)/30-IF($B$11&lt;=90,$B$12,0)+L724+M724+N724+O724+P724+Q724</f>
        <v>9433.85100669877</v>
      </c>
      <c r="AA724" s="14" t="n">
        <f aca="false">MIN(R724:X724)</f>
        <v>767.457502926183</v>
      </c>
    </row>
    <row r="725" customFormat="false" ht="15" hidden="false" customHeight="false" outlineLevel="0" collapsed="false">
      <c r="K725" s="2" t="n">
        <v>720</v>
      </c>
      <c r="L725" s="14" t="n">
        <f aca="true">$B$16+NORMINV(RAND(),0,SQRT($B$13*($B$7+$B$8^2))*$B$9*(1-$B$10))</f>
        <v>4206.79454610173</v>
      </c>
      <c r="M725" s="14" t="n">
        <f aca="true">$B$16+NORMINV(RAND(),0,SQRT($B$13*($B$7+$B$8^2))*$B$9*(1-$B$10))</f>
        <v>4303.76081193822</v>
      </c>
      <c r="N725" s="14" t="n">
        <f aca="true">$B$16+NORMINV(RAND(),0,SQRT($B$13*($B$7+$B$8^2))*$B$9*(1-$B$10))</f>
        <v>3565.70054943465</v>
      </c>
      <c r="O725" s="14" t="n">
        <f aca="true">$B$16+NORMINV(RAND(),0,SQRT($B$13*($B$7+$B$8^2))*$B$9*(1-$B$10))</f>
        <v>4443.2011676809</v>
      </c>
      <c r="P725" s="14" t="n">
        <f aca="true">$B$16+NORMINV(RAND(),0,SQRT($B$13*($B$7+$B$8^2))*$B$9*(1-$B$10))</f>
        <v>4205.60129120084</v>
      </c>
      <c r="Q725" s="14" t="n">
        <f aca="true">$B$16+NORMINV(RAND(),0,SQRT($B$13*($B$7+$B$8^2))*$B$9*(1-$B$10))</f>
        <v>3855.00193981669</v>
      </c>
      <c r="R725" s="14" t="n">
        <f aca="false">$B$4-13*($B$5+$B$6)/30-IF($B$11&lt;=13,$B$12,0)+0</f>
        <v>8876.66666666667</v>
      </c>
      <c r="S725" s="14" t="n">
        <f aca="false">$B$4-27*($B$5+$B$6)/30-IF($B$11&lt;=27,$B$12,0)+L725</f>
        <v>10796.7945461017</v>
      </c>
      <c r="T725" s="14" t="n">
        <f aca="false">$B$4-41*($B$5+$B$6)/30-IF($B$11&lt;=41,$B$12,0)+L725+M725</f>
        <v>1629.08869137328</v>
      </c>
      <c r="U725" s="14" t="n">
        <f aca="false">$B$4-55*($B$5+$B$6)/30-IF($B$11&lt;=55,$B$12,0)+L725+M725+N725</f>
        <v>2908.12257414127</v>
      </c>
      <c r="V725" s="14" t="n">
        <f aca="false">$B$4-69*($B$5+$B$6)/30-IF($B$11&lt;=69,$B$12,0)+L725+M725+N725+O725</f>
        <v>5064.6570751555</v>
      </c>
      <c r="W725" s="14" t="n">
        <f aca="false">$B$4-83*($B$5+$B$6)/30-IF($B$11&lt;=83,$B$12,0)+L725+M725+N725+O725+P725</f>
        <v>6983.59169968967</v>
      </c>
      <c r="X725" s="14" t="n">
        <f aca="false">$B$4-90*($B$5+$B$6)/30-IF($B$11&lt;=90,$B$12,0)+L725+M725+N725+O725+P725+Q725</f>
        <v>9695.26030617303</v>
      </c>
      <c r="AA725" s="14" t="n">
        <f aca="false">MIN(R725:X725)</f>
        <v>1629.08869137328</v>
      </c>
    </row>
    <row r="726" customFormat="false" ht="15" hidden="false" customHeight="false" outlineLevel="0" collapsed="false">
      <c r="K726" s="2" t="n">
        <v>721</v>
      </c>
      <c r="L726" s="14" t="n">
        <f aca="true">$B$16+NORMINV(RAND(),0,SQRT($B$13*($B$7+$B$8^2))*$B$9*(1-$B$10))</f>
        <v>3924.54278841653</v>
      </c>
      <c r="M726" s="14" t="n">
        <f aca="true">$B$16+NORMINV(RAND(),0,SQRT($B$13*($B$7+$B$8^2))*$B$9*(1-$B$10))</f>
        <v>4009.72833112276</v>
      </c>
      <c r="N726" s="14" t="n">
        <f aca="true">$B$16+NORMINV(RAND(),0,SQRT($B$13*($B$7+$B$8^2))*$B$9*(1-$B$10))</f>
        <v>3816.57907486877</v>
      </c>
      <c r="O726" s="14" t="n">
        <f aca="true">$B$16+NORMINV(RAND(),0,SQRT($B$13*($B$7+$B$8^2))*$B$9*(1-$B$10))</f>
        <v>4161.58009635755</v>
      </c>
      <c r="P726" s="14" t="n">
        <f aca="true">$B$16+NORMINV(RAND(),0,SQRT($B$13*($B$7+$B$8^2))*$B$9*(1-$B$10))</f>
        <v>4138.41830845994</v>
      </c>
      <c r="Q726" s="14" t="n">
        <f aca="true">$B$16+NORMINV(RAND(),0,SQRT($B$13*($B$7+$B$8^2))*$B$9*(1-$B$10))</f>
        <v>4249.42756670689</v>
      </c>
      <c r="R726" s="14" t="n">
        <f aca="false">$B$4-13*($B$5+$B$6)/30-IF($B$11&lt;=13,$B$12,0)+0</f>
        <v>8876.66666666667</v>
      </c>
      <c r="S726" s="14" t="n">
        <f aca="false">$B$4-27*($B$5+$B$6)/30-IF($B$11&lt;=27,$B$12,0)+L726</f>
        <v>10514.5427884165</v>
      </c>
      <c r="T726" s="14" t="n">
        <f aca="false">$B$4-41*($B$5+$B$6)/30-IF($B$11&lt;=41,$B$12,0)+L726+M726</f>
        <v>1052.80445287262</v>
      </c>
      <c r="U726" s="14" t="n">
        <f aca="false">$B$4-55*($B$5+$B$6)/30-IF($B$11&lt;=55,$B$12,0)+L726+M726+N726</f>
        <v>2582.71686107472</v>
      </c>
      <c r="V726" s="14" t="n">
        <f aca="false">$B$4-69*($B$5+$B$6)/30-IF($B$11&lt;=69,$B$12,0)+L726+M726+N726+O726</f>
        <v>4457.6302907656</v>
      </c>
      <c r="W726" s="14" t="n">
        <f aca="false">$B$4-83*($B$5+$B$6)/30-IF($B$11&lt;=83,$B$12,0)+L726+M726+N726+O726+P726</f>
        <v>6309.38193255887</v>
      </c>
      <c r="X726" s="14" t="n">
        <f aca="false">$B$4-90*($B$5+$B$6)/30-IF($B$11&lt;=90,$B$12,0)+L726+M726+N726+O726+P726+Q726</f>
        <v>9415.47616593243</v>
      </c>
      <c r="AA726" s="14" t="n">
        <f aca="false">MIN(R726:X726)</f>
        <v>1052.80445287262</v>
      </c>
    </row>
    <row r="727" customFormat="false" ht="15" hidden="false" customHeight="false" outlineLevel="0" collapsed="false">
      <c r="K727" s="2" t="n">
        <v>722</v>
      </c>
      <c r="L727" s="14" t="n">
        <f aca="true">$B$16+NORMINV(RAND(),0,SQRT($B$13*($B$7+$B$8^2))*$B$9*(1-$B$10))</f>
        <v>3833.3056871846</v>
      </c>
      <c r="M727" s="14" t="n">
        <f aca="true">$B$16+NORMINV(RAND(),0,SQRT($B$13*($B$7+$B$8^2))*$B$9*(1-$B$10))</f>
        <v>4594.61896356831</v>
      </c>
      <c r="N727" s="14" t="n">
        <f aca="true">$B$16+NORMINV(RAND(),0,SQRT($B$13*($B$7+$B$8^2))*$B$9*(1-$B$10))</f>
        <v>3588.74687163557</v>
      </c>
      <c r="O727" s="14" t="n">
        <f aca="true">$B$16+NORMINV(RAND(),0,SQRT($B$13*($B$7+$B$8^2))*$B$9*(1-$B$10))</f>
        <v>4507.21092993092</v>
      </c>
      <c r="P727" s="14" t="n">
        <f aca="true">$B$16+NORMINV(RAND(),0,SQRT($B$13*($B$7+$B$8^2))*$B$9*(1-$B$10))</f>
        <v>4324.16394802149</v>
      </c>
      <c r="Q727" s="14" t="n">
        <f aca="true">$B$16+NORMINV(RAND(),0,SQRT($B$13*($B$7+$B$8^2))*$B$9*(1-$B$10))</f>
        <v>4865.73909292132</v>
      </c>
      <c r="R727" s="14" t="n">
        <f aca="false">$B$4-13*($B$5+$B$6)/30-IF($B$11&lt;=13,$B$12,0)+0</f>
        <v>8876.66666666667</v>
      </c>
      <c r="S727" s="14" t="n">
        <f aca="false">$B$4-27*($B$5+$B$6)/30-IF($B$11&lt;=27,$B$12,0)+L727</f>
        <v>10423.3056871846</v>
      </c>
      <c r="T727" s="14" t="n">
        <f aca="false">$B$4-41*($B$5+$B$6)/30-IF($B$11&lt;=41,$B$12,0)+L727+M727</f>
        <v>1546.45798408624</v>
      </c>
      <c r="U727" s="14" t="n">
        <f aca="false">$B$4-55*($B$5+$B$6)/30-IF($B$11&lt;=55,$B$12,0)+L727+M727+N727</f>
        <v>2848.53818905514</v>
      </c>
      <c r="V727" s="14" t="n">
        <f aca="false">$B$4-69*($B$5+$B$6)/30-IF($B$11&lt;=69,$B$12,0)+L727+M727+N727+O727</f>
        <v>5069.08245231939</v>
      </c>
      <c r="W727" s="14" t="n">
        <f aca="false">$B$4-83*($B$5+$B$6)/30-IF($B$11&lt;=83,$B$12,0)+L727+M727+N727+O727+P727</f>
        <v>7106.57973367422</v>
      </c>
      <c r="X727" s="14" t="n">
        <f aca="false">$B$4-90*($B$5+$B$6)/30-IF($B$11&lt;=90,$B$12,0)+L727+M727+N727+O727+P727+Q727</f>
        <v>10828.9854932622</v>
      </c>
      <c r="AA727" s="14" t="n">
        <f aca="false">MIN(R727:X727)</f>
        <v>1546.45798408624</v>
      </c>
    </row>
    <row r="728" customFormat="false" ht="15" hidden="false" customHeight="false" outlineLevel="0" collapsed="false">
      <c r="K728" s="2" t="n">
        <v>723</v>
      </c>
      <c r="L728" s="14" t="n">
        <f aca="true">$B$16+NORMINV(RAND(),0,SQRT($B$13*($B$7+$B$8^2))*$B$9*(1-$B$10))</f>
        <v>4328.84274990236</v>
      </c>
      <c r="M728" s="14" t="n">
        <f aca="true">$B$16+NORMINV(RAND(),0,SQRT($B$13*($B$7+$B$8^2))*$B$9*(1-$B$10))</f>
        <v>4103.70202125562</v>
      </c>
      <c r="N728" s="14" t="n">
        <f aca="true">$B$16+NORMINV(RAND(),0,SQRT($B$13*($B$7+$B$8^2))*$B$9*(1-$B$10))</f>
        <v>3467.72697990279</v>
      </c>
      <c r="O728" s="14" t="n">
        <f aca="true">$B$16+NORMINV(RAND(),0,SQRT($B$13*($B$7+$B$8^2))*$B$9*(1-$B$10))</f>
        <v>3848.93817437416</v>
      </c>
      <c r="P728" s="14" t="n">
        <f aca="true">$B$16+NORMINV(RAND(),0,SQRT($B$13*($B$7+$B$8^2))*$B$9*(1-$B$10))</f>
        <v>4307.01485479452</v>
      </c>
      <c r="Q728" s="14" t="n">
        <f aca="true">$B$16+NORMINV(RAND(),0,SQRT($B$13*($B$7+$B$8^2))*$B$9*(1-$B$10))</f>
        <v>4214.50251915297</v>
      </c>
      <c r="R728" s="14" t="n">
        <f aca="false">$B$4-13*($B$5+$B$6)/30-IF($B$11&lt;=13,$B$12,0)+0</f>
        <v>8876.66666666667</v>
      </c>
      <c r="S728" s="14" t="n">
        <f aca="false">$B$4-27*($B$5+$B$6)/30-IF($B$11&lt;=27,$B$12,0)+L728</f>
        <v>10918.8427499024</v>
      </c>
      <c r="T728" s="14" t="n">
        <f aca="false">$B$4-41*($B$5+$B$6)/30-IF($B$11&lt;=41,$B$12,0)+L728+M728</f>
        <v>1551.07810449131</v>
      </c>
      <c r="U728" s="14" t="n">
        <f aca="false">$B$4-55*($B$5+$B$6)/30-IF($B$11&lt;=55,$B$12,0)+L728+M728+N728</f>
        <v>2732.13841772743</v>
      </c>
      <c r="V728" s="14" t="n">
        <f aca="false">$B$4-69*($B$5+$B$6)/30-IF($B$11&lt;=69,$B$12,0)+L728+M728+N728+O728</f>
        <v>4294.40992543492</v>
      </c>
      <c r="W728" s="14" t="n">
        <f aca="false">$B$4-83*($B$5+$B$6)/30-IF($B$11&lt;=83,$B$12,0)+L728+M728+N728+O728+P728</f>
        <v>6314.75811356278</v>
      </c>
      <c r="X728" s="14" t="n">
        <f aca="false">$B$4-90*($B$5+$B$6)/30-IF($B$11&lt;=90,$B$12,0)+L728+M728+N728+O728+P728+Q728</f>
        <v>9385.92729938242</v>
      </c>
      <c r="AA728" s="14" t="n">
        <f aca="false">MIN(R728:X728)</f>
        <v>1551.07810449131</v>
      </c>
    </row>
    <row r="729" customFormat="false" ht="15" hidden="false" customHeight="false" outlineLevel="0" collapsed="false">
      <c r="K729" s="2" t="n">
        <v>724</v>
      </c>
      <c r="L729" s="14" t="n">
        <f aca="true">$B$16+NORMINV(RAND(),0,SQRT($B$13*($B$7+$B$8^2))*$B$9*(1-$B$10))</f>
        <v>3985.71207173262</v>
      </c>
      <c r="M729" s="14" t="n">
        <f aca="true">$B$16+NORMINV(RAND(),0,SQRT($B$13*($B$7+$B$8^2))*$B$9*(1-$B$10))</f>
        <v>3755.98722967785</v>
      </c>
      <c r="N729" s="14" t="n">
        <f aca="true">$B$16+NORMINV(RAND(),0,SQRT($B$13*($B$7+$B$8^2))*$B$9*(1-$B$10))</f>
        <v>4629.75804799881</v>
      </c>
      <c r="O729" s="14" t="n">
        <f aca="true">$B$16+NORMINV(RAND(),0,SQRT($B$13*($B$7+$B$8^2))*$B$9*(1-$B$10))</f>
        <v>4025.6906111736</v>
      </c>
      <c r="P729" s="14" t="n">
        <f aca="true">$B$16+NORMINV(RAND(),0,SQRT($B$13*($B$7+$B$8^2))*$B$9*(1-$B$10))</f>
        <v>4255.45835056302</v>
      </c>
      <c r="Q729" s="14" t="n">
        <f aca="true">$B$16+NORMINV(RAND(),0,SQRT($B$13*($B$7+$B$8^2))*$B$9*(1-$B$10))</f>
        <v>3589.51023216621</v>
      </c>
      <c r="R729" s="14" t="n">
        <f aca="false">$B$4-13*($B$5+$B$6)/30-IF($B$11&lt;=13,$B$12,0)+0</f>
        <v>8876.66666666667</v>
      </c>
      <c r="S729" s="14" t="n">
        <f aca="false">$B$4-27*($B$5+$B$6)/30-IF($B$11&lt;=27,$B$12,0)+L729</f>
        <v>10575.7120717326</v>
      </c>
      <c r="T729" s="14" t="n">
        <f aca="false">$B$4-41*($B$5+$B$6)/30-IF($B$11&lt;=41,$B$12,0)+L729+M729</f>
        <v>860.232634743805</v>
      </c>
      <c r="U729" s="14" t="n">
        <f aca="false">$B$4-55*($B$5+$B$6)/30-IF($B$11&lt;=55,$B$12,0)+L729+M729+N729</f>
        <v>3203.32401607595</v>
      </c>
      <c r="V729" s="14" t="n">
        <f aca="false">$B$4-69*($B$5+$B$6)/30-IF($B$11&lt;=69,$B$12,0)+L729+M729+N729+O729</f>
        <v>4942.34796058287</v>
      </c>
      <c r="W729" s="14" t="n">
        <f aca="false">$B$4-83*($B$5+$B$6)/30-IF($B$11&lt;=83,$B$12,0)+L729+M729+N729+O729+P729</f>
        <v>6911.13964447923</v>
      </c>
      <c r="X729" s="14" t="n">
        <f aca="false">$B$4-90*($B$5+$B$6)/30-IF($B$11&lt;=90,$B$12,0)+L729+M729+N729+O729+P729+Q729</f>
        <v>9357.3165433121</v>
      </c>
      <c r="AA729" s="14" t="n">
        <f aca="false">MIN(R729:X729)</f>
        <v>860.232634743805</v>
      </c>
    </row>
    <row r="730" customFormat="false" ht="15" hidden="false" customHeight="false" outlineLevel="0" collapsed="false">
      <c r="K730" s="2" t="n">
        <v>725</v>
      </c>
      <c r="L730" s="14" t="n">
        <f aca="true">$B$16+NORMINV(RAND(),0,SQRT($B$13*($B$7+$B$8^2))*$B$9*(1-$B$10))</f>
        <v>4226.81663695295</v>
      </c>
      <c r="M730" s="14" t="n">
        <f aca="true">$B$16+NORMINV(RAND(),0,SQRT($B$13*($B$7+$B$8^2))*$B$9*(1-$B$10))</f>
        <v>4264.50614731001</v>
      </c>
      <c r="N730" s="14" t="n">
        <f aca="true">$B$16+NORMINV(RAND(),0,SQRT($B$13*($B$7+$B$8^2))*$B$9*(1-$B$10))</f>
        <v>3926.78901580741</v>
      </c>
      <c r="O730" s="14" t="n">
        <f aca="true">$B$16+NORMINV(RAND(),0,SQRT($B$13*($B$7+$B$8^2))*$B$9*(1-$B$10))</f>
        <v>4233.34520916538</v>
      </c>
      <c r="P730" s="14" t="n">
        <f aca="true">$B$16+NORMINV(RAND(),0,SQRT($B$13*($B$7+$B$8^2))*$B$9*(1-$B$10))</f>
        <v>4290.98463496469</v>
      </c>
      <c r="Q730" s="14" t="n">
        <f aca="true">$B$16+NORMINV(RAND(),0,SQRT($B$13*($B$7+$B$8^2))*$B$9*(1-$B$10))</f>
        <v>4606.90010298719</v>
      </c>
      <c r="R730" s="14" t="n">
        <f aca="false">$B$4-13*($B$5+$B$6)/30-IF($B$11&lt;=13,$B$12,0)+0</f>
        <v>8876.66666666667</v>
      </c>
      <c r="S730" s="14" t="n">
        <f aca="false">$B$4-27*($B$5+$B$6)/30-IF($B$11&lt;=27,$B$12,0)+L730</f>
        <v>10816.816636953</v>
      </c>
      <c r="T730" s="14" t="n">
        <f aca="false">$B$4-41*($B$5+$B$6)/30-IF($B$11&lt;=41,$B$12,0)+L730+M730</f>
        <v>1609.85611759629</v>
      </c>
      <c r="U730" s="14" t="n">
        <f aca="false">$B$4-55*($B$5+$B$6)/30-IF($B$11&lt;=55,$B$12,0)+L730+M730+N730</f>
        <v>3249.97846673704</v>
      </c>
      <c r="V730" s="14" t="n">
        <f aca="false">$B$4-69*($B$5+$B$6)/30-IF($B$11&lt;=69,$B$12,0)+L730+M730+N730+O730</f>
        <v>5196.65700923575</v>
      </c>
      <c r="W730" s="14" t="n">
        <f aca="false">$B$4-83*($B$5+$B$6)/30-IF($B$11&lt;=83,$B$12,0)+L730+M730+N730+O730+P730</f>
        <v>7200.97497753378</v>
      </c>
      <c r="X730" s="14" t="n">
        <f aca="false">$B$4-90*($B$5+$B$6)/30-IF($B$11&lt;=90,$B$12,0)+L730+M730+N730+O730+P730+Q730</f>
        <v>10664.5417471876</v>
      </c>
      <c r="AA730" s="14" t="n">
        <f aca="false">MIN(R730:X730)</f>
        <v>1609.85611759629</v>
      </c>
    </row>
    <row r="731" customFormat="false" ht="15" hidden="false" customHeight="false" outlineLevel="0" collapsed="false">
      <c r="K731" s="2" t="n">
        <v>726</v>
      </c>
      <c r="L731" s="14" t="n">
        <f aca="true">$B$16+NORMINV(RAND(),0,SQRT($B$13*($B$7+$B$8^2))*$B$9*(1-$B$10))</f>
        <v>4057.18101016474</v>
      </c>
      <c r="M731" s="14" t="n">
        <f aca="true">$B$16+NORMINV(RAND(),0,SQRT($B$13*($B$7+$B$8^2))*$B$9*(1-$B$10))</f>
        <v>3627.85661505245</v>
      </c>
      <c r="N731" s="14" t="n">
        <f aca="true">$B$16+NORMINV(RAND(),0,SQRT($B$13*($B$7+$B$8^2))*$B$9*(1-$B$10))</f>
        <v>4837.60392720252</v>
      </c>
      <c r="O731" s="14" t="n">
        <f aca="true">$B$16+NORMINV(RAND(),0,SQRT($B$13*($B$7+$B$8^2))*$B$9*(1-$B$10))</f>
        <v>4283.87261223591</v>
      </c>
      <c r="P731" s="14" t="n">
        <f aca="true">$B$16+NORMINV(RAND(),0,SQRT($B$13*($B$7+$B$8^2))*$B$9*(1-$B$10))</f>
        <v>4109.43798868193</v>
      </c>
      <c r="Q731" s="14" t="n">
        <f aca="true">$B$16+NORMINV(RAND(),0,SQRT($B$13*($B$7+$B$8^2))*$B$9*(1-$B$10))</f>
        <v>3580.31255761192</v>
      </c>
      <c r="R731" s="14" t="n">
        <f aca="false">$B$4-13*($B$5+$B$6)/30-IF($B$11&lt;=13,$B$12,0)+0</f>
        <v>8876.66666666667</v>
      </c>
      <c r="S731" s="14" t="n">
        <f aca="false">$B$4-27*($B$5+$B$6)/30-IF($B$11&lt;=27,$B$12,0)+L731</f>
        <v>10647.1810101647</v>
      </c>
      <c r="T731" s="14" t="n">
        <f aca="false">$B$4-41*($B$5+$B$6)/30-IF($B$11&lt;=41,$B$12,0)+L731+M731</f>
        <v>803.570958550522</v>
      </c>
      <c r="U731" s="14" t="n">
        <f aca="false">$B$4-55*($B$5+$B$6)/30-IF($B$11&lt;=55,$B$12,0)+L731+M731+N731</f>
        <v>3354.50821908637</v>
      </c>
      <c r="V731" s="14" t="n">
        <f aca="false">$B$4-69*($B$5+$B$6)/30-IF($B$11&lt;=69,$B$12,0)+L731+M731+N731+O731</f>
        <v>5351.71416465561</v>
      </c>
      <c r="W731" s="14" t="n">
        <f aca="false">$B$4-83*($B$5+$B$6)/30-IF($B$11&lt;=83,$B$12,0)+L731+M731+N731+O731+P731</f>
        <v>7174.48548667088</v>
      </c>
      <c r="X731" s="14" t="n">
        <f aca="false">$B$4-90*($B$5+$B$6)/30-IF($B$11&lt;=90,$B$12,0)+L731+M731+N731+O731+P731+Q731</f>
        <v>9611.46471094946</v>
      </c>
      <c r="AA731" s="14" t="n">
        <f aca="false">MIN(R731:X731)</f>
        <v>803.570958550522</v>
      </c>
    </row>
    <row r="732" customFormat="false" ht="15" hidden="false" customHeight="false" outlineLevel="0" collapsed="false">
      <c r="K732" s="2" t="n">
        <v>727</v>
      </c>
      <c r="L732" s="14" t="n">
        <f aca="true">$B$16+NORMINV(RAND(),0,SQRT($B$13*($B$7+$B$8^2))*$B$9*(1-$B$10))</f>
        <v>3687.64405926031</v>
      </c>
      <c r="M732" s="14" t="n">
        <f aca="true">$B$16+NORMINV(RAND(),0,SQRT($B$13*($B$7+$B$8^2))*$B$9*(1-$B$10))</f>
        <v>4081.04384151039</v>
      </c>
      <c r="N732" s="14" t="n">
        <f aca="true">$B$16+NORMINV(RAND(),0,SQRT($B$13*($B$7+$B$8^2))*$B$9*(1-$B$10))</f>
        <v>3985.49549866699</v>
      </c>
      <c r="O732" s="14" t="n">
        <f aca="true">$B$16+NORMINV(RAND(),0,SQRT($B$13*($B$7+$B$8^2))*$B$9*(1-$B$10))</f>
        <v>3941.3072529581</v>
      </c>
      <c r="P732" s="14" t="n">
        <f aca="true">$B$16+NORMINV(RAND(),0,SQRT($B$13*($B$7+$B$8^2))*$B$9*(1-$B$10))</f>
        <v>4084.17520230412</v>
      </c>
      <c r="Q732" s="14" t="n">
        <f aca="true">$B$16+NORMINV(RAND(),0,SQRT($B$13*($B$7+$B$8^2))*$B$9*(1-$B$10))</f>
        <v>4196.52438625726</v>
      </c>
      <c r="R732" s="14" t="n">
        <f aca="false">$B$4-13*($B$5+$B$6)/30-IF($B$11&lt;=13,$B$12,0)+0</f>
        <v>8876.66666666667</v>
      </c>
      <c r="S732" s="14" t="n">
        <f aca="false">$B$4-27*($B$5+$B$6)/30-IF($B$11&lt;=27,$B$12,0)+L732</f>
        <v>10277.6440592603</v>
      </c>
      <c r="T732" s="14" t="n">
        <f aca="false">$B$4-41*($B$5+$B$6)/30-IF($B$11&lt;=41,$B$12,0)+L732+M732</f>
        <v>887.22123410403</v>
      </c>
      <c r="U732" s="14" t="n">
        <f aca="false">$B$4-55*($B$5+$B$6)/30-IF($B$11&lt;=55,$B$12,0)+L732+M732+N732</f>
        <v>2586.05006610435</v>
      </c>
      <c r="V732" s="14" t="n">
        <f aca="false">$B$4-69*($B$5+$B$6)/30-IF($B$11&lt;=69,$B$12,0)+L732+M732+N732+O732</f>
        <v>4240.69065239579</v>
      </c>
      <c r="W732" s="14" t="n">
        <f aca="false">$B$4-83*($B$5+$B$6)/30-IF($B$11&lt;=83,$B$12,0)+L732+M732+N732+O732+P732</f>
        <v>6038.19918803324</v>
      </c>
      <c r="X732" s="14" t="n">
        <f aca="false">$B$4-90*($B$5+$B$6)/30-IF($B$11&lt;=90,$B$12,0)+L732+M732+N732+O732+P732+Q732</f>
        <v>9091.39024095716</v>
      </c>
      <c r="AA732" s="14" t="n">
        <f aca="false">MIN(R732:X732)</f>
        <v>887.22123410403</v>
      </c>
    </row>
    <row r="733" customFormat="false" ht="15" hidden="false" customHeight="false" outlineLevel="0" collapsed="false">
      <c r="K733" s="2" t="n">
        <v>728</v>
      </c>
      <c r="L733" s="14" t="n">
        <f aca="true">$B$16+NORMINV(RAND(),0,SQRT($B$13*($B$7+$B$8^2))*$B$9*(1-$B$10))</f>
        <v>4001.77820432093</v>
      </c>
      <c r="M733" s="14" t="n">
        <f aca="true">$B$16+NORMINV(RAND(),0,SQRT($B$13*($B$7+$B$8^2))*$B$9*(1-$B$10))</f>
        <v>3788.85840203758</v>
      </c>
      <c r="N733" s="14" t="n">
        <f aca="true">$B$16+NORMINV(RAND(),0,SQRT($B$13*($B$7+$B$8^2))*$B$9*(1-$B$10))</f>
        <v>3379.59597989813</v>
      </c>
      <c r="O733" s="14" t="n">
        <f aca="true">$B$16+NORMINV(RAND(),0,SQRT($B$13*($B$7+$B$8^2))*$B$9*(1-$B$10))</f>
        <v>3846.8683887826</v>
      </c>
      <c r="P733" s="14" t="n">
        <f aca="true">$B$16+NORMINV(RAND(),0,SQRT($B$13*($B$7+$B$8^2))*$B$9*(1-$B$10))</f>
        <v>3740.08151740408</v>
      </c>
      <c r="Q733" s="14" t="n">
        <f aca="true">$B$16+NORMINV(RAND(),0,SQRT($B$13*($B$7+$B$8^2))*$B$9*(1-$B$10))</f>
        <v>4521.2219635035</v>
      </c>
      <c r="R733" s="14" t="n">
        <f aca="false">$B$4-13*($B$5+$B$6)/30-IF($B$11&lt;=13,$B$12,0)+0</f>
        <v>8876.66666666667</v>
      </c>
      <c r="S733" s="14" t="n">
        <f aca="false">$B$4-27*($B$5+$B$6)/30-IF($B$11&lt;=27,$B$12,0)+L733</f>
        <v>10591.7782043209</v>
      </c>
      <c r="T733" s="14" t="n">
        <f aca="false">$B$4-41*($B$5+$B$6)/30-IF($B$11&lt;=41,$B$12,0)+L733+M733</f>
        <v>909.169939691837</v>
      </c>
      <c r="U733" s="14" t="n">
        <f aca="false">$B$4-55*($B$5+$B$6)/30-IF($B$11&lt;=55,$B$12,0)+L733+M733+N733</f>
        <v>2002.0992529233</v>
      </c>
      <c r="V733" s="14" t="n">
        <f aca="false">$B$4-69*($B$5+$B$6)/30-IF($B$11&lt;=69,$B$12,0)+L733+M733+N733+O733</f>
        <v>3562.30097503923</v>
      </c>
      <c r="W733" s="14" t="n">
        <f aca="false">$B$4-83*($B$5+$B$6)/30-IF($B$11&lt;=83,$B$12,0)+L733+M733+N733+O733+P733</f>
        <v>5015.71582577665</v>
      </c>
      <c r="X733" s="14" t="n">
        <f aca="false">$B$4-90*($B$5+$B$6)/30-IF($B$11&lt;=90,$B$12,0)+L733+M733+N733+O733+P733+Q733</f>
        <v>8393.60445594681</v>
      </c>
      <c r="AA733" s="14" t="n">
        <f aca="false">MIN(R733:X733)</f>
        <v>909.169939691837</v>
      </c>
    </row>
    <row r="734" customFormat="false" ht="15" hidden="false" customHeight="false" outlineLevel="0" collapsed="false">
      <c r="K734" s="2" t="n">
        <v>729</v>
      </c>
      <c r="L734" s="14" t="n">
        <f aca="true">$B$16+NORMINV(RAND(),0,SQRT($B$13*($B$7+$B$8^2))*$B$9*(1-$B$10))</f>
        <v>4083.88645584726</v>
      </c>
      <c r="M734" s="14" t="n">
        <f aca="true">$B$16+NORMINV(RAND(),0,SQRT($B$13*($B$7+$B$8^2))*$B$9*(1-$B$10))</f>
        <v>3885.12434669364</v>
      </c>
      <c r="N734" s="14" t="n">
        <f aca="true">$B$16+NORMINV(RAND(),0,SQRT($B$13*($B$7+$B$8^2))*$B$9*(1-$B$10))</f>
        <v>4032.88044121671</v>
      </c>
      <c r="O734" s="14" t="n">
        <f aca="true">$B$16+NORMINV(RAND(),0,SQRT($B$13*($B$7+$B$8^2))*$B$9*(1-$B$10))</f>
        <v>4229.91502435314</v>
      </c>
      <c r="P734" s="14" t="n">
        <f aca="true">$B$16+NORMINV(RAND(),0,SQRT($B$13*($B$7+$B$8^2))*$B$9*(1-$B$10))</f>
        <v>3752.73332949881</v>
      </c>
      <c r="Q734" s="14" t="n">
        <f aca="true">$B$16+NORMINV(RAND(),0,SQRT($B$13*($B$7+$B$8^2))*$B$9*(1-$B$10))</f>
        <v>4154.61806434005</v>
      </c>
      <c r="R734" s="14" t="n">
        <f aca="false">$B$4-13*($B$5+$B$6)/30-IF($B$11&lt;=13,$B$12,0)+0</f>
        <v>8876.66666666667</v>
      </c>
      <c r="S734" s="14" t="n">
        <f aca="false">$B$4-27*($B$5+$B$6)/30-IF($B$11&lt;=27,$B$12,0)+L734</f>
        <v>10673.8864558473</v>
      </c>
      <c r="T734" s="14" t="n">
        <f aca="false">$B$4-41*($B$5+$B$6)/30-IF($B$11&lt;=41,$B$12,0)+L734+M734</f>
        <v>1087.54413587422</v>
      </c>
      <c r="U734" s="14" t="n">
        <f aca="false">$B$4-55*($B$5+$B$6)/30-IF($B$11&lt;=55,$B$12,0)+L734+M734+N734</f>
        <v>2833.75791042427</v>
      </c>
      <c r="V734" s="14" t="n">
        <f aca="false">$B$4-69*($B$5+$B$6)/30-IF($B$11&lt;=69,$B$12,0)+L734+M734+N734+O734</f>
        <v>4777.00626811074</v>
      </c>
      <c r="W734" s="14" t="n">
        <f aca="false">$B$4-83*($B$5+$B$6)/30-IF($B$11&lt;=83,$B$12,0)+L734+M734+N734+O734+P734</f>
        <v>6243.07293094289</v>
      </c>
      <c r="X734" s="14" t="n">
        <f aca="false">$B$4-90*($B$5+$B$6)/30-IF($B$11&lt;=90,$B$12,0)+L734+M734+N734+O734+P734+Q734</f>
        <v>9254.3576619496</v>
      </c>
      <c r="AA734" s="14" t="n">
        <f aca="false">MIN(R734:X734)</f>
        <v>1087.54413587422</v>
      </c>
    </row>
    <row r="735" customFormat="false" ht="15" hidden="false" customHeight="false" outlineLevel="0" collapsed="false">
      <c r="K735" s="2" t="n">
        <v>730</v>
      </c>
      <c r="L735" s="14" t="n">
        <f aca="true">$B$16+NORMINV(RAND(),0,SQRT($B$13*($B$7+$B$8^2))*$B$9*(1-$B$10))</f>
        <v>3847.93531554158</v>
      </c>
      <c r="M735" s="14" t="n">
        <f aca="true">$B$16+NORMINV(RAND(),0,SQRT($B$13*($B$7+$B$8^2))*$B$9*(1-$B$10))</f>
        <v>3728.49832333633</v>
      </c>
      <c r="N735" s="14" t="n">
        <f aca="true">$B$16+NORMINV(RAND(),0,SQRT($B$13*($B$7+$B$8^2))*$B$9*(1-$B$10))</f>
        <v>4525.88996605136</v>
      </c>
      <c r="O735" s="14" t="n">
        <f aca="true">$B$16+NORMINV(RAND(),0,SQRT($B$13*($B$7+$B$8^2))*$B$9*(1-$B$10))</f>
        <v>4052.98033996267</v>
      </c>
      <c r="P735" s="14" t="n">
        <f aca="true">$B$16+NORMINV(RAND(),0,SQRT($B$13*($B$7+$B$8^2))*$B$9*(1-$B$10))</f>
        <v>4061.30653082629</v>
      </c>
      <c r="Q735" s="14" t="n">
        <f aca="true">$B$16+NORMINV(RAND(),0,SQRT($B$13*($B$7+$B$8^2))*$B$9*(1-$B$10))</f>
        <v>3846.0400552337</v>
      </c>
      <c r="R735" s="14" t="n">
        <f aca="false">$B$4-13*($B$5+$B$6)/30-IF($B$11&lt;=13,$B$12,0)+0</f>
        <v>8876.66666666667</v>
      </c>
      <c r="S735" s="14" t="n">
        <f aca="false">$B$4-27*($B$5+$B$6)/30-IF($B$11&lt;=27,$B$12,0)+L735</f>
        <v>10437.9353155416</v>
      </c>
      <c r="T735" s="14" t="n">
        <f aca="false">$B$4-41*($B$5+$B$6)/30-IF($B$11&lt;=41,$B$12,0)+L735+M735</f>
        <v>694.966972211242</v>
      </c>
      <c r="U735" s="14" t="n">
        <f aca="false">$B$4-55*($B$5+$B$6)/30-IF($B$11&lt;=55,$B$12,0)+L735+M735+N735</f>
        <v>2934.19027159594</v>
      </c>
      <c r="V735" s="14" t="n">
        <f aca="false">$B$4-69*($B$5+$B$6)/30-IF($B$11&lt;=69,$B$12,0)+L735+M735+N735+O735</f>
        <v>4700.50394489194</v>
      </c>
      <c r="W735" s="14" t="n">
        <f aca="false">$B$4-83*($B$5+$B$6)/30-IF($B$11&lt;=83,$B$12,0)+L735+M735+N735+O735+P735</f>
        <v>6475.14380905157</v>
      </c>
      <c r="X735" s="14" t="n">
        <f aca="false">$B$4-90*($B$5+$B$6)/30-IF($B$11&lt;=90,$B$12,0)+L735+M735+N735+O735+P735+Q735</f>
        <v>9177.85053095193</v>
      </c>
      <c r="AA735" s="14" t="n">
        <f aca="false">MIN(R735:X735)</f>
        <v>694.966972211242</v>
      </c>
    </row>
    <row r="736" customFormat="false" ht="15" hidden="false" customHeight="false" outlineLevel="0" collapsed="false">
      <c r="K736" s="2" t="n">
        <v>731</v>
      </c>
      <c r="L736" s="14" t="n">
        <f aca="true">$B$16+NORMINV(RAND(),0,SQRT($B$13*($B$7+$B$8^2))*$B$9*(1-$B$10))</f>
        <v>4392.323365456</v>
      </c>
      <c r="M736" s="14" t="n">
        <f aca="true">$B$16+NORMINV(RAND(),0,SQRT($B$13*($B$7+$B$8^2))*$B$9*(1-$B$10))</f>
        <v>3614.82443770955</v>
      </c>
      <c r="N736" s="14" t="n">
        <f aca="true">$B$16+NORMINV(RAND(),0,SQRT($B$13*($B$7+$B$8^2))*$B$9*(1-$B$10))</f>
        <v>4690.17289215469</v>
      </c>
      <c r="O736" s="14" t="n">
        <f aca="true">$B$16+NORMINV(RAND(),0,SQRT($B$13*($B$7+$B$8^2))*$B$9*(1-$B$10))</f>
        <v>4061.12943270482</v>
      </c>
      <c r="P736" s="14" t="n">
        <f aca="true">$B$16+NORMINV(RAND(),0,SQRT($B$13*($B$7+$B$8^2))*$B$9*(1-$B$10))</f>
        <v>4481.02461547263</v>
      </c>
      <c r="Q736" s="14" t="n">
        <f aca="true">$B$16+NORMINV(RAND(),0,SQRT($B$13*($B$7+$B$8^2))*$B$9*(1-$B$10))</f>
        <v>4288.4382222992</v>
      </c>
      <c r="R736" s="14" t="n">
        <f aca="false">$B$4-13*($B$5+$B$6)/30-IF($B$11&lt;=13,$B$12,0)+0</f>
        <v>8876.66666666667</v>
      </c>
      <c r="S736" s="14" t="n">
        <f aca="false">$B$4-27*($B$5+$B$6)/30-IF($B$11&lt;=27,$B$12,0)+L736</f>
        <v>10982.323365456</v>
      </c>
      <c r="T736" s="14" t="n">
        <f aca="false">$B$4-41*($B$5+$B$6)/30-IF($B$11&lt;=41,$B$12,0)+L736+M736</f>
        <v>1125.68113649887</v>
      </c>
      <c r="U736" s="14" t="n">
        <f aca="false">$B$4-55*($B$5+$B$6)/30-IF($B$11&lt;=55,$B$12,0)+L736+M736+N736</f>
        <v>3529.1873619869</v>
      </c>
      <c r="V736" s="14" t="n">
        <f aca="false">$B$4-69*($B$5+$B$6)/30-IF($B$11&lt;=69,$B$12,0)+L736+M736+N736+O736</f>
        <v>5303.65012802505</v>
      </c>
      <c r="W736" s="14" t="n">
        <f aca="false">$B$4-83*($B$5+$B$6)/30-IF($B$11&lt;=83,$B$12,0)+L736+M736+N736+O736+P736</f>
        <v>7498.00807683101</v>
      </c>
      <c r="X736" s="14" t="n">
        <f aca="false">$B$4-90*($B$5+$B$6)/30-IF($B$11&lt;=90,$B$12,0)+L736+M736+N736+O736+P736+Q736</f>
        <v>10643.1129657969</v>
      </c>
      <c r="AA736" s="14" t="n">
        <f aca="false">MIN(R736:X736)</f>
        <v>1125.68113649887</v>
      </c>
    </row>
    <row r="737" customFormat="false" ht="15" hidden="false" customHeight="false" outlineLevel="0" collapsed="false">
      <c r="K737" s="2" t="n">
        <v>732</v>
      </c>
      <c r="L737" s="14" t="n">
        <f aca="true">$B$16+NORMINV(RAND(),0,SQRT($B$13*($B$7+$B$8^2))*$B$9*(1-$B$10))</f>
        <v>4276.69373267755</v>
      </c>
      <c r="M737" s="14" t="n">
        <f aca="true">$B$16+NORMINV(RAND(),0,SQRT($B$13*($B$7+$B$8^2))*$B$9*(1-$B$10))</f>
        <v>3798.84306823299</v>
      </c>
      <c r="N737" s="14" t="n">
        <f aca="true">$B$16+NORMINV(RAND(),0,SQRT($B$13*($B$7+$B$8^2))*$B$9*(1-$B$10))</f>
        <v>4613.49863848469</v>
      </c>
      <c r="O737" s="14" t="n">
        <f aca="true">$B$16+NORMINV(RAND(),0,SQRT($B$13*($B$7+$B$8^2))*$B$9*(1-$B$10))</f>
        <v>4080.68530647479</v>
      </c>
      <c r="P737" s="14" t="n">
        <f aca="true">$B$16+NORMINV(RAND(),0,SQRT($B$13*($B$7+$B$8^2))*$B$9*(1-$B$10))</f>
        <v>4064.24634817385</v>
      </c>
      <c r="Q737" s="14" t="n">
        <f aca="true">$B$16+NORMINV(RAND(),0,SQRT($B$13*($B$7+$B$8^2))*$B$9*(1-$B$10))</f>
        <v>4141.67383453308</v>
      </c>
      <c r="R737" s="14" t="n">
        <f aca="false">$B$4-13*($B$5+$B$6)/30-IF($B$11&lt;=13,$B$12,0)+0</f>
        <v>8876.66666666667</v>
      </c>
      <c r="S737" s="14" t="n">
        <f aca="false">$B$4-27*($B$5+$B$6)/30-IF($B$11&lt;=27,$B$12,0)+L737</f>
        <v>10866.6937326775</v>
      </c>
      <c r="T737" s="14" t="n">
        <f aca="false">$B$4-41*($B$5+$B$6)/30-IF($B$11&lt;=41,$B$12,0)+L737+M737</f>
        <v>1194.07013424386</v>
      </c>
      <c r="U737" s="14" t="n">
        <f aca="false">$B$4-55*($B$5+$B$6)/30-IF($B$11&lt;=55,$B$12,0)+L737+M737+N737</f>
        <v>3520.90210606189</v>
      </c>
      <c r="V737" s="14" t="n">
        <f aca="false">$B$4-69*($B$5+$B$6)/30-IF($B$11&lt;=69,$B$12,0)+L737+M737+N737+O737</f>
        <v>5314.92074587001</v>
      </c>
      <c r="W737" s="14" t="n">
        <f aca="false">$B$4-83*($B$5+$B$6)/30-IF($B$11&lt;=83,$B$12,0)+L737+M737+N737+O737+P737</f>
        <v>7092.5004273772</v>
      </c>
      <c r="X737" s="14" t="n">
        <f aca="false">$B$4-90*($B$5+$B$6)/30-IF($B$11&lt;=90,$B$12,0)+L737+M737+N737+O737+P737+Q737</f>
        <v>10090.8409285769</v>
      </c>
      <c r="AA737" s="14" t="n">
        <f aca="false">MIN(R737:X737)</f>
        <v>1194.07013424386</v>
      </c>
    </row>
    <row r="738" customFormat="false" ht="15" hidden="false" customHeight="false" outlineLevel="0" collapsed="false">
      <c r="K738" s="2" t="n">
        <v>733</v>
      </c>
      <c r="L738" s="14" t="n">
        <f aca="true">$B$16+NORMINV(RAND(),0,SQRT($B$13*($B$7+$B$8^2))*$B$9*(1-$B$10))</f>
        <v>4564.89573194781</v>
      </c>
      <c r="M738" s="14" t="n">
        <f aca="true">$B$16+NORMINV(RAND(),0,SQRT($B$13*($B$7+$B$8^2))*$B$9*(1-$B$10))</f>
        <v>3875.14514054399</v>
      </c>
      <c r="N738" s="14" t="n">
        <f aca="true">$B$16+NORMINV(RAND(),0,SQRT($B$13*($B$7+$B$8^2))*$B$9*(1-$B$10))</f>
        <v>4533.54512758073</v>
      </c>
      <c r="O738" s="14" t="n">
        <f aca="true">$B$16+NORMINV(RAND(),0,SQRT($B$13*($B$7+$B$8^2))*$B$9*(1-$B$10))</f>
        <v>4183.96570006361</v>
      </c>
      <c r="P738" s="14" t="n">
        <f aca="true">$B$16+NORMINV(RAND(),0,SQRT($B$13*($B$7+$B$8^2))*$B$9*(1-$B$10))</f>
        <v>4043.80507622483</v>
      </c>
      <c r="Q738" s="14" t="n">
        <f aca="true">$B$16+NORMINV(RAND(),0,SQRT($B$13*($B$7+$B$8^2))*$B$9*(1-$B$10))</f>
        <v>4179.24153678312</v>
      </c>
      <c r="R738" s="14" t="n">
        <f aca="false">$B$4-13*($B$5+$B$6)/30-IF($B$11&lt;=13,$B$12,0)+0</f>
        <v>8876.66666666667</v>
      </c>
      <c r="S738" s="14" t="n">
        <f aca="false">$B$4-27*($B$5+$B$6)/30-IF($B$11&lt;=27,$B$12,0)+L738</f>
        <v>11154.8957319478</v>
      </c>
      <c r="T738" s="14" t="n">
        <f aca="false">$B$4-41*($B$5+$B$6)/30-IF($B$11&lt;=41,$B$12,0)+L738+M738</f>
        <v>1558.57420582513</v>
      </c>
      <c r="U738" s="14" t="n">
        <f aca="false">$B$4-55*($B$5+$B$6)/30-IF($B$11&lt;=55,$B$12,0)+L738+M738+N738</f>
        <v>3805.45266673919</v>
      </c>
      <c r="V738" s="14" t="n">
        <f aca="false">$B$4-69*($B$5+$B$6)/30-IF($B$11&lt;=69,$B$12,0)+L738+M738+N738+O738</f>
        <v>5702.75170013613</v>
      </c>
      <c r="W738" s="14" t="n">
        <f aca="false">$B$4-83*($B$5+$B$6)/30-IF($B$11&lt;=83,$B$12,0)+L738+M738+N738+O738+P738</f>
        <v>7459.8901096943</v>
      </c>
      <c r="X738" s="14" t="n">
        <f aca="false">$B$4-90*($B$5+$B$6)/30-IF($B$11&lt;=90,$B$12,0)+L738+M738+N738+O738+P738+Q738</f>
        <v>10495.7983131441</v>
      </c>
      <c r="AA738" s="14" t="n">
        <f aca="false">MIN(R738:X738)</f>
        <v>1558.57420582513</v>
      </c>
    </row>
    <row r="739" customFormat="false" ht="15" hidden="false" customHeight="false" outlineLevel="0" collapsed="false">
      <c r="K739" s="2" t="n">
        <v>734</v>
      </c>
      <c r="L739" s="14" t="n">
        <f aca="true">$B$16+NORMINV(RAND(),0,SQRT($B$13*($B$7+$B$8^2))*$B$9*(1-$B$10))</f>
        <v>4005.00746416635</v>
      </c>
      <c r="M739" s="14" t="n">
        <f aca="true">$B$16+NORMINV(RAND(),0,SQRT($B$13*($B$7+$B$8^2))*$B$9*(1-$B$10))</f>
        <v>4349.31906135409</v>
      </c>
      <c r="N739" s="14" t="n">
        <f aca="true">$B$16+NORMINV(RAND(),0,SQRT($B$13*($B$7+$B$8^2))*$B$9*(1-$B$10))</f>
        <v>4135.34635749707</v>
      </c>
      <c r="O739" s="14" t="n">
        <f aca="true">$B$16+NORMINV(RAND(),0,SQRT($B$13*($B$7+$B$8^2))*$B$9*(1-$B$10))</f>
        <v>3747.59811027958</v>
      </c>
      <c r="P739" s="14" t="n">
        <f aca="true">$B$16+NORMINV(RAND(),0,SQRT($B$13*($B$7+$B$8^2))*$B$9*(1-$B$10))</f>
        <v>4224.34483302181</v>
      </c>
      <c r="Q739" s="14" t="n">
        <f aca="true">$B$16+NORMINV(RAND(),0,SQRT($B$13*($B$7+$B$8^2))*$B$9*(1-$B$10))</f>
        <v>3774.44471311718</v>
      </c>
      <c r="R739" s="14" t="n">
        <f aca="false">$B$4-13*($B$5+$B$6)/30-IF($B$11&lt;=13,$B$12,0)+0</f>
        <v>8876.66666666667</v>
      </c>
      <c r="S739" s="14" t="n">
        <f aca="false">$B$4-27*($B$5+$B$6)/30-IF($B$11&lt;=27,$B$12,0)+L739</f>
        <v>10595.0074641664</v>
      </c>
      <c r="T739" s="14" t="n">
        <f aca="false">$B$4-41*($B$5+$B$6)/30-IF($B$11&lt;=41,$B$12,0)+L739+M739</f>
        <v>1472.85985885377</v>
      </c>
      <c r="U739" s="14" t="n">
        <f aca="false">$B$4-55*($B$5+$B$6)/30-IF($B$11&lt;=55,$B$12,0)+L739+M739+N739</f>
        <v>3321.53954968417</v>
      </c>
      <c r="V739" s="14" t="n">
        <f aca="false">$B$4-69*($B$5+$B$6)/30-IF($B$11&lt;=69,$B$12,0)+L739+M739+N739+O739</f>
        <v>4782.47099329709</v>
      </c>
      <c r="W739" s="14" t="n">
        <f aca="false">$B$4-83*($B$5+$B$6)/30-IF($B$11&lt;=83,$B$12,0)+L739+M739+N739+O739+P739</f>
        <v>6720.14915965224</v>
      </c>
      <c r="X739" s="14" t="n">
        <f aca="false">$B$4-90*($B$5+$B$6)/30-IF($B$11&lt;=90,$B$12,0)+L739+M739+N739+O739+P739+Q739</f>
        <v>9351.26053943608</v>
      </c>
      <c r="AA739" s="14" t="n">
        <f aca="false">MIN(R739:X739)</f>
        <v>1472.85985885377</v>
      </c>
    </row>
    <row r="740" customFormat="false" ht="15" hidden="false" customHeight="false" outlineLevel="0" collapsed="false">
      <c r="K740" s="2" t="n">
        <v>735</v>
      </c>
      <c r="L740" s="14" t="n">
        <f aca="true">$B$16+NORMINV(RAND(),0,SQRT($B$13*($B$7+$B$8^2))*$B$9*(1-$B$10))</f>
        <v>3603.91092806833</v>
      </c>
      <c r="M740" s="14" t="n">
        <f aca="true">$B$16+NORMINV(RAND(),0,SQRT($B$13*($B$7+$B$8^2))*$B$9*(1-$B$10))</f>
        <v>4323.33326298596</v>
      </c>
      <c r="N740" s="14" t="n">
        <f aca="true">$B$16+NORMINV(RAND(),0,SQRT($B$13*($B$7+$B$8^2))*$B$9*(1-$B$10))</f>
        <v>4218.45578798776</v>
      </c>
      <c r="O740" s="14" t="n">
        <f aca="true">$B$16+NORMINV(RAND(),0,SQRT($B$13*($B$7+$B$8^2))*$B$9*(1-$B$10))</f>
        <v>2916.77572110611</v>
      </c>
      <c r="P740" s="14" t="n">
        <f aca="true">$B$16+NORMINV(RAND(),0,SQRT($B$13*($B$7+$B$8^2))*$B$9*(1-$B$10))</f>
        <v>4827.29809851716</v>
      </c>
      <c r="Q740" s="14" t="n">
        <f aca="true">$B$16+NORMINV(RAND(),0,SQRT($B$13*($B$7+$B$8^2))*$B$9*(1-$B$10))</f>
        <v>4762.32524094317</v>
      </c>
      <c r="R740" s="14" t="n">
        <f aca="false">$B$4-13*($B$5+$B$6)/30-IF($B$11&lt;=13,$B$12,0)+0</f>
        <v>8876.66666666667</v>
      </c>
      <c r="S740" s="14" t="n">
        <f aca="false">$B$4-27*($B$5+$B$6)/30-IF($B$11&lt;=27,$B$12,0)+L740</f>
        <v>10193.9109280683</v>
      </c>
      <c r="T740" s="14" t="n">
        <f aca="false">$B$4-41*($B$5+$B$6)/30-IF($B$11&lt;=41,$B$12,0)+L740+M740</f>
        <v>1045.77752438762</v>
      </c>
      <c r="U740" s="14" t="n">
        <f aca="false">$B$4-55*($B$5+$B$6)/30-IF($B$11&lt;=55,$B$12,0)+L740+M740+N740</f>
        <v>2977.56664570871</v>
      </c>
      <c r="V740" s="14" t="n">
        <f aca="false">$B$4-69*($B$5+$B$6)/30-IF($B$11&lt;=69,$B$12,0)+L740+M740+N740+O740</f>
        <v>3607.67570014815</v>
      </c>
      <c r="W740" s="14" t="n">
        <f aca="false">$B$4-83*($B$5+$B$6)/30-IF($B$11&lt;=83,$B$12,0)+L740+M740+N740+O740+P740</f>
        <v>6148.30713199864</v>
      </c>
      <c r="X740" s="14" t="n">
        <f aca="false">$B$4-90*($B$5+$B$6)/30-IF($B$11&lt;=90,$B$12,0)+L740+M740+N740+O740+P740+Q740</f>
        <v>9767.29903960848</v>
      </c>
      <c r="AA740" s="14" t="n">
        <f aca="false">MIN(R740:X740)</f>
        <v>1045.77752438762</v>
      </c>
    </row>
    <row r="741" customFormat="false" ht="15" hidden="false" customHeight="false" outlineLevel="0" collapsed="false">
      <c r="K741" s="2" t="n">
        <v>736</v>
      </c>
      <c r="L741" s="14" t="n">
        <f aca="true">$B$16+NORMINV(RAND(),0,SQRT($B$13*($B$7+$B$8^2))*$B$9*(1-$B$10))</f>
        <v>4547.73911986429</v>
      </c>
      <c r="M741" s="14" t="n">
        <f aca="true">$B$16+NORMINV(RAND(),0,SQRT($B$13*($B$7+$B$8^2))*$B$9*(1-$B$10))</f>
        <v>4233.99957746758</v>
      </c>
      <c r="N741" s="14" t="n">
        <f aca="true">$B$16+NORMINV(RAND(),0,SQRT($B$13*($B$7+$B$8^2))*$B$9*(1-$B$10))</f>
        <v>3679.35779062799</v>
      </c>
      <c r="O741" s="14" t="n">
        <f aca="true">$B$16+NORMINV(RAND(),0,SQRT($B$13*($B$7+$B$8^2))*$B$9*(1-$B$10))</f>
        <v>4010.58564788186</v>
      </c>
      <c r="P741" s="14" t="n">
        <f aca="true">$B$16+NORMINV(RAND(),0,SQRT($B$13*($B$7+$B$8^2))*$B$9*(1-$B$10))</f>
        <v>4204.58167188009</v>
      </c>
      <c r="Q741" s="14" t="n">
        <f aca="true">$B$16+NORMINV(RAND(),0,SQRT($B$13*($B$7+$B$8^2))*$B$9*(1-$B$10))</f>
        <v>3992.6386031145</v>
      </c>
      <c r="R741" s="14" t="n">
        <f aca="false">$B$4-13*($B$5+$B$6)/30-IF($B$11&lt;=13,$B$12,0)+0</f>
        <v>8876.66666666667</v>
      </c>
      <c r="S741" s="14" t="n">
        <f aca="false">$B$4-27*($B$5+$B$6)/30-IF($B$11&lt;=27,$B$12,0)+L741</f>
        <v>11137.7391198643</v>
      </c>
      <c r="T741" s="14" t="n">
        <f aca="false">$B$4-41*($B$5+$B$6)/30-IF($B$11&lt;=41,$B$12,0)+L741+M741</f>
        <v>1900.2720306652</v>
      </c>
      <c r="U741" s="14" t="n">
        <f aca="false">$B$4-55*($B$5+$B$6)/30-IF($B$11&lt;=55,$B$12,0)+L741+M741+N741</f>
        <v>3292.96315462653</v>
      </c>
      <c r="V741" s="14" t="n">
        <f aca="false">$B$4-69*($B$5+$B$6)/30-IF($B$11&lt;=69,$B$12,0)+L741+M741+N741+O741</f>
        <v>5016.88213584172</v>
      </c>
      <c r="W741" s="14" t="n">
        <f aca="false">$B$4-83*($B$5+$B$6)/30-IF($B$11&lt;=83,$B$12,0)+L741+M741+N741+O741+P741</f>
        <v>6934.79714105515</v>
      </c>
      <c r="X741" s="14" t="n">
        <f aca="false">$B$4-90*($B$5+$B$6)/30-IF($B$11&lt;=90,$B$12,0)+L741+M741+N741+O741+P741+Q741</f>
        <v>9784.10241083632</v>
      </c>
      <c r="AA741" s="14" t="n">
        <f aca="false">MIN(R741:X741)</f>
        <v>1900.2720306652</v>
      </c>
    </row>
    <row r="742" customFormat="false" ht="15" hidden="false" customHeight="false" outlineLevel="0" collapsed="false">
      <c r="K742" s="2" t="n">
        <v>737</v>
      </c>
      <c r="L742" s="14" t="n">
        <f aca="true">$B$16+NORMINV(RAND(),0,SQRT($B$13*($B$7+$B$8^2))*$B$9*(1-$B$10))</f>
        <v>4181.60912390596</v>
      </c>
      <c r="M742" s="14" t="n">
        <f aca="true">$B$16+NORMINV(RAND(),0,SQRT($B$13*($B$7+$B$8^2))*$B$9*(1-$B$10))</f>
        <v>4164.50209374367</v>
      </c>
      <c r="N742" s="14" t="n">
        <f aca="true">$B$16+NORMINV(RAND(),0,SQRT($B$13*($B$7+$B$8^2))*$B$9*(1-$B$10))</f>
        <v>4046.068558152</v>
      </c>
      <c r="O742" s="14" t="n">
        <f aca="true">$B$16+NORMINV(RAND(),0,SQRT($B$13*($B$7+$B$8^2))*$B$9*(1-$B$10))</f>
        <v>4002.75214316476</v>
      </c>
      <c r="P742" s="14" t="n">
        <f aca="true">$B$16+NORMINV(RAND(),0,SQRT($B$13*($B$7+$B$8^2))*$B$9*(1-$B$10))</f>
        <v>3622.89982118022</v>
      </c>
      <c r="Q742" s="14" t="n">
        <f aca="true">$B$16+NORMINV(RAND(),0,SQRT($B$13*($B$7+$B$8^2))*$B$9*(1-$B$10))</f>
        <v>3713.4991194544</v>
      </c>
      <c r="R742" s="14" t="n">
        <f aca="false">$B$4-13*($B$5+$B$6)/30-IF($B$11&lt;=13,$B$12,0)+0</f>
        <v>8876.66666666667</v>
      </c>
      <c r="S742" s="14" t="n">
        <f aca="false">$B$4-27*($B$5+$B$6)/30-IF($B$11&lt;=27,$B$12,0)+L742</f>
        <v>10771.609123906</v>
      </c>
      <c r="T742" s="14" t="n">
        <f aca="false">$B$4-41*($B$5+$B$6)/30-IF($B$11&lt;=41,$B$12,0)+L742+M742</f>
        <v>1464.64455098296</v>
      </c>
      <c r="U742" s="14" t="n">
        <f aca="false">$B$4-55*($B$5+$B$6)/30-IF($B$11&lt;=55,$B$12,0)+L742+M742+N742</f>
        <v>3224.0464424683</v>
      </c>
      <c r="V742" s="14" t="n">
        <f aca="false">$B$4-69*($B$5+$B$6)/30-IF($B$11&lt;=69,$B$12,0)+L742+M742+N742+O742</f>
        <v>4940.13191896639</v>
      </c>
      <c r="W742" s="14" t="n">
        <f aca="false">$B$4-83*($B$5+$B$6)/30-IF($B$11&lt;=83,$B$12,0)+L742+M742+N742+O742+P742</f>
        <v>6276.36507347994</v>
      </c>
      <c r="X742" s="14" t="n">
        <f aca="false">$B$4-90*($B$5+$B$6)/30-IF($B$11&lt;=90,$B$12,0)+L742+M742+N742+O742+P742+Q742</f>
        <v>8846.53085960101</v>
      </c>
      <c r="AA742" s="14" t="n">
        <f aca="false">MIN(R742:X742)</f>
        <v>1464.64455098296</v>
      </c>
    </row>
    <row r="743" customFormat="false" ht="15" hidden="false" customHeight="false" outlineLevel="0" collapsed="false">
      <c r="K743" s="2" t="n">
        <v>738</v>
      </c>
      <c r="L743" s="14" t="n">
        <f aca="true">$B$16+NORMINV(RAND(),0,SQRT($B$13*($B$7+$B$8^2))*$B$9*(1-$B$10))</f>
        <v>4312.73947036072</v>
      </c>
      <c r="M743" s="14" t="n">
        <f aca="true">$B$16+NORMINV(RAND(),0,SQRT($B$13*($B$7+$B$8^2))*$B$9*(1-$B$10))</f>
        <v>4406.58068555862</v>
      </c>
      <c r="N743" s="14" t="n">
        <f aca="true">$B$16+NORMINV(RAND(),0,SQRT($B$13*($B$7+$B$8^2))*$B$9*(1-$B$10))</f>
        <v>3937.77565860612</v>
      </c>
      <c r="O743" s="14" t="n">
        <f aca="true">$B$16+NORMINV(RAND(),0,SQRT($B$13*($B$7+$B$8^2))*$B$9*(1-$B$10))</f>
        <v>3625.03274863416</v>
      </c>
      <c r="P743" s="14" t="n">
        <f aca="true">$B$16+NORMINV(RAND(),0,SQRT($B$13*($B$7+$B$8^2))*$B$9*(1-$B$10))</f>
        <v>3808.85538641905</v>
      </c>
      <c r="Q743" s="14" t="n">
        <f aca="true">$B$16+NORMINV(RAND(),0,SQRT($B$13*($B$7+$B$8^2))*$B$9*(1-$B$10))</f>
        <v>4205.73483023493</v>
      </c>
      <c r="R743" s="14" t="n">
        <f aca="false">$B$4-13*($B$5+$B$6)/30-IF($B$11&lt;=13,$B$12,0)+0</f>
        <v>8876.66666666667</v>
      </c>
      <c r="S743" s="14" t="n">
        <f aca="false">$B$4-27*($B$5+$B$6)/30-IF($B$11&lt;=27,$B$12,0)+L743</f>
        <v>10902.7394703607</v>
      </c>
      <c r="T743" s="14" t="n">
        <f aca="false">$B$4-41*($B$5+$B$6)/30-IF($B$11&lt;=41,$B$12,0)+L743+M743</f>
        <v>1837.85348925267</v>
      </c>
      <c r="U743" s="14" t="n">
        <f aca="false">$B$4-55*($B$5+$B$6)/30-IF($B$11&lt;=55,$B$12,0)+L743+M743+N743</f>
        <v>3488.96248119212</v>
      </c>
      <c r="V743" s="14" t="n">
        <f aca="false">$B$4-69*($B$5+$B$6)/30-IF($B$11&lt;=69,$B$12,0)+L743+M743+N743+O743</f>
        <v>4827.32856315961</v>
      </c>
      <c r="W743" s="14" t="n">
        <f aca="false">$B$4-83*($B$5+$B$6)/30-IF($B$11&lt;=83,$B$12,0)+L743+M743+N743+O743+P743</f>
        <v>6349.517282912</v>
      </c>
      <c r="X743" s="14" t="n">
        <f aca="false">$B$4-90*($B$5+$B$6)/30-IF($B$11&lt;=90,$B$12,0)+L743+M743+N743+O743+P743+Q743</f>
        <v>9411.91877981359</v>
      </c>
      <c r="AA743" s="14" t="n">
        <f aca="false">MIN(R743:X743)</f>
        <v>1837.85348925267</v>
      </c>
    </row>
    <row r="744" customFormat="false" ht="15" hidden="false" customHeight="false" outlineLevel="0" collapsed="false">
      <c r="K744" s="2" t="n">
        <v>739</v>
      </c>
      <c r="L744" s="14" t="n">
        <f aca="true">$B$16+NORMINV(RAND(),0,SQRT($B$13*($B$7+$B$8^2))*$B$9*(1-$B$10))</f>
        <v>3647.84051709255</v>
      </c>
      <c r="M744" s="14" t="n">
        <f aca="true">$B$16+NORMINV(RAND(),0,SQRT($B$13*($B$7+$B$8^2))*$B$9*(1-$B$10))</f>
        <v>4169.28910251919</v>
      </c>
      <c r="N744" s="14" t="n">
        <f aca="true">$B$16+NORMINV(RAND(),0,SQRT($B$13*($B$7+$B$8^2))*$B$9*(1-$B$10))</f>
        <v>4093.59693606436</v>
      </c>
      <c r="O744" s="14" t="n">
        <f aca="true">$B$16+NORMINV(RAND(),0,SQRT($B$13*($B$7+$B$8^2))*$B$9*(1-$B$10))</f>
        <v>3810.14259976035</v>
      </c>
      <c r="P744" s="14" t="n">
        <f aca="true">$B$16+NORMINV(RAND(),0,SQRT($B$13*($B$7+$B$8^2))*$B$9*(1-$B$10))</f>
        <v>3788.6575609205</v>
      </c>
      <c r="Q744" s="14" t="n">
        <f aca="true">$B$16+NORMINV(RAND(),0,SQRT($B$13*($B$7+$B$8^2))*$B$9*(1-$B$10))</f>
        <v>4094.87442238696</v>
      </c>
      <c r="R744" s="14" t="n">
        <f aca="false">$B$4-13*($B$5+$B$6)/30-IF($B$11&lt;=13,$B$12,0)+0</f>
        <v>8876.66666666667</v>
      </c>
      <c r="S744" s="14" t="n">
        <f aca="false">$B$4-27*($B$5+$B$6)/30-IF($B$11&lt;=27,$B$12,0)+L744</f>
        <v>10237.8405170925</v>
      </c>
      <c r="T744" s="14" t="n">
        <f aca="false">$B$4-41*($B$5+$B$6)/30-IF($B$11&lt;=41,$B$12,0)+L744+M744</f>
        <v>935.662952945068</v>
      </c>
      <c r="U744" s="14" t="n">
        <f aca="false">$B$4-55*($B$5+$B$6)/30-IF($B$11&lt;=55,$B$12,0)+L744+M744+N744</f>
        <v>2742.59322234276</v>
      </c>
      <c r="V744" s="14" t="n">
        <f aca="false">$B$4-69*($B$5+$B$6)/30-IF($B$11&lt;=69,$B$12,0)+L744+M744+N744+O744</f>
        <v>4266.06915543644</v>
      </c>
      <c r="W744" s="14" t="n">
        <f aca="false">$B$4-83*($B$5+$B$6)/30-IF($B$11&lt;=83,$B$12,0)+L744+M744+N744+O744+P744</f>
        <v>5768.06004969027</v>
      </c>
      <c r="X744" s="14" t="n">
        <f aca="false">$B$4-90*($B$5+$B$6)/30-IF($B$11&lt;=90,$B$12,0)+L744+M744+N744+O744+P744+Q744</f>
        <v>8719.6011387439</v>
      </c>
      <c r="AA744" s="14" t="n">
        <f aca="false">MIN(R744:X744)</f>
        <v>935.662952945068</v>
      </c>
    </row>
    <row r="745" customFormat="false" ht="15" hidden="false" customHeight="false" outlineLevel="0" collapsed="false">
      <c r="K745" s="2" t="n">
        <v>740</v>
      </c>
      <c r="L745" s="14" t="n">
        <f aca="true">$B$16+NORMINV(RAND(),0,SQRT($B$13*($B$7+$B$8^2))*$B$9*(1-$B$10))</f>
        <v>3200.96046074751</v>
      </c>
      <c r="M745" s="14" t="n">
        <f aca="true">$B$16+NORMINV(RAND(),0,SQRT($B$13*($B$7+$B$8^2))*$B$9*(1-$B$10))</f>
        <v>3708.51695703236</v>
      </c>
      <c r="N745" s="14" t="n">
        <f aca="true">$B$16+NORMINV(RAND(),0,SQRT($B$13*($B$7+$B$8^2))*$B$9*(1-$B$10))</f>
        <v>4196.94449482205</v>
      </c>
      <c r="O745" s="14" t="n">
        <f aca="true">$B$16+NORMINV(RAND(),0,SQRT($B$13*($B$7+$B$8^2))*$B$9*(1-$B$10))</f>
        <v>4212.44172253849</v>
      </c>
      <c r="P745" s="14" t="n">
        <f aca="true">$B$16+NORMINV(RAND(),0,SQRT($B$13*($B$7+$B$8^2))*$B$9*(1-$B$10))</f>
        <v>4376.93247081935</v>
      </c>
      <c r="Q745" s="14" t="n">
        <f aca="true">$B$16+NORMINV(RAND(),0,SQRT($B$13*($B$7+$B$8^2))*$B$9*(1-$B$10))</f>
        <v>3921.72340453012</v>
      </c>
      <c r="R745" s="14" t="n">
        <f aca="false">$B$4-13*($B$5+$B$6)/30-IF($B$11&lt;=13,$B$12,0)+0</f>
        <v>8876.66666666667</v>
      </c>
      <c r="S745" s="14" t="n">
        <f aca="false">$B$4-27*($B$5+$B$6)/30-IF($B$11&lt;=27,$B$12,0)+L745</f>
        <v>9790.96046074751</v>
      </c>
      <c r="T745" s="14" t="n">
        <f aca="false">$B$4-41*($B$5+$B$6)/30-IF($B$11&lt;=41,$B$12,0)+L745+M745</f>
        <v>28.0107511131951</v>
      </c>
      <c r="U745" s="14" t="n">
        <f aca="false">$B$4-55*($B$5+$B$6)/30-IF($B$11&lt;=55,$B$12,0)+L745+M745+N745</f>
        <v>1938.28857926858</v>
      </c>
      <c r="V745" s="14" t="n">
        <f aca="false">$B$4-69*($B$5+$B$6)/30-IF($B$11&lt;=69,$B$12,0)+L745+M745+N745+O745</f>
        <v>3864.0636351404</v>
      </c>
      <c r="W745" s="14" t="n">
        <f aca="false">$B$4-83*($B$5+$B$6)/30-IF($B$11&lt;=83,$B$12,0)+L745+M745+N745+O745+P745</f>
        <v>5954.32943929309</v>
      </c>
      <c r="X745" s="14" t="n">
        <f aca="false">$B$4-90*($B$5+$B$6)/30-IF($B$11&lt;=90,$B$12,0)+L745+M745+N745+O745+P745+Q745</f>
        <v>8732.71951048988</v>
      </c>
      <c r="AA745" s="14" t="n">
        <f aca="false">MIN(R745:X745)</f>
        <v>28.0107511131951</v>
      </c>
    </row>
    <row r="746" customFormat="false" ht="15" hidden="false" customHeight="false" outlineLevel="0" collapsed="false">
      <c r="K746" s="2" t="n">
        <v>741</v>
      </c>
      <c r="L746" s="14" t="n">
        <f aca="true">$B$16+NORMINV(RAND(),0,SQRT($B$13*($B$7+$B$8^2))*$B$9*(1-$B$10))</f>
        <v>3887.87033497889</v>
      </c>
      <c r="M746" s="14" t="n">
        <f aca="true">$B$16+NORMINV(RAND(),0,SQRT($B$13*($B$7+$B$8^2))*$B$9*(1-$B$10))</f>
        <v>3857.78320999984</v>
      </c>
      <c r="N746" s="14" t="n">
        <f aca="true">$B$16+NORMINV(RAND(),0,SQRT($B$13*($B$7+$B$8^2))*$B$9*(1-$B$10))</f>
        <v>4456.28177272679</v>
      </c>
      <c r="O746" s="14" t="n">
        <f aca="true">$B$16+NORMINV(RAND(),0,SQRT($B$13*($B$7+$B$8^2))*$B$9*(1-$B$10))</f>
        <v>4515.76057963478</v>
      </c>
      <c r="P746" s="14" t="n">
        <f aca="true">$B$16+NORMINV(RAND(),0,SQRT($B$13*($B$7+$B$8^2))*$B$9*(1-$B$10))</f>
        <v>4058.96813647855</v>
      </c>
      <c r="Q746" s="14" t="n">
        <f aca="true">$B$16+NORMINV(RAND(),0,SQRT($B$13*($B$7+$B$8^2))*$B$9*(1-$B$10))</f>
        <v>4602.39964896941</v>
      </c>
      <c r="R746" s="14" t="n">
        <f aca="false">$B$4-13*($B$5+$B$6)/30-IF($B$11&lt;=13,$B$12,0)+0</f>
        <v>8876.66666666667</v>
      </c>
      <c r="S746" s="14" t="n">
        <f aca="false">$B$4-27*($B$5+$B$6)/30-IF($B$11&lt;=27,$B$12,0)+L746</f>
        <v>10477.8703349789</v>
      </c>
      <c r="T746" s="14" t="n">
        <f aca="false">$B$4-41*($B$5+$B$6)/30-IF($B$11&lt;=41,$B$12,0)+L746+M746</f>
        <v>864.186878312063</v>
      </c>
      <c r="U746" s="14" t="n">
        <f aca="false">$B$4-55*($B$5+$B$6)/30-IF($B$11&lt;=55,$B$12,0)+L746+M746+N746</f>
        <v>3033.80198437219</v>
      </c>
      <c r="V746" s="14" t="n">
        <f aca="false">$B$4-69*($B$5+$B$6)/30-IF($B$11&lt;=69,$B$12,0)+L746+M746+N746+O746</f>
        <v>5262.8958973403</v>
      </c>
      <c r="W746" s="14" t="n">
        <f aca="false">$B$4-83*($B$5+$B$6)/30-IF($B$11&lt;=83,$B$12,0)+L746+M746+N746+O746+P746</f>
        <v>7035.19736715218</v>
      </c>
      <c r="X746" s="14" t="n">
        <f aca="false">$B$4-90*($B$5+$B$6)/30-IF($B$11&lt;=90,$B$12,0)+L746+M746+N746+O746+P746+Q746</f>
        <v>10494.2636827883</v>
      </c>
      <c r="AA746" s="14" t="n">
        <f aca="false">MIN(R746:X746)</f>
        <v>864.186878312063</v>
      </c>
    </row>
    <row r="747" customFormat="false" ht="15" hidden="false" customHeight="false" outlineLevel="0" collapsed="false">
      <c r="K747" s="2" t="n">
        <v>742</v>
      </c>
      <c r="L747" s="14" t="n">
        <f aca="true">$B$16+NORMINV(RAND(),0,SQRT($B$13*($B$7+$B$8^2))*$B$9*(1-$B$10))</f>
        <v>3713.44911054136</v>
      </c>
      <c r="M747" s="14" t="n">
        <f aca="true">$B$16+NORMINV(RAND(),0,SQRT($B$13*($B$7+$B$8^2))*$B$9*(1-$B$10))</f>
        <v>4437.93393138555</v>
      </c>
      <c r="N747" s="14" t="n">
        <f aca="true">$B$16+NORMINV(RAND(),0,SQRT($B$13*($B$7+$B$8^2))*$B$9*(1-$B$10))</f>
        <v>4318.78896638208</v>
      </c>
      <c r="O747" s="14" t="n">
        <f aca="true">$B$16+NORMINV(RAND(),0,SQRT($B$13*($B$7+$B$8^2))*$B$9*(1-$B$10))</f>
        <v>3956.28789337304</v>
      </c>
      <c r="P747" s="14" t="n">
        <f aca="true">$B$16+NORMINV(RAND(),0,SQRT($B$13*($B$7+$B$8^2))*$B$9*(1-$B$10))</f>
        <v>3690.4248834096</v>
      </c>
      <c r="Q747" s="14" t="n">
        <f aca="true">$B$16+NORMINV(RAND(),0,SQRT($B$13*($B$7+$B$8^2))*$B$9*(1-$B$10))</f>
        <v>3831.64366714757</v>
      </c>
      <c r="R747" s="14" t="n">
        <f aca="false">$B$4-13*($B$5+$B$6)/30-IF($B$11&lt;=13,$B$12,0)+0</f>
        <v>8876.66666666667</v>
      </c>
      <c r="S747" s="14" t="n">
        <f aca="false">$B$4-27*($B$5+$B$6)/30-IF($B$11&lt;=27,$B$12,0)+L747</f>
        <v>10303.4491105414</v>
      </c>
      <c r="T747" s="14" t="n">
        <f aca="false">$B$4-41*($B$5+$B$6)/30-IF($B$11&lt;=41,$B$12,0)+L747+M747</f>
        <v>1269.91637526025</v>
      </c>
      <c r="U747" s="14" t="n">
        <f aca="false">$B$4-55*($B$5+$B$6)/30-IF($B$11&lt;=55,$B$12,0)+L747+M747+N747</f>
        <v>3302.03867497566</v>
      </c>
      <c r="V747" s="14" t="n">
        <f aca="false">$B$4-69*($B$5+$B$6)/30-IF($B$11&lt;=69,$B$12,0)+L747+M747+N747+O747</f>
        <v>4971.65990168203</v>
      </c>
      <c r="W747" s="14" t="n">
        <f aca="false">$B$4-83*($B$5+$B$6)/30-IF($B$11&lt;=83,$B$12,0)+L747+M747+N747+O747+P747</f>
        <v>6375.41811842496</v>
      </c>
      <c r="X747" s="14" t="n">
        <f aca="false">$B$4-90*($B$5+$B$6)/30-IF($B$11&lt;=90,$B$12,0)+L747+M747+N747+O747+P747+Q747</f>
        <v>9063.7284522392</v>
      </c>
      <c r="AA747" s="14" t="n">
        <f aca="false">MIN(R747:X747)</f>
        <v>1269.91637526025</v>
      </c>
    </row>
    <row r="748" customFormat="false" ht="15" hidden="false" customHeight="false" outlineLevel="0" collapsed="false">
      <c r="K748" s="2" t="n">
        <v>743</v>
      </c>
      <c r="L748" s="14" t="n">
        <f aca="true">$B$16+NORMINV(RAND(),0,SQRT($B$13*($B$7+$B$8^2))*$B$9*(1-$B$10))</f>
        <v>3593.99895778463</v>
      </c>
      <c r="M748" s="14" t="n">
        <f aca="true">$B$16+NORMINV(RAND(),0,SQRT($B$13*($B$7+$B$8^2))*$B$9*(1-$B$10))</f>
        <v>4555.82297912061</v>
      </c>
      <c r="N748" s="14" t="n">
        <f aca="true">$B$16+NORMINV(RAND(),0,SQRT($B$13*($B$7+$B$8^2))*$B$9*(1-$B$10))</f>
        <v>3755.88458754105</v>
      </c>
      <c r="O748" s="14" t="n">
        <f aca="true">$B$16+NORMINV(RAND(),0,SQRT($B$13*($B$7+$B$8^2))*$B$9*(1-$B$10))</f>
        <v>4852.17691238436</v>
      </c>
      <c r="P748" s="14" t="n">
        <f aca="true">$B$16+NORMINV(RAND(),0,SQRT($B$13*($B$7+$B$8^2))*$B$9*(1-$B$10))</f>
        <v>3720.18824132143</v>
      </c>
      <c r="Q748" s="14" t="n">
        <f aca="true">$B$16+NORMINV(RAND(),0,SQRT($B$13*($B$7+$B$8^2))*$B$9*(1-$B$10))</f>
        <v>3095.50017453359</v>
      </c>
      <c r="R748" s="14" t="n">
        <f aca="false">$B$4-13*($B$5+$B$6)/30-IF($B$11&lt;=13,$B$12,0)+0</f>
        <v>8876.66666666667</v>
      </c>
      <c r="S748" s="14" t="n">
        <f aca="false">$B$4-27*($B$5+$B$6)/30-IF($B$11&lt;=27,$B$12,0)+L748</f>
        <v>10183.9989577846</v>
      </c>
      <c r="T748" s="14" t="n">
        <f aca="false">$B$4-41*($B$5+$B$6)/30-IF($B$11&lt;=41,$B$12,0)+L748+M748</f>
        <v>1268.35527023857</v>
      </c>
      <c r="U748" s="14" t="n">
        <f aca="false">$B$4-55*($B$5+$B$6)/30-IF($B$11&lt;=55,$B$12,0)+L748+M748+N748</f>
        <v>2737.57319111295</v>
      </c>
      <c r="V748" s="14" t="n">
        <f aca="false">$B$4-69*($B$5+$B$6)/30-IF($B$11&lt;=69,$B$12,0)+L748+M748+N748+O748</f>
        <v>5303.08343683064</v>
      </c>
      <c r="W748" s="14" t="n">
        <f aca="false">$B$4-83*($B$5+$B$6)/30-IF($B$11&lt;=83,$B$12,0)+L748+M748+N748+O748+P748</f>
        <v>6736.60501148541</v>
      </c>
      <c r="X748" s="14" t="n">
        <f aca="false">$B$4-90*($B$5+$B$6)/30-IF($B$11&lt;=90,$B$12,0)+L748+M748+N748+O748+P748+Q748</f>
        <v>8688.77185268566</v>
      </c>
      <c r="AA748" s="14" t="n">
        <f aca="false">MIN(R748:X748)</f>
        <v>1268.35527023857</v>
      </c>
    </row>
    <row r="749" customFormat="false" ht="15" hidden="false" customHeight="false" outlineLevel="0" collapsed="false">
      <c r="K749" s="2" t="n">
        <v>744</v>
      </c>
      <c r="L749" s="14" t="n">
        <f aca="true">$B$16+NORMINV(RAND(),0,SQRT($B$13*($B$7+$B$8^2))*$B$9*(1-$B$10))</f>
        <v>4187.96275961565</v>
      </c>
      <c r="M749" s="14" t="n">
        <f aca="true">$B$16+NORMINV(RAND(),0,SQRT($B$13*($B$7+$B$8^2))*$B$9*(1-$B$10))</f>
        <v>4393.61657706993</v>
      </c>
      <c r="N749" s="14" t="n">
        <f aca="true">$B$16+NORMINV(RAND(),0,SQRT($B$13*($B$7+$B$8^2))*$B$9*(1-$B$10))</f>
        <v>4546.40114803451</v>
      </c>
      <c r="O749" s="14" t="n">
        <f aca="true">$B$16+NORMINV(RAND(),0,SQRT($B$13*($B$7+$B$8^2))*$B$9*(1-$B$10))</f>
        <v>4002.86460252717</v>
      </c>
      <c r="P749" s="14" t="n">
        <f aca="true">$B$16+NORMINV(RAND(),0,SQRT($B$13*($B$7+$B$8^2))*$B$9*(1-$B$10))</f>
        <v>3673.24190275137</v>
      </c>
      <c r="Q749" s="14" t="n">
        <f aca="true">$B$16+NORMINV(RAND(),0,SQRT($B$13*($B$7+$B$8^2))*$B$9*(1-$B$10))</f>
        <v>4495.54133939161</v>
      </c>
      <c r="R749" s="14" t="n">
        <f aca="false">$B$4-13*($B$5+$B$6)/30-IF($B$11&lt;=13,$B$12,0)+0</f>
        <v>8876.66666666667</v>
      </c>
      <c r="S749" s="14" t="n">
        <f aca="false">$B$4-27*($B$5+$B$6)/30-IF($B$11&lt;=27,$B$12,0)+L749</f>
        <v>10777.9627596156</v>
      </c>
      <c r="T749" s="14" t="n">
        <f aca="false">$B$4-41*($B$5+$B$6)/30-IF($B$11&lt;=41,$B$12,0)+L749+M749</f>
        <v>1700.11267001891</v>
      </c>
      <c r="U749" s="14" t="n">
        <f aca="false">$B$4-55*($B$5+$B$6)/30-IF($B$11&lt;=55,$B$12,0)+L749+M749+N749</f>
        <v>3959.84715138675</v>
      </c>
      <c r="V749" s="14" t="n">
        <f aca="false">$B$4-69*($B$5+$B$6)/30-IF($B$11&lt;=69,$B$12,0)+L749+M749+N749+O749</f>
        <v>5676.04508724725</v>
      </c>
      <c r="W749" s="14" t="n">
        <f aca="false">$B$4-83*($B$5+$B$6)/30-IF($B$11&lt;=83,$B$12,0)+L749+M749+N749+O749+P749</f>
        <v>7062.62032333196</v>
      </c>
      <c r="X749" s="14" t="n">
        <f aca="false">$B$4-90*($B$5+$B$6)/30-IF($B$11&lt;=90,$B$12,0)+L749+M749+N749+O749+P749+Q749</f>
        <v>10414.8283293902</v>
      </c>
      <c r="AA749" s="14" t="n">
        <f aca="false">MIN(R749:X749)</f>
        <v>1700.11267001891</v>
      </c>
    </row>
    <row r="750" customFormat="false" ht="15" hidden="false" customHeight="false" outlineLevel="0" collapsed="false">
      <c r="K750" s="2" t="n">
        <v>745</v>
      </c>
      <c r="L750" s="14" t="n">
        <f aca="true">$B$16+NORMINV(RAND(),0,SQRT($B$13*($B$7+$B$8^2))*$B$9*(1-$B$10))</f>
        <v>4714.32474738289</v>
      </c>
      <c r="M750" s="14" t="n">
        <f aca="true">$B$16+NORMINV(RAND(),0,SQRT($B$13*($B$7+$B$8^2))*$B$9*(1-$B$10))</f>
        <v>4249.66736933563</v>
      </c>
      <c r="N750" s="14" t="n">
        <f aca="true">$B$16+NORMINV(RAND(),0,SQRT($B$13*($B$7+$B$8^2))*$B$9*(1-$B$10))</f>
        <v>3097.13978522927</v>
      </c>
      <c r="O750" s="14" t="n">
        <f aca="true">$B$16+NORMINV(RAND(),0,SQRT($B$13*($B$7+$B$8^2))*$B$9*(1-$B$10))</f>
        <v>4090.083556184</v>
      </c>
      <c r="P750" s="14" t="n">
        <f aca="true">$B$16+NORMINV(RAND(),0,SQRT($B$13*($B$7+$B$8^2))*$B$9*(1-$B$10))</f>
        <v>4526.81187042039</v>
      </c>
      <c r="Q750" s="14" t="n">
        <f aca="true">$B$16+NORMINV(RAND(),0,SQRT($B$13*($B$7+$B$8^2))*$B$9*(1-$B$10))</f>
        <v>3733.7002496753</v>
      </c>
      <c r="R750" s="14" t="n">
        <f aca="false">$B$4-13*($B$5+$B$6)/30-IF($B$11&lt;=13,$B$12,0)+0</f>
        <v>8876.66666666667</v>
      </c>
      <c r="S750" s="14" t="n">
        <f aca="false">$B$4-27*($B$5+$B$6)/30-IF($B$11&lt;=27,$B$12,0)+L750</f>
        <v>11304.3247473829</v>
      </c>
      <c r="T750" s="14" t="n">
        <f aca="false">$B$4-41*($B$5+$B$6)/30-IF($B$11&lt;=41,$B$12,0)+L750+M750</f>
        <v>2082.52545005185</v>
      </c>
      <c r="U750" s="14" t="n">
        <f aca="false">$B$4-55*($B$5+$B$6)/30-IF($B$11&lt;=55,$B$12,0)+L750+M750+N750</f>
        <v>2892.99856861446</v>
      </c>
      <c r="V750" s="14" t="n">
        <f aca="false">$B$4-69*($B$5+$B$6)/30-IF($B$11&lt;=69,$B$12,0)+L750+M750+N750+O750</f>
        <v>4696.41545813179</v>
      </c>
      <c r="W750" s="14" t="n">
        <f aca="false">$B$4-83*($B$5+$B$6)/30-IF($B$11&lt;=83,$B$12,0)+L750+M750+N750+O750+P750</f>
        <v>6936.56066188551</v>
      </c>
      <c r="X750" s="14" t="n">
        <f aca="false">$B$4-90*($B$5+$B$6)/30-IF($B$11&lt;=90,$B$12,0)+L750+M750+N750+O750+P750+Q750</f>
        <v>9526.92757822747</v>
      </c>
      <c r="AA750" s="14" t="n">
        <f aca="false">MIN(R750:X750)</f>
        <v>2082.52545005185</v>
      </c>
    </row>
    <row r="751" customFormat="false" ht="15" hidden="false" customHeight="false" outlineLevel="0" collapsed="false">
      <c r="K751" s="2" t="n">
        <v>746</v>
      </c>
      <c r="L751" s="14" t="n">
        <f aca="true">$B$16+NORMINV(RAND(),0,SQRT($B$13*($B$7+$B$8^2))*$B$9*(1-$B$10))</f>
        <v>3890.39811333256</v>
      </c>
      <c r="M751" s="14" t="n">
        <f aca="true">$B$16+NORMINV(RAND(),0,SQRT($B$13*($B$7+$B$8^2))*$B$9*(1-$B$10))</f>
        <v>4537.79926243946</v>
      </c>
      <c r="N751" s="14" t="n">
        <f aca="true">$B$16+NORMINV(RAND(),0,SQRT($B$13*($B$7+$B$8^2))*$B$9*(1-$B$10))</f>
        <v>4065.5132164139</v>
      </c>
      <c r="O751" s="14" t="n">
        <f aca="true">$B$16+NORMINV(RAND(),0,SQRT($B$13*($B$7+$B$8^2))*$B$9*(1-$B$10))</f>
        <v>4110.35725616189</v>
      </c>
      <c r="P751" s="14" t="n">
        <f aca="true">$B$16+NORMINV(RAND(),0,SQRT($B$13*($B$7+$B$8^2))*$B$9*(1-$B$10))</f>
        <v>4014.57849644553</v>
      </c>
      <c r="Q751" s="14" t="n">
        <f aca="true">$B$16+NORMINV(RAND(),0,SQRT($B$13*($B$7+$B$8^2))*$B$9*(1-$B$10))</f>
        <v>4256.72555878821</v>
      </c>
      <c r="R751" s="14" t="n">
        <f aca="false">$B$4-13*($B$5+$B$6)/30-IF($B$11&lt;=13,$B$12,0)+0</f>
        <v>8876.66666666667</v>
      </c>
      <c r="S751" s="14" t="n">
        <f aca="false">$B$4-27*($B$5+$B$6)/30-IF($B$11&lt;=27,$B$12,0)+L751</f>
        <v>10480.3981133326</v>
      </c>
      <c r="T751" s="14" t="n">
        <f aca="false">$B$4-41*($B$5+$B$6)/30-IF($B$11&lt;=41,$B$12,0)+L751+M751</f>
        <v>1546.73070910536</v>
      </c>
      <c r="U751" s="14" t="n">
        <f aca="false">$B$4-55*($B$5+$B$6)/30-IF($B$11&lt;=55,$B$12,0)+L751+M751+N751</f>
        <v>3325.57725885259</v>
      </c>
      <c r="V751" s="14" t="n">
        <f aca="false">$B$4-69*($B$5+$B$6)/30-IF($B$11&lt;=69,$B$12,0)+L751+M751+N751+O751</f>
        <v>5149.26784834781</v>
      </c>
      <c r="W751" s="14" t="n">
        <f aca="false">$B$4-83*($B$5+$B$6)/30-IF($B$11&lt;=83,$B$12,0)+L751+M751+N751+O751+P751</f>
        <v>6877.17967812668</v>
      </c>
      <c r="X751" s="14" t="n">
        <f aca="false">$B$4-90*($B$5+$B$6)/30-IF($B$11&lt;=90,$B$12,0)+L751+M751+N751+O751+P751+Q751</f>
        <v>9990.57190358156</v>
      </c>
      <c r="AA751" s="14" t="n">
        <f aca="false">MIN(R751:X751)</f>
        <v>1546.73070910536</v>
      </c>
    </row>
    <row r="752" customFormat="false" ht="15" hidden="false" customHeight="false" outlineLevel="0" collapsed="false">
      <c r="K752" s="2" t="n">
        <v>747</v>
      </c>
      <c r="L752" s="14" t="n">
        <f aca="true">$B$16+NORMINV(RAND(),0,SQRT($B$13*($B$7+$B$8^2))*$B$9*(1-$B$10))</f>
        <v>3713.18046938513</v>
      </c>
      <c r="M752" s="14" t="n">
        <f aca="true">$B$16+NORMINV(RAND(),0,SQRT($B$13*($B$7+$B$8^2))*$B$9*(1-$B$10))</f>
        <v>4182.02270664346</v>
      </c>
      <c r="N752" s="14" t="n">
        <f aca="true">$B$16+NORMINV(RAND(),0,SQRT($B$13*($B$7+$B$8^2))*$B$9*(1-$B$10))</f>
        <v>4524.74696700023</v>
      </c>
      <c r="O752" s="14" t="n">
        <f aca="true">$B$16+NORMINV(RAND(),0,SQRT($B$13*($B$7+$B$8^2))*$B$9*(1-$B$10))</f>
        <v>4870.0644618265</v>
      </c>
      <c r="P752" s="14" t="n">
        <f aca="true">$B$16+NORMINV(RAND(),0,SQRT($B$13*($B$7+$B$8^2))*$B$9*(1-$B$10))</f>
        <v>4076.40766554836</v>
      </c>
      <c r="Q752" s="14" t="n">
        <f aca="true">$B$16+NORMINV(RAND(),0,SQRT($B$13*($B$7+$B$8^2))*$B$9*(1-$B$10))</f>
        <v>3899.32421039044</v>
      </c>
      <c r="R752" s="14" t="n">
        <f aca="false">$B$4-13*($B$5+$B$6)/30-IF($B$11&lt;=13,$B$12,0)+0</f>
        <v>8876.66666666667</v>
      </c>
      <c r="S752" s="14" t="n">
        <f aca="false">$B$4-27*($B$5+$B$6)/30-IF($B$11&lt;=27,$B$12,0)+L752</f>
        <v>10303.1804693851</v>
      </c>
      <c r="T752" s="14" t="n">
        <f aca="false">$B$4-41*($B$5+$B$6)/30-IF($B$11&lt;=41,$B$12,0)+L752+M752</f>
        <v>1013.73650936192</v>
      </c>
      <c r="U752" s="14" t="n">
        <f aca="false">$B$4-55*($B$5+$B$6)/30-IF($B$11&lt;=55,$B$12,0)+L752+M752+N752</f>
        <v>3251.81680969549</v>
      </c>
      <c r="V752" s="14" t="n">
        <f aca="false">$B$4-69*($B$5+$B$6)/30-IF($B$11&lt;=69,$B$12,0)+L752+M752+N752+O752</f>
        <v>5835.21460485532</v>
      </c>
      <c r="W752" s="14" t="n">
        <f aca="false">$B$4-83*($B$5+$B$6)/30-IF($B$11&lt;=83,$B$12,0)+L752+M752+N752+O752+P752</f>
        <v>7624.95560373701</v>
      </c>
      <c r="X752" s="14" t="n">
        <f aca="false">$B$4-90*($B$5+$B$6)/30-IF($B$11&lt;=90,$B$12,0)+L752+M752+N752+O752+P752+Q752</f>
        <v>10380.9464807941</v>
      </c>
      <c r="AA752" s="14" t="n">
        <f aca="false">MIN(R752:X752)</f>
        <v>1013.73650936192</v>
      </c>
    </row>
    <row r="753" customFormat="false" ht="15" hidden="false" customHeight="false" outlineLevel="0" collapsed="false">
      <c r="K753" s="2" t="n">
        <v>748</v>
      </c>
      <c r="L753" s="14" t="n">
        <f aca="true">$B$16+NORMINV(RAND(),0,SQRT($B$13*($B$7+$B$8^2))*$B$9*(1-$B$10))</f>
        <v>4200.10758706112</v>
      </c>
      <c r="M753" s="14" t="n">
        <f aca="true">$B$16+NORMINV(RAND(),0,SQRT($B$13*($B$7+$B$8^2))*$B$9*(1-$B$10))</f>
        <v>3988.3171662969</v>
      </c>
      <c r="N753" s="14" t="n">
        <f aca="true">$B$16+NORMINV(RAND(),0,SQRT($B$13*($B$7+$B$8^2))*$B$9*(1-$B$10))</f>
        <v>3824.22422549578</v>
      </c>
      <c r="O753" s="14" t="n">
        <f aca="true">$B$16+NORMINV(RAND(),0,SQRT($B$13*($B$7+$B$8^2))*$B$9*(1-$B$10))</f>
        <v>4007.08583462422</v>
      </c>
      <c r="P753" s="14" t="n">
        <f aca="true">$B$16+NORMINV(RAND(),0,SQRT($B$13*($B$7+$B$8^2))*$B$9*(1-$B$10))</f>
        <v>4044.56532991231</v>
      </c>
      <c r="Q753" s="14" t="n">
        <f aca="true">$B$16+NORMINV(RAND(),0,SQRT($B$13*($B$7+$B$8^2))*$B$9*(1-$B$10))</f>
        <v>4355.23775992075</v>
      </c>
      <c r="R753" s="14" t="n">
        <f aca="false">$B$4-13*($B$5+$B$6)/30-IF($B$11&lt;=13,$B$12,0)+0</f>
        <v>8876.66666666667</v>
      </c>
      <c r="S753" s="14" t="n">
        <f aca="false">$B$4-27*($B$5+$B$6)/30-IF($B$11&lt;=27,$B$12,0)+L753</f>
        <v>10790.1075870611</v>
      </c>
      <c r="T753" s="14" t="n">
        <f aca="false">$B$4-41*($B$5+$B$6)/30-IF($B$11&lt;=41,$B$12,0)+L753+M753</f>
        <v>1306.95808669135</v>
      </c>
      <c r="U753" s="14" t="n">
        <f aca="false">$B$4-55*($B$5+$B$6)/30-IF($B$11&lt;=55,$B$12,0)+L753+M753+N753</f>
        <v>2844.51564552046</v>
      </c>
      <c r="V753" s="14" t="n">
        <f aca="false">$B$4-69*($B$5+$B$6)/30-IF($B$11&lt;=69,$B$12,0)+L753+M753+N753+O753</f>
        <v>4564.93481347801</v>
      </c>
      <c r="W753" s="14" t="n">
        <f aca="false">$B$4-83*($B$5+$B$6)/30-IF($B$11&lt;=83,$B$12,0)+L753+M753+N753+O753+P753</f>
        <v>6322.83347672365</v>
      </c>
      <c r="X753" s="14" t="n">
        <f aca="false">$B$4-90*($B$5+$B$6)/30-IF($B$11&lt;=90,$B$12,0)+L753+M753+N753+O753+P753+Q753</f>
        <v>9534.73790331107</v>
      </c>
      <c r="AA753" s="14" t="n">
        <f aca="false">MIN(R753:X753)</f>
        <v>1306.95808669135</v>
      </c>
    </row>
    <row r="754" customFormat="false" ht="15" hidden="false" customHeight="false" outlineLevel="0" collapsed="false">
      <c r="K754" s="2" t="n">
        <v>749</v>
      </c>
      <c r="L754" s="14" t="n">
        <f aca="true">$B$16+NORMINV(RAND(),0,SQRT($B$13*($B$7+$B$8^2))*$B$9*(1-$B$10))</f>
        <v>3274.37599414777</v>
      </c>
      <c r="M754" s="14" t="n">
        <f aca="true">$B$16+NORMINV(RAND(),0,SQRT($B$13*($B$7+$B$8^2))*$B$9*(1-$B$10))</f>
        <v>4136.86546813799</v>
      </c>
      <c r="N754" s="14" t="n">
        <f aca="true">$B$16+NORMINV(RAND(),0,SQRT($B$13*($B$7+$B$8^2))*$B$9*(1-$B$10))</f>
        <v>4008.65667815911</v>
      </c>
      <c r="O754" s="14" t="n">
        <f aca="true">$B$16+NORMINV(RAND(),0,SQRT($B$13*($B$7+$B$8^2))*$B$9*(1-$B$10))</f>
        <v>3820.49926909316</v>
      </c>
      <c r="P754" s="14" t="n">
        <f aca="true">$B$16+NORMINV(RAND(),0,SQRT($B$13*($B$7+$B$8^2))*$B$9*(1-$B$10))</f>
        <v>3890.1532752701</v>
      </c>
      <c r="Q754" s="14" t="n">
        <f aca="true">$B$16+NORMINV(RAND(),0,SQRT($B$13*($B$7+$B$8^2))*$B$9*(1-$B$10))</f>
        <v>3899.47672159474</v>
      </c>
      <c r="R754" s="14" t="n">
        <f aca="false">$B$4-13*($B$5+$B$6)/30-IF($B$11&lt;=13,$B$12,0)+0</f>
        <v>8876.66666666667</v>
      </c>
      <c r="S754" s="14" t="n">
        <f aca="false">$B$4-27*($B$5+$B$6)/30-IF($B$11&lt;=27,$B$12,0)+L754</f>
        <v>9864.37599414777</v>
      </c>
      <c r="T754" s="14" t="n">
        <f aca="false">$B$4-41*($B$5+$B$6)/30-IF($B$11&lt;=41,$B$12,0)+L754+M754</f>
        <v>529.774795619088</v>
      </c>
      <c r="U754" s="14" t="n">
        <f aca="false">$B$4-55*($B$5+$B$6)/30-IF($B$11&lt;=55,$B$12,0)+L754+M754+N754</f>
        <v>2251.76480711153</v>
      </c>
      <c r="V754" s="14" t="n">
        <f aca="false">$B$4-69*($B$5+$B$6)/30-IF($B$11&lt;=69,$B$12,0)+L754+M754+N754+O754</f>
        <v>3785.59740953802</v>
      </c>
      <c r="W754" s="14" t="n">
        <f aca="false">$B$4-83*($B$5+$B$6)/30-IF($B$11&lt;=83,$B$12,0)+L754+M754+N754+O754+P754</f>
        <v>5389.08401814145</v>
      </c>
      <c r="X754" s="14" t="n">
        <f aca="false">$B$4-90*($B$5+$B$6)/30-IF($B$11&lt;=90,$B$12,0)+L754+M754+N754+O754+P754+Q754</f>
        <v>8145.22740640286</v>
      </c>
      <c r="AA754" s="14" t="n">
        <f aca="false">MIN(R754:X754)</f>
        <v>529.774795619088</v>
      </c>
    </row>
    <row r="755" customFormat="false" ht="15" hidden="false" customHeight="false" outlineLevel="0" collapsed="false">
      <c r="K755" s="2" t="n">
        <v>750</v>
      </c>
      <c r="L755" s="14" t="n">
        <f aca="true">$B$16+NORMINV(RAND(),0,SQRT($B$13*($B$7+$B$8^2))*$B$9*(1-$B$10))</f>
        <v>3540.17622623418</v>
      </c>
      <c r="M755" s="14" t="n">
        <f aca="true">$B$16+NORMINV(RAND(),0,SQRT($B$13*($B$7+$B$8^2))*$B$9*(1-$B$10))</f>
        <v>4229.46529921132</v>
      </c>
      <c r="N755" s="14" t="n">
        <f aca="true">$B$16+NORMINV(RAND(),0,SQRT($B$13*($B$7+$B$8^2))*$B$9*(1-$B$10))</f>
        <v>4245.54865517281</v>
      </c>
      <c r="O755" s="14" t="n">
        <f aca="true">$B$16+NORMINV(RAND(),0,SQRT($B$13*($B$7+$B$8^2))*$B$9*(1-$B$10))</f>
        <v>4398.16169052964</v>
      </c>
      <c r="P755" s="14" t="n">
        <f aca="true">$B$16+NORMINV(RAND(),0,SQRT($B$13*($B$7+$B$8^2))*$B$9*(1-$B$10))</f>
        <v>3733.19478603684</v>
      </c>
      <c r="Q755" s="14" t="n">
        <f aca="true">$B$16+NORMINV(RAND(),0,SQRT($B$13*($B$7+$B$8^2))*$B$9*(1-$B$10))</f>
        <v>3711.14757385143</v>
      </c>
      <c r="R755" s="14" t="n">
        <f aca="false">$B$4-13*($B$5+$B$6)/30-IF($B$11&lt;=13,$B$12,0)+0</f>
        <v>8876.66666666667</v>
      </c>
      <c r="S755" s="14" t="n">
        <f aca="false">$B$4-27*($B$5+$B$6)/30-IF($B$11&lt;=27,$B$12,0)+L755</f>
        <v>10130.1762262342</v>
      </c>
      <c r="T755" s="14" t="n">
        <f aca="false">$B$4-41*($B$5+$B$6)/30-IF($B$11&lt;=41,$B$12,0)+L755+M755</f>
        <v>888.174858778834</v>
      </c>
      <c r="U755" s="14" t="n">
        <f aca="false">$B$4-55*($B$5+$B$6)/30-IF($B$11&lt;=55,$B$12,0)+L755+M755+N755</f>
        <v>2847.05684728498</v>
      </c>
      <c r="V755" s="14" t="n">
        <f aca="false">$B$4-69*($B$5+$B$6)/30-IF($B$11&lt;=69,$B$12,0)+L755+M755+N755+O755</f>
        <v>4958.55187114795</v>
      </c>
      <c r="W755" s="14" t="n">
        <f aca="false">$B$4-83*($B$5+$B$6)/30-IF($B$11&lt;=83,$B$12,0)+L755+M755+N755+O755+P755</f>
        <v>6405.07999051813</v>
      </c>
      <c r="X755" s="14" t="n">
        <f aca="false">$B$4-90*($B$5+$B$6)/30-IF($B$11&lt;=90,$B$12,0)+L755+M755+N755+O755+P755+Q755</f>
        <v>8972.89423103622</v>
      </c>
      <c r="AA755" s="14" t="n">
        <f aca="false">MIN(R755:X755)</f>
        <v>888.174858778834</v>
      </c>
    </row>
    <row r="756" customFormat="false" ht="15" hidden="false" customHeight="false" outlineLevel="0" collapsed="false">
      <c r="K756" s="2" t="n">
        <v>751</v>
      </c>
      <c r="L756" s="14" t="n">
        <f aca="true">$B$16+NORMINV(RAND(),0,SQRT($B$13*($B$7+$B$8^2))*$B$9*(1-$B$10))</f>
        <v>3895.01608600889</v>
      </c>
      <c r="M756" s="14" t="n">
        <f aca="true">$B$16+NORMINV(RAND(),0,SQRT($B$13*($B$7+$B$8^2))*$B$9*(1-$B$10))</f>
        <v>4114.85831942144</v>
      </c>
      <c r="N756" s="14" t="n">
        <f aca="true">$B$16+NORMINV(RAND(),0,SQRT($B$13*($B$7+$B$8^2))*$B$9*(1-$B$10))</f>
        <v>4068.18906125383</v>
      </c>
      <c r="O756" s="14" t="n">
        <f aca="true">$B$16+NORMINV(RAND(),0,SQRT($B$13*($B$7+$B$8^2))*$B$9*(1-$B$10))</f>
        <v>3632.0056383874</v>
      </c>
      <c r="P756" s="14" t="n">
        <f aca="true">$B$16+NORMINV(RAND(),0,SQRT($B$13*($B$7+$B$8^2))*$B$9*(1-$B$10))</f>
        <v>4336.05752358331</v>
      </c>
      <c r="Q756" s="14" t="n">
        <f aca="true">$B$16+NORMINV(RAND(),0,SQRT($B$13*($B$7+$B$8^2))*$B$9*(1-$B$10))</f>
        <v>4238.43232747991</v>
      </c>
      <c r="R756" s="14" t="n">
        <f aca="false">$B$4-13*($B$5+$B$6)/30-IF($B$11&lt;=13,$B$12,0)+0</f>
        <v>8876.66666666667</v>
      </c>
      <c r="S756" s="14" t="n">
        <f aca="false">$B$4-27*($B$5+$B$6)/30-IF($B$11&lt;=27,$B$12,0)+L756</f>
        <v>10485.0160860089</v>
      </c>
      <c r="T756" s="14" t="n">
        <f aca="false">$B$4-41*($B$5+$B$6)/30-IF($B$11&lt;=41,$B$12,0)+L756+M756</f>
        <v>1128.40773876366</v>
      </c>
      <c r="U756" s="14" t="n">
        <f aca="false">$B$4-55*($B$5+$B$6)/30-IF($B$11&lt;=55,$B$12,0)+L756+M756+N756</f>
        <v>2909.93013335083</v>
      </c>
      <c r="V756" s="14" t="n">
        <f aca="false">$B$4-69*($B$5+$B$6)/30-IF($B$11&lt;=69,$B$12,0)+L756+M756+N756+O756</f>
        <v>4255.26910507156</v>
      </c>
      <c r="W756" s="14" t="n">
        <f aca="false">$B$4-83*($B$5+$B$6)/30-IF($B$11&lt;=83,$B$12,0)+L756+M756+N756+O756+P756</f>
        <v>6304.6599619882</v>
      </c>
      <c r="X756" s="14" t="n">
        <f aca="false">$B$4-90*($B$5+$B$6)/30-IF($B$11&lt;=90,$B$12,0)+L756+M756+N756+O756+P756+Q756</f>
        <v>9399.75895613478</v>
      </c>
      <c r="AA756" s="14" t="n">
        <f aca="false">MIN(R756:X756)</f>
        <v>1128.40773876366</v>
      </c>
    </row>
    <row r="757" customFormat="false" ht="15" hidden="false" customHeight="false" outlineLevel="0" collapsed="false">
      <c r="K757" s="2" t="n">
        <v>752</v>
      </c>
      <c r="L757" s="14" t="n">
        <f aca="true">$B$16+NORMINV(RAND(),0,SQRT($B$13*($B$7+$B$8^2))*$B$9*(1-$B$10))</f>
        <v>4044.27378767565</v>
      </c>
      <c r="M757" s="14" t="n">
        <f aca="true">$B$16+NORMINV(RAND(),0,SQRT($B$13*($B$7+$B$8^2))*$B$9*(1-$B$10))</f>
        <v>3924.13144220318</v>
      </c>
      <c r="N757" s="14" t="n">
        <f aca="true">$B$16+NORMINV(RAND(),0,SQRT($B$13*($B$7+$B$8^2))*$B$9*(1-$B$10))</f>
        <v>4076.51748163273</v>
      </c>
      <c r="O757" s="14" t="n">
        <f aca="true">$B$16+NORMINV(RAND(),0,SQRT($B$13*($B$7+$B$8^2))*$B$9*(1-$B$10))</f>
        <v>4151.48128343339</v>
      </c>
      <c r="P757" s="14" t="n">
        <f aca="true">$B$16+NORMINV(RAND(),0,SQRT($B$13*($B$7+$B$8^2))*$B$9*(1-$B$10))</f>
        <v>3928.45063374854</v>
      </c>
      <c r="Q757" s="14" t="n">
        <f aca="true">$B$16+NORMINV(RAND(),0,SQRT($B$13*($B$7+$B$8^2))*$B$9*(1-$B$10))</f>
        <v>3877.07440710244</v>
      </c>
      <c r="R757" s="14" t="n">
        <f aca="false">$B$4-13*($B$5+$B$6)/30-IF($B$11&lt;=13,$B$12,0)+0</f>
        <v>8876.66666666667</v>
      </c>
      <c r="S757" s="14" t="n">
        <f aca="false">$B$4-27*($B$5+$B$6)/30-IF($B$11&lt;=27,$B$12,0)+L757</f>
        <v>10634.2737876757</v>
      </c>
      <c r="T757" s="14" t="n">
        <f aca="false">$B$4-41*($B$5+$B$6)/30-IF($B$11&lt;=41,$B$12,0)+L757+M757</f>
        <v>1086.93856321216</v>
      </c>
      <c r="U757" s="14" t="n">
        <f aca="false">$B$4-55*($B$5+$B$6)/30-IF($B$11&lt;=55,$B$12,0)+L757+M757+N757</f>
        <v>2876.78937817823</v>
      </c>
      <c r="V757" s="14" t="n">
        <f aca="false">$B$4-69*($B$5+$B$6)/30-IF($B$11&lt;=69,$B$12,0)+L757+M757+N757+O757</f>
        <v>4741.60399494496</v>
      </c>
      <c r="W757" s="14" t="n">
        <f aca="false">$B$4-83*($B$5+$B$6)/30-IF($B$11&lt;=83,$B$12,0)+L757+M757+N757+O757+P757</f>
        <v>6383.38796202683</v>
      </c>
      <c r="X757" s="14" t="n">
        <f aca="false">$B$4-90*($B$5+$B$6)/30-IF($B$11&lt;=90,$B$12,0)+L757+M757+N757+O757+P757+Q757</f>
        <v>9117.12903579594</v>
      </c>
      <c r="AA757" s="14" t="n">
        <f aca="false">MIN(R757:X757)</f>
        <v>1086.93856321216</v>
      </c>
    </row>
    <row r="758" customFormat="false" ht="15" hidden="false" customHeight="false" outlineLevel="0" collapsed="false">
      <c r="K758" s="2" t="n">
        <v>753</v>
      </c>
      <c r="L758" s="14" t="n">
        <f aca="true">$B$16+NORMINV(RAND(),0,SQRT($B$13*($B$7+$B$8^2))*$B$9*(1-$B$10))</f>
        <v>4597.05797915947</v>
      </c>
      <c r="M758" s="14" t="n">
        <f aca="true">$B$16+NORMINV(RAND(),0,SQRT($B$13*($B$7+$B$8^2))*$B$9*(1-$B$10))</f>
        <v>4486.57838997564</v>
      </c>
      <c r="N758" s="14" t="n">
        <f aca="true">$B$16+NORMINV(RAND(),0,SQRT($B$13*($B$7+$B$8^2))*$B$9*(1-$B$10))</f>
        <v>3613.61152615243</v>
      </c>
      <c r="O758" s="14" t="n">
        <f aca="true">$B$16+NORMINV(RAND(),0,SQRT($B$13*($B$7+$B$8^2))*$B$9*(1-$B$10))</f>
        <v>4394.49146981787</v>
      </c>
      <c r="P758" s="14" t="n">
        <f aca="true">$B$16+NORMINV(RAND(),0,SQRT($B$13*($B$7+$B$8^2))*$B$9*(1-$B$10))</f>
        <v>4199.56100106707</v>
      </c>
      <c r="Q758" s="14" t="n">
        <f aca="true">$B$16+NORMINV(RAND(),0,SQRT($B$13*($B$7+$B$8^2))*$B$9*(1-$B$10))</f>
        <v>4139.59611613218</v>
      </c>
      <c r="R758" s="14" t="n">
        <f aca="false">$B$4-13*($B$5+$B$6)/30-IF($B$11&lt;=13,$B$12,0)+0</f>
        <v>8876.66666666667</v>
      </c>
      <c r="S758" s="14" t="n">
        <f aca="false">$B$4-27*($B$5+$B$6)/30-IF($B$11&lt;=27,$B$12,0)+L758</f>
        <v>11187.0579791595</v>
      </c>
      <c r="T758" s="14" t="n">
        <f aca="false">$B$4-41*($B$5+$B$6)/30-IF($B$11&lt;=41,$B$12,0)+L758+M758</f>
        <v>2202.16970246845</v>
      </c>
      <c r="U758" s="14" t="n">
        <f aca="false">$B$4-55*($B$5+$B$6)/30-IF($B$11&lt;=55,$B$12,0)+L758+M758+N758</f>
        <v>3529.11456195421</v>
      </c>
      <c r="V758" s="14" t="n">
        <f aca="false">$B$4-69*($B$5+$B$6)/30-IF($B$11&lt;=69,$B$12,0)+L758+M758+N758+O758</f>
        <v>5636.93936510541</v>
      </c>
      <c r="W758" s="14" t="n">
        <f aca="false">$B$4-83*($B$5+$B$6)/30-IF($B$11&lt;=83,$B$12,0)+L758+M758+N758+O758+P758</f>
        <v>7549.83369950581</v>
      </c>
      <c r="X758" s="14" t="n">
        <f aca="false">$B$4-90*($B$5+$B$6)/30-IF($B$11&lt;=90,$B$12,0)+L758+M758+N758+O758+P758+Q758</f>
        <v>10546.0964823047</v>
      </c>
      <c r="AA758" s="14" t="n">
        <f aca="false">MIN(R758:X758)</f>
        <v>2202.16970246845</v>
      </c>
    </row>
    <row r="759" customFormat="false" ht="15" hidden="false" customHeight="false" outlineLevel="0" collapsed="false">
      <c r="K759" s="2" t="n">
        <v>754</v>
      </c>
      <c r="L759" s="14" t="n">
        <f aca="true">$B$16+NORMINV(RAND(),0,SQRT($B$13*($B$7+$B$8^2))*$B$9*(1-$B$10))</f>
        <v>3941.10906539801</v>
      </c>
      <c r="M759" s="14" t="n">
        <f aca="true">$B$16+NORMINV(RAND(),0,SQRT($B$13*($B$7+$B$8^2))*$B$9*(1-$B$10))</f>
        <v>3765.31069328404</v>
      </c>
      <c r="N759" s="14" t="n">
        <f aca="true">$B$16+NORMINV(RAND(),0,SQRT($B$13*($B$7+$B$8^2))*$B$9*(1-$B$10))</f>
        <v>4516.28422324056</v>
      </c>
      <c r="O759" s="14" t="n">
        <f aca="true">$B$16+NORMINV(RAND(),0,SQRT($B$13*($B$7+$B$8^2))*$B$9*(1-$B$10))</f>
        <v>3357.90198365074</v>
      </c>
      <c r="P759" s="14" t="n">
        <f aca="true">$B$16+NORMINV(RAND(),0,SQRT($B$13*($B$7+$B$8^2))*$B$9*(1-$B$10))</f>
        <v>3965.95716290487</v>
      </c>
      <c r="Q759" s="14" t="n">
        <f aca="true">$B$16+NORMINV(RAND(),0,SQRT($B$13*($B$7+$B$8^2))*$B$9*(1-$B$10))</f>
        <v>4207.04320363808</v>
      </c>
      <c r="R759" s="14" t="n">
        <f aca="false">$B$4-13*($B$5+$B$6)/30-IF($B$11&lt;=13,$B$12,0)+0</f>
        <v>8876.66666666667</v>
      </c>
      <c r="S759" s="14" t="n">
        <f aca="false">$B$4-27*($B$5+$B$6)/30-IF($B$11&lt;=27,$B$12,0)+L759</f>
        <v>10531.109065398</v>
      </c>
      <c r="T759" s="14" t="n">
        <f aca="false">$B$4-41*($B$5+$B$6)/30-IF($B$11&lt;=41,$B$12,0)+L759+M759</f>
        <v>824.953092015382</v>
      </c>
      <c r="U759" s="14" t="n">
        <f aca="false">$B$4-55*($B$5+$B$6)/30-IF($B$11&lt;=55,$B$12,0)+L759+M759+N759</f>
        <v>3054.57064858928</v>
      </c>
      <c r="V759" s="14" t="n">
        <f aca="false">$B$4-69*($B$5+$B$6)/30-IF($B$11&lt;=69,$B$12,0)+L759+M759+N759+O759</f>
        <v>4125.80596557335</v>
      </c>
      <c r="W759" s="14" t="n">
        <f aca="false">$B$4-83*($B$5+$B$6)/30-IF($B$11&lt;=83,$B$12,0)+L759+M759+N759+O759+P759</f>
        <v>5805.09646181155</v>
      </c>
      <c r="X759" s="14" t="n">
        <f aca="false">$B$4-90*($B$5+$B$6)/30-IF($B$11&lt;=90,$B$12,0)+L759+M759+N759+O759+P759+Q759</f>
        <v>8868.8063321163</v>
      </c>
      <c r="AA759" s="14" t="n">
        <f aca="false">MIN(R759:X759)</f>
        <v>824.953092015382</v>
      </c>
    </row>
    <row r="760" customFormat="false" ht="15" hidden="false" customHeight="false" outlineLevel="0" collapsed="false">
      <c r="K760" s="2" t="n">
        <v>755</v>
      </c>
      <c r="L760" s="14" t="n">
        <f aca="true">$B$16+NORMINV(RAND(),0,SQRT($B$13*($B$7+$B$8^2))*$B$9*(1-$B$10))</f>
        <v>3468.98863716291</v>
      </c>
      <c r="M760" s="14" t="n">
        <f aca="true">$B$16+NORMINV(RAND(),0,SQRT($B$13*($B$7+$B$8^2))*$B$9*(1-$B$10))</f>
        <v>3980.07842757027</v>
      </c>
      <c r="N760" s="14" t="n">
        <f aca="true">$B$16+NORMINV(RAND(),0,SQRT($B$13*($B$7+$B$8^2))*$B$9*(1-$B$10))</f>
        <v>4372.87744186953</v>
      </c>
      <c r="O760" s="14" t="n">
        <f aca="true">$B$16+NORMINV(RAND(),0,SQRT($B$13*($B$7+$B$8^2))*$B$9*(1-$B$10))</f>
        <v>4257.04332890413</v>
      </c>
      <c r="P760" s="14" t="n">
        <f aca="true">$B$16+NORMINV(RAND(),0,SQRT($B$13*($B$7+$B$8^2))*$B$9*(1-$B$10))</f>
        <v>4526.49035800823</v>
      </c>
      <c r="Q760" s="14" t="n">
        <f aca="true">$B$16+NORMINV(RAND(),0,SQRT($B$13*($B$7+$B$8^2))*$B$9*(1-$B$10))</f>
        <v>3928.44695933885</v>
      </c>
      <c r="R760" s="14" t="n">
        <f aca="false">$B$4-13*($B$5+$B$6)/30-IF($B$11&lt;=13,$B$12,0)+0</f>
        <v>8876.66666666667</v>
      </c>
      <c r="S760" s="14" t="n">
        <f aca="false">$B$4-27*($B$5+$B$6)/30-IF($B$11&lt;=27,$B$12,0)+L760</f>
        <v>10058.9886371629</v>
      </c>
      <c r="T760" s="14" t="n">
        <f aca="false">$B$4-41*($B$5+$B$6)/30-IF($B$11&lt;=41,$B$12,0)+L760+M760</f>
        <v>567.600398066514</v>
      </c>
      <c r="U760" s="14" t="n">
        <f aca="false">$B$4-55*($B$5+$B$6)/30-IF($B$11&lt;=55,$B$12,0)+L760+M760+N760</f>
        <v>2653.81117326938</v>
      </c>
      <c r="V760" s="14" t="n">
        <f aca="false">$B$4-69*($B$5+$B$6)/30-IF($B$11&lt;=69,$B$12,0)+L760+M760+N760+O760</f>
        <v>4624.18783550684</v>
      </c>
      <c r="W760" s="14" t="n">
        <f aca="false">$B$4-83*($B$5+$B$6)/30-IF($B$11&lt;=83,$B$12,0)+L760+M760+N760+O760+P760</f>
        <v>6864.0115268484</v>
      </c>
      <c r="X760" s="14" t="n">
        <f aca="false">$B$4-90*($B$5+$B$6)/30-IF($B$11&lt;=90,$B$12,0)+L760+M760+N760+O760+P760+Q760</f>
        <v>9649.12515285391</v>
      </c>
      <c r="AA760" s="14" t="n">
        <f aca="false">MIN(R760:X760)</f>
        <v>567.600398066514</v>
      </c>
    </row>
    <row r="761" customFormat="false" ht="15" hidden="false" customHeight="false" outlineLevel="0" collapsed="false">
      <c r="K761" s="2" t="n">
        <v>756</v>
      </c>
      <c r="L761" s="14" t="n">
        <f aca="true">$B$16+NORMINV(RAND(),0,SQRT($B$13*($B$7+$B$8^2))*$B$9*(1-$B$10))</f>
        <v>4256.7885318874</v>
      </c>
      <c r="M761" s="14" t="n">
        <f aca="true">$B$16+NORMINV(RAND(),0,SQRT($B$13*($B$7+$B$8^2))*$B$9*(1-$B$10))</f>
        <v>4053.41405394401</v>
      </c>
      <c r="N761" s="14" t="n">
        <f aca="true">$B$16+NORMINV(RAND(),0,SQRT($B$13*($B$7+$B$8^2))*$B$9*(1-$B$10))</f>
        <v>4659.45521214827</v>
      </c>
      <c r="O761" s="14" t="n">
        <f aca="true">$B$16+NORMINV(RAND(),0,SQRT($B$13*($B$7+$B$8^2))*$B$9*(1-$B$10))</f>
        <v>4220.63008409863</v>
      </c>
      <c r="P761" s="14" t="n">
        <f aca="true">$B$16+NORMINV(RAND(),0,SQRT($B$13*($B$7+$B$8^2))*$B$9*(1-$B$10))</f>
        <v>3674.28452189435</v>
      </c>
      <c r="Q761" s="14" t="n">
        <f aca="true">$B$16+NORMINV(RAND(),0,SQRT($B$13*($B$7+$B$8^2))*$B$9*(1-$B$10))</f>
        <v>4394.029340379</v>
      </c>
      <c r="R761" s="14" t="n">
        <f aca="false">$B$4-13*($B$5+$B$6)/30-IF($B$11&lt;=13,$B$12,0)+0</f>
        <v>8876.66666666667</v>
      </c>
      <c r="S761" s="14" t="n">
        <f aca="false">$B$4-27*($B$5+$B$6)/30-IF($B$11&lt;=27,$B$12,0)+L761</f>
        <v>10846.7885318874</v>
      </c>
      <c r="T761" s="14" t="n">
        <f aca="false">$B$4-41*($B$5+$B$6)/30-IF($B$11&lt;=41,$B$12,0)+L761+M761</f>
        <v>1428.73591916474</v>
      </c>
      <c r="U761" s="14" t="n">
        <f aca="false">$B$4-55*($B$5+$B$6)/30-IF($B$11&lt;=55,$B$12,0)+L761+M761+N761</f>
        <v>3801.52446464634</v>
      </c>
      <c r="V761" s="14" t="n">
        <f aca="false">$B$4-69*($B$5+$B$6)/30-IF($B$11&lt;=69,$B$12,0)+L761+M761+N761+O761</f>
        <v>5735.48788207831</v>
      </c>
      <c r="W761" s="14" t="n">
        <f aca="false">$B$4-83*($B$5+$B$6)/30-IF($B$11&lt;=83,$B$12,0)+L761+M761+N761+O761+P761</f>
        <v>7123.10573730599</v>
      </c>
      <c r="X761" s="14" t="n">
        <f aca="false">$B$4-90*($B$5+$B$6)/30-IF($B$11&lt;=90,$B$12,0)+L761+M761+N761+O761+P761+Q761</f>
        <v>10373.8017443517</v>
      </c>
      <c r="AA761" s="14" t="n">
        <f aca="false">MIN(R761:X761)</f>
        <v>1428.73591916474</v>
      </c>
    </row>
    <row r="762" customFormat="false" ht="15" hidden="false" customHeight="false" outlineLevel="0" collapsed="false">
      <c r="K762" s="2" t="n">
        <v>757</v>
      </c>
      <c r="L762" s="14" t="n">
        <f aca="true">$B$16+NORMINV(RAND(),0,SQRT($B$13*($B$7+$B$8^2))*$B$9*(1-$B$10))</f>
        <v>4197.0304574241</v>
      </c>
      <c r="M762" s="14" t="n">
        <f aca="true">$B$16+NORMINV(RAND(),0,SQRT($B$13*($B$7+$B$8^2))*$B$9*(1-$B$10))</f>
        <v>3988.64833631004</v>
      </c>
      <c r="N762" s="14" t="n">
        <f aca="true">$B$16+NORMINV(RAND(),0,SQRT($B$13*($B$7+$B$8^2))*$B$9*(1-$B$10))</f>
        <v>4247.04428305797</v>
      </c>
      <c r="O762" s="14" t="n">
        <f aca="true">$B$16+NORMINV(RAND(),0,SQRT($B$13*($B$7+$B$8^2))*$B$9*(1-$B$10))</f>
        <v>3879.54134467984</v>
      </c>
      <c r="P762" s="14" t="n">
        <f aca="true">$B$16+NORMINV(RAND(),0,SQRT($B$13*($B$7+$B$8^2))*$B$9*(1-$B$10))</f>
        <v>4304.2635428258</v>
      </c>
      <c r="Q762" s="14" t="n">
        <f aca="true">$B$16+NORMINV(RAND(),0,SQRT($B$13*($B$7+$B$8^2))*$B$9*(1-$B$10))</f>
        <v>3800.68018929767</v>
      </c>
      <c r="R762" s="14" t="n">
        <f aca="false">$B$4-13*($B$5+$B$6)/30-IF($B$11&lt;=13,$B$12,0)+0</f>
        <v>8876.66666666667</v>
      </c>
      <c r="S762" s="14" t="n">
        <f aca="false">$B$4-27*($B$5+$B$6)/30-IF($B$11&lt;=27,$B$12,0)+L762</f>
        <v>10787.0304574241</v>
      </c>
      <c r="T762" s="14" t="n">
        <f aca="false">$B$4-41*($B$5+$B$6)/30-IF($B$11&lt;=41,$B$12,0)+L762+M762</f>
        <v>1304.21212706747</v>
      </c>
      <c r="U762" s="14" t="n">
        <f aca="false">$B$4-55*($B$5+$B$6)/30-IF($B$11&lt;=55,$B$12,0)+L762+M762+N762</f>
        <v>3264.58974345877</v>
      </c>
      <c r="V762" s="14" t="n">
        <f aca="false">$B$4-69*($B$5+$B$6)/30-IF($B$11&lt;=69,$B$12,0)+L762+M762+N762+O762</f>
        <v>4857.46442147194</v>
      </c>
      <c r="W762" s="14" t="n">
        <f aca="false">$B$4-83*($B$5+$B$6)/30-IF($B$11&lt;=83,$B$12,0)+L762+M762+N762+O762+P762</f>
        <v>6875.06129763108</v>
      </c>
      <c r="X762" s="14" t="n">
        <f aca="false">$B$4-90*($B$5+$B$6)/30-IF($B$11&lt;=90,$B$12,0)+L762+M762+N762+O762+P762+Q762</f>
        <v>9532.40815359541</v>
      </c>
      <c r="AA762" s="14" t="n">
        <f aca="false">MIN(R762:X762)</f>
        <v>1304.21212706747</v>
      </c>
    </row>
    <row r="763" customFormat="false" ht="15" hidden="false" customHeight="false" outlineLevel="0" collapsed="false">
      <c r="K763" s="2" t="n">
        <v>758</v>
      </c>
      <c r="L763" s="14" t="n">
        <f aca="true">$B$16+NORMINV(RAND(),0,SQRT($B$13*($B$7+$B$8^2))*$B$9*(1-$B$10))</f>
        <v>3377.43972513484</v>
      </c>
      <c r="M763" s="14" t="n">
        <f aca="true">$B$16+NORMINV(RAND(),0,SQRT($B$13*($B$7+$B$8^2))*$B$9*(1-$B$10))</f>
        <v>4109.60169705264</v>
      </c>
      <c r="N763" s="14" t="n">
        <f aca="true">$B$16+NORMINV(RAND(),0,SQRT($B$13*($B$7+$B$8^2))*$B$9*(1-$B$10))</f>
        <v>4149.79925998476</v>
      </c>
      <c r="O763" s="14" t="n">
        <f aca="true">$B$16+NORMINV(RAND(),0,SQRT($B$13*($B$7+$B$8^2))*$B$9*(1-$B$10))</f>
        <v>4295.60956665277</v>
      </c>
      <c r="P763" s="14" t="n">
        <f aca="true">$B$16+NORMINV(RAND(),0,SQRT($B$13*($B$7+$B$8^2))*$B$9*(1-$B$10))</f>
        <v>4354.10244405354</v>
      </c>
      <c r="Q763" s="14" t="n">
        <f aca="true">$B$16+NORMINV(RAND(),0,SQRT($B$13*($B$7+$B$8^2))*$B$9*(1-$B$10))</f>
        <v>4246.64638521389</v>
      </c>
      <c r="R763" s="14" t="n">
        <f aca="false">$B$4-13*($B$5+$B$6)/30-IF($B$11&lt;=13,$B$12,0)+0</f>
        <v>8876.66666666667</v>
      </c>
      <c r="S763" s="14" t="n">
        <f aca="false">$B$4-27*($B$5+$B$6)/30-IF($B$11&lt;=27,$B$12,0)+L763</f>
        <v>9967.43972513484</v>
      </c>
      <c r="T763" s="14" t="n">
        <f aca="false">$B$4-41*($B$5+$B$6)/30-IF($B$11&lt;=41,$B$12,0)+L763+M763</f>
        <v>605.574755520811</v>
      </c>
      <c r="U763" s="14" t="n">
        <f aca="false">$B$4-55*($B$5+$B$6)/30-IF($B$11&lt;=55,$B$12,0)+L763+M763+N763</f>
        <v>2468.7073488389</v>
      </c>
      <c r="V763" s="14" t="n">
        <f aca="false">$B$4-69*($B$5+$B$6)/30-IF($B$11&lt;=69,$B$12,0)+L763+M763+N763+O763</f>
        <v>4477.650248825</v>
      </c>
      <c r="W763" s="14" t="n">
        <f aca="false">$B$4-83*($B$5+$B$6)/30-IF($B$11&lt;=83,$B$12,0)+L763+M763+N763+O763+P763</f>
        <v>6545.08602621188</v>
      </c>
      <c r="X763" s="14" t="n">
        <f aca="false">$B$4-90*($B$5+$B$6)/30-IF($B$11&lt;=90,$B$12,0)+L763+M763+N763+O763+P763+Q763</f>
        <v>9648.39907809243</v>
      </c>
      <c r="AA763" s="14" t="n">
        <f aca="false">MIN(R763:X763)</f>
        <v>605.574755520811</v>
      </c>
    </row>
    <row r="764" customFormat="false" ht="15" hidden="false" customHeight="false" outlineLevel="0" collapsed="false">
      <c r="K764" s="2" t="n">
        <v>759</v>
      </c>
      <c r="L764" s="14" t="n">
        <f aca="true">$B$16+NORMINV(RAND(),0,SQRT($B$13*($B$7+$B$8^2))*$B$9*(1-$B$10))</f>
        <v>4063.96565262582</v>
      </c>
      <c r="M764" s="14" t="n">
        <f aca="true">$B$16+NORMINV(RAND(),0,SQRT($B$13*($B$7+$B$8^2))*$B$9*(1-$B$10))</f>
        <v>4331.28021509509</v>
      </c>
      <c r="N764" s="14" t="n">
        <f aca="true">$B$16+NORMINV(RAND(),0,SQRT($B$13*($B$7+$B$8^2))*$B$9*(1-$B$10))</f>
        <v>4531.99762766244</v>
      </c>
      <c r="O764" s="14" t="n">
        <f aca="true">$B$16+NORMINV(RAND(),0,SQRT($B$13*($B$7+$B$8^2))*$B$9*(1-$B$10))</f>
        <v>3964.15021673146</v>
      </c>
      <c r="P764" s="14" t="n">
        <f aca="true">$B$16+NORMINV(RAND(),0,SQRT($B$13*($B$7+$B$8^2))*$B$9*(1-$B$10))</f>
        <v>3754.78413244963</v>
      </c>
      <c r="Q764" s="14" t="n">
        <f aca="true">$B$16+NORMINV(RAND(),0,SQRT($B$13*($B$7+$B$8^2))*$B$9*(1-$B$10))</f>
        <v>4140.82689317371</v>
      </c>
      <c r="R764" s="14" t="n">
        <f aca="false">$B$4-13*($B$5+$B$6)/30-IF($B$11&lt;=13,$B$12,0)+0</f>
        <v>8876.66666666667</v>
      </c>
      <c r="S764" s="14" t="n">
        <f aca="false">$B$4-27*($B$5+$B$6)/30-IF($B$11&lt;=27,$B$12,0)+L764</f>
        <v>10653.9656526258</v>
      </c>
      <c r="T764" s="14" t="n">
        <f aca="false">$B$4-41*($B$5+$B$6)/30-IF($B$11&lt;=41,$B$12,0)+L764+M764</f>
        <v>1513.77920105423</v>
      </c>
      <c r="U764" s="14" t="n">
        <f aca="false">$B$4-55*($B$5+$B$6)/30-IF($B$11&lt;=55,$B$12,0)+L764+M764+N764</f>
        <v>3759.11016205</v>
      </c>
      <c r="V764" s="14" t="n">
        <f aca="false">$B$4-69*($B$5+$B$6)/30-IF($B$11&lt;=69,$B$12,0)+L764+M764+N764+O764</f>
        <v>5436.59371211479</v>
      </c>
      <c r="W764" s="14" t="n">
        <f aca="false">$B$4-83*($B$5+$B$6)/30-IF($B$11&lt;=83,$B$12,0)+L764+M764+N764+O764+P764</f>
        <v>6904.71117789776</v>
      </c>
      <c r="X764" s="14" t="n">
        <f aca="false">$B$4-90*($B$5+$B$6)/30-IF($B$11&lt;=90,$B$12,0)+L764+M764+N764+O764+P764+Q764</f>
        <v>9902.20473773813</v>
      </c>
      <c r="AA764" s="14" t="n">
        <f aca="false">MIN(R764:X764)</f>
        <v>1513.77920105423</v>
      </c>
    </row>
    <row r="765" customFormat="false" ht="15" hidden="false" customHeight="false" outlineLevel="0" collapsed="false">
      <c r="K765" s="2" t="n">
        <v>760</v>
      </c>
      <c r="L765" s="14" t="n">
        <f aca="true">$B$16+NORMINV(RAND(),0,SQRT($B$13*($B$7+$B$8^2))*$B$9*(1-$B$10))</f>
        <v>3955.19070523585</v>
      </c>
      <c r="M765" s="14" t="n">
        <f aca="true">$B$16+NORMINV(RAND(),0,SQRT($B$13*($B$7+$B$8^2))*$B$9*(1-$B$10))</f>
        <v>4365.95698535804</v>
      </c>
      <c r="N765" s="14" t="n">
        <f aca="true">$B$16+NORMINV(RAND(),0,SQRT($B$13*($B$7+$B$8^2))*$B$9*(1-$B$10))</f>
        <v>4067.23172859521</v>
      </c>
      <c r="O765" s="14" t="n">
        <f aca="true">$B$16+NORMINV(RAND(),0,SQRT($B$13*($B$7+$B$8^2))*$B$9*(1-$B$10))</f>
        <v>4459.35813726066</v>
      </c>
      <c r="P765" s="14" t="n">
        <f aca="true">$B$16+NORMINV(RAND(),0,SQRT($B$13*($B$7+$B$8^2))*$B$9*(1-$B$10))</f>
        <v>3781.45353796534</v>
      </c>
      <c r="Q765" s="14" t="n">
        <f aca="true">$B$16+NORMINV(RAND(),0,SQRT($B$13*($B$7+$B$8^2))*$B$9*(1-$B$10))</f>
        <v>3670.96828347473</v>
      </c>
      <c r="R765" s="14" t="n">
        <f aca="false">$B$4-13*($B$5+$B$6)/30-IF($B$11&lt;=13,$B$12,0)+0</f>
        <v>8876.66666666667</v>
      </c>
      <c r="S765" s="14" t="n">
        <f aca="false">$B$4-27*($B$5+$B$6)/30-IF($B$11&lt;=27,$B$12,0)+L765</f>
        <v>10545.1907052359</v>
      </c>
      <c r="T765" s="14" t="n">
        <f aca="false">$B$4-41*($B$5+$B$6)/30-IF($B$11&lt;=41,$B$12,0)+L765+M765</f>
        <v>1439.68102392723</v>
      </c>
      <c r="U765" s="14" t="n">
        <f aca="false">$B$4-55*($B$5+$B$6)/30-IF($B$11&lt;=55,$B$12,0)+L765+M765+N765</f>
        <v>3220.24608585577</v>
      </c>
      <c r="V765" s="14" t="n">
        <f aca="false">$B$4-69*($B$5+$B$6)/30-IF($B$11&lt;=69,$B$12,0)+L765+M765+N765+O765</f>
        <v>5392.93755644976</v>
      </c>
      <c r="W765" s="14" t="n">
        <f aca="false">$B$4-83*($B$5+$B$6)/30-IF($B$11&lt;=83,$B$12,0)+L765+M765+N765+O765+P765</f>
        <v>6887.72442774844</v>
      </c>
      <c r="X765" s="14" t="n">
        <f aca="false">$B$4-90*($B$5+$B$6)/30-IF($B$11&lt;=90,$B$12,0)+L765+M765+N765+O765+P765+Q765</f>
        <v>9415.35937788984</v>
      </c>
      <c r="AA765" s="14" t="n">
        <f aca="false">MIN(R765:X765)</f>
        <v>1439.68102392723</v>
      </c>
    </row>
    <row r="766" customFormat="false" ht="15" hidden="false" customHeight="false" outlineLevel="0" collapsed="false">
      <c r="K766" s="2" t="n">
        <v>761</v>
      </c>
      <c r="L766" s="14" t="n">
        <f aca="true">$B$16+NORMINV(RAND(),0,SQRT($B$13*($B$7+$B$8^2))*$B$9*(1-$B$10))</f>
        <v>3709.07797050274</v>
      </c>
      <c r="M766" s="14" t="n">
        <f aca="true">$B$16+NORMINV(RAND(),0,SQRT($B$13*($B$7+$B$8^2))*$B$9*(1-$B$10))</f>
        <v>3125.06445371784</v>
      </c>
      <c r="N766" s="14" t="n">
        <f aca="true">$B$16+NORMINV(RAND(),0,SQRT($B$13*($B$7+$B$8^2))*$B$9*(1-$B$10))</f>
        <v>4047.16243751593</v>
      </c>
      <c r="O766" s="14" t="n">
        <f aca="true">$B$16+NORMINV(RAND(),0,SQRT($B$13*($B$7+$B$8^2))*$B$9*(1-$B$10))</f>
        <v>4577.55792105668</v>
      </c>
      <c r="P766" s="14" t="n">
        <f aca="true">$B$16+NORMINV(RAND(),0,SQRT($B$13*($B$7+$B$8^2))*$B$9*(1-$B$10))</f>
        <v>4209.27718820766</v>
      </c>
      <c r="Q766" s="14" t="n">
        <f aca="true">$B$16+NORMINV(RAND(),0,SQRT($B$13*($B$7+$B$8^2))*$B$9*(1-$B$10))</f>
        <v>3402.71255081352</v>
      </c>
      <c r="R766" s="14" t="n">
        <f aca="false">$B$4-13*($B$5+$B$6)/30-IF($B$11&lt;=13,$B$12,0)+0</f>
        <v>8876.66666666667</v>
      </c>
      <c r="S766" s="14" t="n">
        <f aca="false">$B$4-27*($B$5+$B$6)/30-IF($B$11&lt;=27,$B$12,0)+L766</f>
        <v>10299.0779705027</v>
      </c>
      <c r="T766" s="14" t="n">
        <f aca="false">$B$4-41*($B$5+$B$6)/30-IF($B$11&lt;=41,$B$12,0)+L766+M766</f>
        <v>-47.3242424460836</v>
      </c>
      <c r="U766" s="14" t="n">
        <f aca="false">$B$4-55*($B$5+$B$6)/30-IF($B$11&lt;=55,$B$12,0)+L766+M766+N766</f>
        <v>1713.17152840317</v>
      </c>
      <c r="V766" s="14" t="n">
        <f aca="false">$B$4-69*($B$5+$B$6)/30-IF($B$11&lt;=69,$B$12,0)+L766+M766+N766+O766</f>
        <v>4004.06278279319</v>
      </c>
      <c r="W766" s="14" t="n">
        <f aca="false">$B$4-83*($B$5+$B$6)/30-IF($B$11&lt;=83,$B$12,0)+L766+M766+N766+O766+P766</f>
        <v>5926.67330433418</v>
      </c>
      <c r="X766" s="14" t="n">
        <f aca="false">$B$4-90*($B$5+$B$6)/30-IF($B$11&lt;=90,$B$12,0)+L766+M766+N766+O766+P766+Q766</f>
        <v>8186.05252181437</v>
      </c>
      <c r="AA766" s="14" t="n">
        <f aca="false">MIN(R766:X766)</f>
        <v>-47.3242424460836</v>
      </c>
    </row>
    <row r="767" customFormat="false" ht="15" hidden="false" customHeight="false" outlineLevel="0" collapsed="false">
      <c r="K767" s="2" t="n">
        <v>762</v>
      </c>
      <c r="L767" s="14" t="n">
        <f aca="true">$B$16+NORMINV(RAND(),0,SQRT($B$13*($B$7+$B$8^2))*$B$9*(1-$B$10))</f>
        <v>3706.95464203212</v>
      </c>
      <c r="M767" s="14" t="n">
        <f aca="true">$B$16+NORMINV(RAND(),0,SQRT($B$13*($B$7+$B$8^2))*$B$9*(1-$B$10))</f>
        <v>4071.30672301862</v>
      </c>
      <c r="N767" s="14" t="n">
        <f aca="true">$B$16+NORMINV(RAND(),0,SQRT($B$13*($B$7+$B$8^2))*$B$9*(1-$B$10))</f>
        <v>3682.15946486559</v>
      </c>
      <c r="O767" s="14" t="n">
        <f aca="true">$B$16+NORMINV(RAND(),0,SQRT($B$13*($B$7+$B$8^2))*$B$9*(1-$B$10))</f>
        <v>4602.6720814458</v>
      </c>
      <c r="P767" s="14" t="n">
        <f aca="true">$B$16+NORMINV(RAND(),0,SQRT($B$13*($B$7+$B$8^2))*$B$9*(1-$B$10))</f>
        <v>3822.58420431301</v>
      </c>
      <c r="Q767" s="14" t="n">
        <f aca="true">$B$16+NORMINV(RAND(),0,SQRT($B$13*($B$7+$B$8^2))*$B$9*(1-$B$10))</f>
        <v>3538.6192609253</v>
      </c>
      <c r="R767" s="14" t="n">
        <f aca="false">$B$4-13*($B$5+$B$6)/30-IF($B$11&lt;=13,$B$12,0)+0</f>
        <v>8876.66666666667</v>
      </c>
      <c r="S767" s="14" t="n">
        <f aca="false">$B$4-27*($B$5+$B$6)/30-IF($B$11&lt;=27,$B$12,0)+L767</f>
        <v>10296.9546420321</v>
      </c>
      <c r="T767" s="14" t="n">
        <f aca="false">$B$4-41*($B$5+$B$6)/30-IF($B$11&lt;=41,$B$12,0)+L767+M767</f>
        <v>896.794698384078</v>
      </c>
      <c r="U767" s="14" t="n">
        <f aca="false">$B$4-55*($B$5+$B$6)/30-IF($B$11&lt;=55,$B$12,0)+L767+M767+N767</f>
        <v>2292.287496583</v>
      </c>
      <c r="V767" s="14" t="n">
        <f aca="false">$B$4-69*($B$5+$B$6)/30-IF($B$11&lt;=69,$B$12,0)+L767+M767+N767+O767</f>
        <v>4608.29291136213</v>
      </c>
      <c r="W767" s="14" t="n">
        <f aca="false">$B$4-83*($B$5+$B$6)/30-IF($B$11&lt;=83,$B$12,0)+L767+M767+N767+O767+P767</f>
        <v>6144.21044900848</v>
      </c>
      <c r="X767" s="14" t="n">
        <f aca="false">$B$4-90*($B$5+$B$6)/30-IF($B$11&lt;=90,$B$12,0)+L767+M767+N767+O767+P767+Q767</f>
        <v>8539.49637660044</v>
      </c>
      <c r="AA767" s="14" t="n">
        <f aca="false">MIN(R767:X767)</f>
        <v>896.794698384078</v>
      </c>
    </row>
    <row r="768" customFormat="false" ht="15" hidden="false" customHeight="false" outlineLevel="0" collapsed="false">
      <c r="K768" s="2" t="n">
        <v>763</v>
      </c>
      <c r="L768" s="14" t="n">
        <f aca="true">$B$16+NORMINV(RAND(),0,SQRT($B$13*($B$7+$B$8^2))*$B$9*(1-$B$10))</f>
        <v>3886.09815229204</v>
      </c>
      <c r="M768" s="14" t="n">
        <f aca="true">$B$16+NORMINV(RAND(),0,SQRT($B$13*($B$7+$B$8^2))*$B$9*(1-$B$10))</f>
        <v>3767.79943922295</v>
      </c>
      <c r="N768" s="14" t="n">
        <f aca="true">$B$16+NORMINV(RAND(),0,SQRT($B$13*($B$7+$B$8^2))*$B$9*(1-$B$10))</f>
        <v>4170.26738357254</v>
      </c>
      <c r="O768" s="14" t="n">
        <f aca="true">$B$16+NORMINV(RAND(),0,SQRT($B$13*($B$7+$B$8^2))*$B$9*(1-$B$10))</f>
        <v>4062.83077887523</v>
      </c>
      <c r="P768" s="14" t="n">
        <f aca="true">$B$16+NORMINV(RAND(),0,SQRT($B$13*($B$7+$B$8^2))*$B$9*(1-$B$10))</f>
        <v>4628.47274305982</v>
      </c>
      <c r="Q768" s="14" t="n">
        <f aca="true">$B$16+NORMINV(RAND(),0,SQRT($B$13*($B$7+$B$8^2))*$B$9*(1-$B$10))</f>
        <v>4053.76964120536</v>
      </c>
      <c r="R768" s="14" t="n">
        <f aca="false">$B$4-13*($B$5+$B$6)/30-IF($B$11&lt;=13,$B$12,0)+0</f>
        <v>8876.66666666667</v>
      </c>
      <c r="S768" s="14" t="n">
        <f aca="false">$B$4-27*($B$5+$B$6)/30-IF($B$11&lt;=27,$B$12,0)+L768</f>
        <v>10476.098152292</v>
      </c>
      <c r="T768" s="14" t="n">
        <f aca="false">$B$4-41*($B$5+$B$6)/30-IF($B$11&lt;=41,$B$12,0)+L768+M768</f>
        <v>772.430924848324</v>
      </c>
      <c r="U768" s="14" t="n">
        <f aca="false">$B$4-55*($B$5+$B$6)/30-IF($B$11&lt;=55,$B$12,0)+L768+M768+N768</f>
        <v>2656.03164175419</v>
      </c>
      <c r="V768" s="14" t="n">
        <f aca="false">$B$4-69*($B$5+$B$6)/30-IF($B$11&lt;=69,$B$12,0)+L768+M768+N768+O768</f>
        <v>4432.19575396276</v>
      </c>
      <c r="W768" s="14" t="n">
        <f aca="false">$B$4-83*($B$5+$B$6)/30-IF($B$11&lt;=83,$B$12,0)+L768+M768+N768+O768+P768</f>
        <v>6774.00183035591</v>
      </c>
      <c r="X768" s="14" t="n">
        <f aca="false">$B$4-90*($B$5+$B$6)/30-IF($B$11&lt;=90,$B$12,0)+L768+M768+N768+O768+P768+Q768</f>
        <v>9684.43813822794</v>
      </c>
      <c r="AA768" s="14" t="n">
        <f aca="false">MIN(R768:X768)</f>
        <v>772.430924848324</v>
      </c>
    </row>
    <row r="769" customFormat="false" ht="15" hidden="false" customHeight="false" outlineLevel="0" collapsed="false">
      <c r="K769" s="2" t="n">
        <v>764</v>
      </c>
      <c r="L769" s="14" t="n">
        <f aca="true">$B$16+NORMINV(RAND(),0,SQRT($B$13*($B$7+$B$8^2))*$B$9*(1-$B$10))</f>
        <v>4166.87930163364</v>
      </c>
      <c r="M769" s="14" t="n">
        <f aca="true">$B$16+NORMINV(RAND(),0,SQRT($B$13*($B$7+$B$8^2))*$B$9*(1-$B$10))</f>
        <v>3851.91285443961</v>
      </c>
      <c r="N769" s="14" t="n">
        <f aca="true">$B$16+NORMINV(RAND(),0,SQRT($B$13*($B$7+$B$8^2))*$B$9*(1-$B$10))</f>
        <v>4054.98179358861</v>
      </c>
      <c r="O769" s="14" t="n">
        <f aca="true">$B$16+NORMINV(RAND(),0,SQRT($B$13*($B$7+$B$8^2))*$B$9*(1-$B$10))</f>
        <v>3726.47697717033</v>
      </c>
      <c r="P769" s="14" t="n">
        <f aca="true">$B$16+NORMINV(RAND(),0,SQRT($B$13*($B$7+$B$8^2))*$B$9*(1-$B$10))</f>
        <v>5101.21230902454</v>
      </c>
      <c r="Q769" s="14" t="n">
        <f aca="true">$B$16+NORMINV(RAND(),0,SQRT($B$13*($B$7+$B$8^2))*$B$9*(1-$B$10))</f>
        <v>4905.86156717473</v>
      </c>
      <c r="R769" s="14" t="n">
        <f aca="false">$B$4-13*($B$5+$B$6)/30-IF($B$11&lt;=13,$B$12,0)+0</f>
        <v>8876.66666666667</v>
      </c>
      <c r="S769" s="14" t="n">
        <f aca="false">$B$4-27*($B$5+$B$6)/30-IF($B$11&lt;=27,$B$12,0)+L769</f>
        <v>10756.8793016336</v>
      </c>
      <c r="T769" s="14" t="n">
        <f aca="false">$B$4-41*($B$5+$B$6)/30-IF($B$11&lt;=41,$B$12,0)+L769+M769</f>
        <v>1137.32548940658</v>
      </c>
      <c r="U769" s="14" t="n">
        <f aca="false">$B$4-55*($B$5+$B$6)/30-IF($B$11&lt;=55,$B$12,0)+L769+M769+N769</f>
        <v>2905.64061632853</v>
      </c>
      <c r="V769" s="14" t="n">
        <f aca="false">$B$4-69*($B$5+$B$6)/30-IF($B$11&lt;=69,$B$12,0)+L769+M769+N769+O769</f>
        <v>4345.45092683219</v>
      </c>
      <c r="W769" s="14" t="n">
        <f aca="false">$B$4-83*($B$5+$B$6)/30-IF($B$11&lt;=83,$B$12,0)+L769+M769+N769+O769+P769</f>
        <v>7159.99656919007</v>
      </c>
      <c r="X769" s="14" t="n">
        <f aca="false">$B$4-90*($B$5+$B$6)/30-IF($B$11&lt;=90,$B$12,0)+L769+M769+N769+O769+P769+Q769</f>
        <v>10922.5248030315</v>
      </c>
      <c r="AA769" s="14" t="n">
        <f aca="false">MIN(R769:X769)</f>
        <v>1137.32548940658</v>
      </c>
    </row>
    <row r="770" customFormat="false" ht="15" hidden="false" customHeight="false" outlineLevel="0" collapsed="false">
      <c r="K770" s="2" t="n">
        <v>765</v>
      </c>
      <c r="L770" s="14" t="n">
        <f aca="true">$B$16+NORMINV(RAND(),0,SQRT($B$13*($B$7+$B$8^2))*$B$9*(1-$B$10))</f>
        <v>4296.1516183547</v>
      </c>
      <c r="M770" s="14" t="n">
        <f aca="true">$B$16+NORMINV(RAND(),0,SQRT($B$13*($B$7+$B$8^2))*$B$9*(1-$B$10))</f>
        <v>3531.04660607971</v>
      </c>
      <c r="N770" s="14" t="n">
        <f aca="true">$B$16+NORMINV(RAND(),0,SQRT($B$13*($B$7+$B$8^2))*$B$9*(1-$B$10))</f>
        <v>3810.73224770928</v>
      </c>
      <c r="O770" s="14" t="n">
        <f aca="true">$B$16+NORMINV(RAND(),0,SQRT($B$13*($B$7+$B$8^2))*$B$9*(1-$B$10))</f>
        <v>4027.90694029445</v>
      </c>
      <c r="P770" s="14" t="n">
        <f aca="true">$B$16+NORMINV(RAND(),0,SQRT($B$13*($B$7+$B$8^2))*$B$9*(1-$B$10))</f>
        <v>4108.30553196046</v>
      </c>
      <c r="Q770" s="14" t="n">
        <f aca="true">$B$16+NORMINV(RAND(),0,SQRT($B$13*($B$7+$B$8^2))*$B$9*(1-$B$10))</f>
        <v>4059.00995796848</v>
      </c>
      <c r="R770" s="14" t="n">
        <f aca="false">$B$4-13*($B$5+$B$6)/30-IF($B$11&lt;=13,$B$12,0)+0</f>
        <v>8876.66666666667</v>
      </c>
      <c r="S770" s="14" t="n">
        <f aca="false">$B$4-27*($B$5+$B$6)/30-IF($B$11&lt;=27,$B$12,0)+L770</f>
        <v>10886.1516183547</v>
      </c>
      <c r="T770" s="14" t="n">
        <f aca="false">$B$4-41*($B$5+$B$6)/30-IF($B$11&lt;=41,$B$12,0)+L770+M770</f>
        <v>945.731557767742</v>
      </c>
      <c r="U770" s="14" t="n">
        <f aca="false">$B$4-55*($B$5+$B$6)/30-IF($B$11&lt;=55,$B$12,0)+L770+M770+N770</f>
        <v>2469.79713881035</v>
      </c>
      <c r="V770" s="14" t="n">
        <f aca="false">$B$4-69*($B$5+$B$6)/30-IF($B$11&lt;=69,$B$12,0)+L770+M770+N770+O770</f>
        <v>4211.03741243814</v>
      </c>
      <c r="W770" s="14" t="n">
        <f aca="false">$B$4-83*($B$5+$B$6)/30-IF($B$11&lt;=83,$B$12,0)+L770+M770+N770+O770+P770</f>
        <v>6032.67627773193</v>
      </c>
      <c r="X770" s="14" t="n">
        <f aca="false">$B$4-90*($B$5+$B$6)/30-IF($B$11&lt;=90,$B$12,0)+L770+M770+N770+O770+P770+Q770</f>
        <v>8948.35290236708</v>
      </c>
      <c r="AA770" s="14" t="n">
        <f aca="false">MIN(R770:X770)</f>
        <v>945.731557767742</v>
      </c>
    </row>
    <row r="771" customFormat="false" ht="15" hidden="false" customHeight="false" outlineLevel="0" collapsed="false">
      <c r="K771" s="2" t="n">
        <v>766</v>
      </c>
      <c r="L771" s="14" t="n">
        <f aca="true">$B$16+NORMINV(RAND(),0,SQRT($B$13*($B$7+$B$8^2))*$B$9*(1-$B$10))</f>
        <v>4114.23847012565</v>
      </c>
      <c r="M771" s="14" t="n">
        <f aca="true">$B$16+NORMINV(RAND(),0,SQRT($B$13*($B$7+$B$8^2))*$B$9*(1-$B$10))</f>
        <v>4439.21449494972</v>
      </c>
      <c r="N771" s="14" t="n">
        <f aca="true">$B$16+NORMINV(RAND(),0,SQRT($B$13*($B$7+$B$8^2))*$B$9*(1-$B$10))</f>
        <v>3819.39434905685</v>
      </c>
      <c r="O771" s="14" t="n">
        <f aca="true">$B$16+NORMINV(RAND(),0,SQRT($B$13*($B$7+$B$8^2))*$B$9*(1-$B$10))</f>
        <v>4160.24569473592</v>
      </c>
      <c r="P771" s="14" t="n">
        <f aca="true">$B$16+NORMINV(RAND(),0,SQRT($B$13*($B$7+$B$8^2))*$B$9*(1-$B$10))</f>
        <v>4091.28126185567</v>
      </c>
      <c r="Q771" s="14" t="n">
        <f aca="true">$B$16+NORMINV(RAND(),0,SQRT($B$13*($B$7+$B$8^2))*$B$9*(1-$B$10))</f>
        <v>4009.48295422551</v>
      </c>
      <c r="R771" s="14" t="n">
        <f aca="false">$B$4-13*($B$5+$B$6)/30-IF($B$11&lt;=13,$B$12,0)+0</f>
        <v>8876.66666666667</v>
      </c>
      <c r="S771" s="14" t="n">
        <f aca="false">$B$4-27*($B$5+$B$6)/30-IF($B$11&lt;=27,$B$12,0)+L771</f>
        <v>10704.2384701256</v>
      </c>
      <c r="T771" s="14" t="n">
        <f aca="false">$B$4-41*($B$5+$B$6)/30-IF($B$11&lt;=41,$B$12,0)+L771+M771</f>
        <v>1671.98629840871</v>
      </c>
      <c r="U771" s="14" t="n">
        <f aca="false">$B$4-55*($B$5+$B$6)/30-IF($B$11&lt;=55,$B$12,0)+L771+M771+N771</f>
        <v>3204.71398079889</v>
      </c>
      <c r="V771" s="14" t="n">
        <f aca="false">$B$4-69*($B$5+$B$6)/30-IF($B$11&lt;=69,$B$12,0)+L771+M771+N771+O771</f>
        <v>5078.29300886814</v>
      </c>
      <c r="W771" s="14" t="n">
        <f aca="false">$B$4-83*($B$5+$B$6)/30-IF($B$11&lt;=83,$B$12,0)+L771+M771+N771+O771+P771</f>
        <v>6882.90760405714</v>
      </c>
      <c r="X771" s="14" t="n">
        <f aca="false">$B$4-90*($B$5+$B$6)/30-IF($B$11&lt;=90,$B$12,0)+L771+M771+N771+O771+P771+Q771</f>
        <v>9749.05722494932</v>
      </c>
      <c r="AA771" s="14" t="n">
        <f aca="false">MIN(R771:X771)</f>
        <v>1671.98629840871</v>
      </c>
    </row>
    <row r="772" customFormat="false" ht="15" hidden="false" customHeight="false" outlineLevel="0" collapsed="false">
      <c r="K772" s="2" t="n">
        <v>767</v>
      </c>
      <c r="L772" s="14" t="n">
        <f aca="true">$B$16+NORMINV(RAND(),0,SQRT($B$13*($B$7+$B$8^2))*$B$9*(1-$B$10))</f>
        <v>4169.02605680073</v>
      </c>
      <c r="M772" s="14" t="n">
        <f aca="true">$B$16+NORMINV(RAND(),0,SQRT($B$13*($B$7+$B$8^2))*$B$9*(1-$B$10))</f>
        <v>4031.92309591412</v>
      </c>
      <c r="N772" s="14" t="n">
        <f aca="true">$B$16+NORMINV(RAND(),0,SQRT($B$13*($B$7+$B$8^2))*$B$9*(1-$B$10))</f>
        <v>4347.74227933216</v>
      </c>
      <c r="O772" s="14" t="n">
        <f aca="true">$B$16+NORMINV(RAND(),0,SQRT($B$13*($B$7+$B$8^2))*$B$9*(1-$B$10))</f>
        <v>4945.63138597743</v>
      </c>
      <c r="P772" s="14" t="n">
        <f aca="true">$B$16+NORMINV(RAND(),0,SQRT($B$13*($B$7+$B$8^2))*$B$9*(1-$B$10))</f>
        <v>3806.54930576996</v>
      </c>
      <c r="Q772" s="14" t="n">
        <f aca="true">$B$16+NORMINV(RAND(),0,SQRT($B$13*($B$7+$B$8^2))*$B$9*(1-$B$10))</f>
        <v>4366.84787509916</v>
      </c>
      <c r="R772" s="14" t="n">
        <f aca="false">$B$4-13*($B$5+$B$6)/30-IF($B$11&lt;=13,$B$12,0)+0</f>
        <v>8876.66666666667</v>
      </c>
      <c r="S772" s="14" t="n">
        <f aca="false">$B$4-27*($B$5+$B$6)/30-IF($B$11&lt;=27,$B$12,0)+L772</f>
        <v>10759.0260568007</v>
      </c>
      <c r="T772" s="14" t="n">
        <f aca="false">$B$4-41*($B$5+$B$6)/30-IF($B$11&lt;=41,$B$12,0)+L772+M772</f>
        <v>1319.48248604818</v>
      </c>
      <c r="U772" s="14" t="n">
        <f aca="false">$B$4-55*($B$5+$B$6)/30-IF($B$11&lt;=55,$B$12,0)+L772+M772+N772</f>
        <v>3380.55809871367</v>
      </c>
      <c r="V772" s="14" t="n">
        <f aca="false">$B$4-69*($B$5+$B$6)/30-IF($B$11&lt;=69,$B$12,0)+L772+M772+N772+O772</f>
        <v>6039.52281802443</v>
      </c>
      <c r="W772" s="14" t="n">
        <f aca="false">$B$4-83*($B$5+$B$6)/30-IF($B$11&lt;=83,$B$12,0)+L772+M772+N772+O772+P772</f>
        <v>7559.40545712772</v>
      </c>
      <c r="X772" s="14" t="n">
        <f aca="false">$B$4-90*($B$5+$B$6)/30-IF($B$11&lt;=90,$B$12,0)+L772+M772+N772+O772+P772+Q772</f>
        <v>10782.9199988936</v>
      </c>
      <c r="AA772" s="14" t="n">
        <f aca="false">MIN(R772:X772)</f>
        <v>1319.48248604818</v>
      </c>
    </row>
    <row r="773" customFormat="false" ht="15" hidden="false" customHeight="false" outlineLevel="0" collapsed="false">
      <c r="K773" s="2" t="n">
        <v>768</v>
      </c>
      <c r="L773" s="14" t="n">
        <f aca="true">$B$16+NORMINV(RAND(),0,SQRT($B$13*($B$7+$B$8^2))*$B$9*(1-$B$10))</f>
        <v>4185.07315943323</v>
      </c>
      <c r="M773" s="14" t="n">
        <f aca="true">$B$16+NORMINV(RAND(),0,SQRT($B$13*($B$7+$B$8^2))*$B$9*(1-$B$10))</f>
        <v>3998.90285029909</v>
      </c>
      <c r="N773" s="14" t="n">
        <f aca="true">$B$16+NORMINV(RAND(),0,SQRT($B$13*($B$7+$B$8^2))*$B$9*(1-$B$10))</f>
        <v>4384.13217323842</v>
      </c>
      <c r="O773" s="14" t="n">
        <f aca="true">$B$16+NORMINV(RAND(),0,SQRT($B$13*($B$7+$B$8^2))*$B$9*(1-$B$10))</f>
        <v>4030.37838227972</v>
      </c>
      <c r="P773" s="14" t="n">
        <f aca="true">$B$16+NORMINV(RAND(),0,SQRT($B$13*($B$7+$B$8^2))*$B$9*(1-$B$10))</f>
        <v>4042.0943719755</v>
      </c>
      <c r="Q773" s="14" t="n">
        <f aca="true">$B$16+NORMINV(RAND(),0,SQRT($B$13*($B$7+$B$8^2))*$B$9*(1-$B$10))</f>
        <v>4028.30337369308</v>
      </c>
      <c r="R773" s="14" t="n">
        <f aca="false">$B$4-13*($B$5+$B$6)/30-IF($B$11&lt;=13,$B$12,0)+0</f>
        <v>8876.66666666667</v>
      </c>
      <c r="S773" s="14" t="n">
        <f aca="false">$B$4-27*($B$5+$B$6)/30-IF($B$11&lt;=27,$B$12,0)+L773</f>
        <v>10775.0731594332</v>
      </c>
      <c r="T773" s="14" t="n">
        <f aca="false">$B$4-41*($B$5+$B$6)/30-IF($B$11&lt;=41,$B$12,0)+L773+M773</f>
        <v>1302.50934306566</v>
      </c>
      <c r="U773" s="14" t="n">
        <f aca="false">$B$4-55*($B$5+$B$6)/30-IF($B$11&lt;=55,$B$12,0)+L773+M773+N773</f>
        <v>3399.97484963741</v>
      </c>
      <c r="V773" s="14" t="n">
        <f aca="false">$B$4-69*($B$5+$B$6)/30-IF($B$11&lt;=69,$B$12,0)+L773+M773+N773+O773</f>
        <v>5143.68656525047</v>
      </c>
      <c r="W773" s="14" t="n">
        <f aca="false">$B$4-83*($B$5+$B$6)/30-IF($B$11&lt;=83,$B$12,0)+L773+M773+N773+O773+P773</f>
        <v>6899.11427055929</v>
      </c>
      <c r="X773" s="14" t="n">
        <f aca="false">$B$4-90*($B$5+$B$6)/30-IF($B$11&lt;=90,$B$12,0)+L773+M773+N773+O773+P773+Q773</f>
        <v>9784.08431091904</v>
      </c>
      <c r="AA773" s="14" t="n">
        <f aca="false">MIN(R773:X773)</f>
        <v>1302.50934306566</v>
      </c>
    </row>
    <row r="774" customFormat="false" ht="15" hidden="false" customHeight="false" outlineLevel="0" collapsed="false">
      <c r="K774" s="2" t="n">
        <v>769</v>
      </c>
      <c r="L774" s="14" t="n">
        <f aca="true">$B$16+NORMINV(RAND(),0,SQRT($B$13*($B$7+$B$8^2))*$B$9*(1-$B$10))</f>
        <v>3997.49247015784</v>
      </c>
      <c r="M774" s="14" t="n">
        <f aca="true">$B$16+NORMINV(RAND(),0,SQRT($B$13*($B$7+$B$8^2))*$B$9*(1-$B$10))</f>
        <v>4497.29919939936</v>
      </c>
      <c r="N774" s="14" t="n">
        <f aca="true">$B$16+NORMINV(RAND(),0,SQRT($B$13*($B$7+$B$8^2))*$B$9*(1-$B$10))</f>
        <v>4121.1222783934</v>
      </c>
      <c r="O774" s="14" t="n">
        <f aca="true">$B$16+NORMINV(RAND(),0,SQRT($B$13*($B$7+$B$8^2))*$B$9*(1-$B$10))</f>
        <v>4569.48906994293</v>
      </c>
      <c r="P774" s="14" t="n">
        <f aca="true">$B$16+NORMINV(RAND(),0,SQRT($B$13*($B$7+$B$8^2))*$B$9*(1-$B$10))</f>
        <v>4338.29394426789</v>
      </c>
      <c r="Q774" s="14" t="n">
        <f aca="true">$B$16+NORMINV(RAND(),0,SQRT($B$13*($B$7+$B$8^2))*$B$9*(1-$B$10))</f>
        <v>3944.37586616987</v>
      </c>
      <c r="R774" s="14" t="n">
        <f aca="false">$B$4-13*($B$5+$B$6)/30-IF($B$11&lt;=13,$B$12,0)+0</f>
        <v>8876.66666666667</v>
      </c>
      <c r="S774" s="14" t="n">
        <f aca="false">$B$4-27*($B$5+$B$6)/30-IF($B$11&lt;=27,$B$12,0)+L774</f>
        <v>10587.4924701578</v>
      </c>
      <c r="T774" s="14" t="n">
        <f aca="false">$B$4-41*($B$5+$B$6)/30-IF($B$11&lt;=41,$B$12,0)+L774+M774</f>
        <v>1613.32500289053</v>
      </c>
      <c r="U774" s="14" t="n">
        <f aca="false">$B$4-55*($B$5+$B$6)/30-IF($B$11&lt;=55,$B$12,0)+L774+M774+N774</f>
        <v>3447.78061461726</v>
      </c>
      <c r="V774" s="14" t="n">
        <f aca="false">$B$4-69*($B$5+$B$6)/30-IF($B$11&lt;=69,$B$12,0)+L774+M774+N774+O774</f>
        <v>5730.60301789353</v>
      </c>
      <c r="W774" s="14" t="n">
        <f aca="false">$B$4-83*($B$5+$B$6)/30-IF($B$11&lt;=83,$B$12,0)+L774+M774+N774+O774+P774</f>
        <v>7782.23029549476</v>
      </c>
      <c r="X774" s="14" t="n">
        <f aca="false">$B$4-90*($B$5+$B$6)/30-IF($B$11&lt;=90,$B$12,0)+L774+M774+N774+O774+P774+Q774</f>
        <v>10583.2728283313</v>
      </c>
      <c r="AA774" s="14" t="n">
        <f aca="false">MIN(R774:X774)</f>
        <v>1613.32500289053</v>
      </c>
    </row>
    <row r="775" customFormat="false" ht="15" hidden="false" customHeight="false" outlineLevel="0" collapsed="false">
      <c r="K775" s="2" t="n">
        <v>770</v>
      </c>
      <c r="L775" s="14" t="n">
        <f aca="true">$B$16+NORMINV(RAND(),0,SQRT($B$13*($B$7+$B$8^2))*$B$9*(1-$B$10))</f>
        <v>3447.5392828346</v>
      </c>
      <c r="M775" s="14" t="n">
        <f aca="true">$B$16+NORMINV(RAND(),0,SQRT($B$13*($B$7+$B$8^2))*$B$9*(1-$B$10))</f>
        <v>4085.07611760966</v>
      </c>
      <c r="N775" s="14" t="n">
        <f aca="true">$B$16+NORMINV(RAND(),0,SQRT($B$13*($B$7+$B$8^2))*$B$9*(1-$B$10))</f>
        <v>4060.39033009284</v>
      </c>
      <c r="O775" s="14" t="n">
        <f aca="true">$B$16+NORMINV(RAND(),0,SQRT($B$13*($B$7+$B$8^2))*$B$9*(1-$B$10))</f>
        <v>4462.85267534294</v>
      </c>
      <c r="P775" s="14" t="n">
        <f aca="true">$B$16+NORMINV(RAND(),0,SQRT($B$13*($B$7+$B$8^2))*$B$9*(1-$B$10))</f>
        <v>4047.35650740137</v>
      </c>
      <c r="Q775" s="14" t="n">
        <f aca="true">$B$16+NORMINV(RAND(),0,SQRT($B$13*($B$7+$B$8^2))*$B$9*(1-$B$10))</f>
        <v>3928.41412262131</v>
      </c>
      <c r="R775" s="14" t="n">
        <f aca="false">$B$4-13*($B$5+$B$6)/30-IF($B$11&lt;=13,$B$12,0)+0</f>
        <v>8876.66666666667</v>
      </c>
      <c r="S775" s="14" t="n">
        <f aca="false">$B$4-27*($B$5+$B$6)/30-IF($B$11&lt;=27,$B$12,0)+L775</f>
        <v>10037.5392828346</v>
      </c>
      <c r="T775" s="14" t="n">
        <f aca="false">$B$4-41*($B$5+$B$6)/30-IF($B$11&lt;=41,$B$12,0)+L775+M775</f>
        <v>651.148733777586</v>
      </c>
      <c r="U775" s="14" t="n">
        <f aca="false">$B$4-55*($B$5+$B$6)/30-IF($B$11&lt;=55,$B$12,0)+L775+M775+N775</f>
        <v>2424.87239720376</v>
      </c>
      <c r="V775" s="14" t="n">
        <f aca="false">$B$4-69*($B$5+$B$6)/30-IF($B$11&lt;=69,$B$12,0)+L775+M775+N775+O775</f>
        <v>4601.05840588003</v>
      </c>
      <c r="W775" s="14" t="n">
        <f aca="false">$B$4-83*($B$5+$B$6)/30-IF($B$11&lt;=83,$B$12,0)+L775+M775+N775+O775+P775</f>
        <v>6361.74824661474</v>
      </c>
      <c r="X775" s="14" t="n">
        <f aca="false">$B$4-90*($B$5+$B$6)/30-IF($B$11&lt;=90,$B$12,0)+L775+M775+N775+O775+P775+Q775</f>
        <v>9146.82903590271</v>
      </c>
      <c r="AA775" s="14" t="n">
        <f aca="false">MIN(R775:X775)</f>
        <v>651.148733777586</v>
      </c>
    </row>
    <row r="776" customFormat="false" ht="15" hidden="false" customHeight="false" outlineLevel="0" collapsed="false">
      <c r="K776" s="2" t="n">
        <v>771</v>
      </c>
      <c r="L776" s="14" t="n">
        <f aca="true">$B$16+NORMINV(RAND(),0,SQRT($B$13*($B$7+$B$8^2))*$B$9*(1-$B$10))</f>
        <v>4078.29357188443</v>
      </c>
      <c r="M776" s="14" t="n">
        <f aca="true">$B$16+NORMINV(RAND(),0,SQRT($B$13*($B$7+$B$8^2))*$B$9*(1-$B$10))</f>
        <v>3593.33700522326</v>
      </c>
      <c r="N776" s="14" t="n">
        <f aca="true">$B$16+NORMINV(RAND(),0,SQRT($B$13*($B$7+$B$8^2))*$B$9*(1-$B$10))</f>
        <v>3879.15140228496</v>
      </c>
      <c r="O776" s="14" t="n">
        <f aca="true">$B$16+NORMINV(RAND(),0,SQRT($B$13*($B$7+$B$8^2))*$B$9*(1-$B$10))</f>
        <v>4123.95835499088</v>
      </c>
      <c r="P776" s="14" t="n">
        <f aca="true">$B$16+NORMINV(RAND(),0,SQRT($B$13*($B$7+$B$8^2))*$B$9*(1-$B$10))</f>
        <v>3745.11266455936</v>
      </c>
      <c r="Q776" s="14" t="n">
        <f aca="true">$B$16+NORMINV(RAND(),0,SQRT($B$13*($B$7+$B$8^2))*$B$9*(1-$B$10))</f>
        <v>3966.31528693838</v>
      </c>
      <c r="R776" s="14" t="n">
        <f aca="false">$B$4-13*($B$5+$B$6)/30-IF($B$11&lt;=13,$B$12,0)+0</f>
        <v>8876.66666666667</v>
      </c>
      <c r="S776" s="14" t="n">
        <f aca="false">$B$4-27*($B$5+$B$6)/30-IF($B$11&lt;=27,$B$12,0)+L776</f>
        <v>10668.2935718844</v>
      </c>
      <c r="T776" s="14" t="n">
        <f aca="false">$B$4-41*($B$5+$B$6)/30-IF($B$11&lt;=41,$B$12,0)+L776+M776</f>
        <v>790.163910441024</v>
      </c>
      <c r="U776" s="14" t="n">
        <f aca="false">$B$4-55*($B$5+$B$6)/30-IF($B$11&lt;=55,$B$12,0)+L776+M776+N776</f>
        <v>2382.64864605931</v>
      </c>
      <c r="V776" s="14" t="n">
        <f aca="false">$B$4-69*($B$5+$B$6)/30-IF($B$11&lt;=69,$B$12,0)+L776+M776+N776+O776</f>
        <v>4219.94033438353</v>
      </c>
      <c r="W776" s="14" t="n">
        <f aca="false">$B$4-83*($B$5+$B$6)/30-IF($B$11&lt;=83,$B$12,0)+L776+M776+N776+O776+P776</f>
        <v>5678.38633227622</v>
      </c>
      <c r="X776" s="14" t="n">
        <f aca="false">$B$4-90*($B$5+$B$6)/30-IF($B$11&lt;=90,$B$12,0)+L776+M776+N776+O776+P776+Q776</f>
        <v>8501.36828588127</v>
      </c>
      <c r="AA776" s="14" t="n">
        <f aca="false">MIN(R776:X776)</f>
        <v>790.163910441024</v>
      </c>
    </row>
    <row r="777" customFormat="false" ht="15" hidden="false" customHeight="false" outlineLevel="0" collapsed="false">
      <c r="K777" s="2" t="n">
        <v>772</v>
      </c>
      <c r="L777" s="14" t="n">
        <f aca="true">$B$16+NORMINV(RAND(),0,SQRT($B$13*($B$7+$B$8^2))*$B$9*(1-$B$10))</f>
        <v>4211.03339240244</v>
      </c>
      <c r="M777" s="14" t="n">
        <f aca="true">$B$16+NORMINV(RAND(),0,SQRT($B$13*($B$7+$B$8^2))*$B$9*(1-$B$10))</f>
        <v>4190.17672135212</v>
      </c>
      <c r="N777" s="14" t="n">
        <f aca="true">$B$16+NORMINV(RAND(),0,SQRT($B$13*($B$7+$B$8^2))*$B$9*(1-$B$10))</f>
        <v>3549.15153654166</v>
      </c>
      <c r="O777" s="14" t="n">
        <f aca="true">$B$16+NORMINV(RAND(),0,SQRT($B$13*($B$7+$B$8^2))*$B$9*(1-$B$10))</f>
        <v>4517.84413603854</v>
      </c>
      <c r="P777" s="14" t="n">
        <f aca="true">$B$16+NORMINV(RAND(),0,SQRT($B$13*($B$7+$B$8^2))*$B$9*(1-$B$10))</f>
        <v>4345.87638513244</v>
      </c>
      <c r="Q777" s="14" t="n">
        <f aca="true">$B$16+NORMINV(RAND(),0,SQRT($B$13*($B$7+$B$8^2))*$B$9*(1-$B$10))</f>
        <v>4209.62320610757</v>
      </c>
      <c r="R777" s="14" t="n">
        <f aca="false">$B$4-13*($B$5+$B$6)/30-IF($B$11&lt;=13,$B$12,0)+0</f>
        <v>8876.66666666667</v>
      </c>
      <c r="S777" s="14" t="n">
        <f aca="false">$B$4-27*($B$5+$B$6)/30-IF($B$11&lt;=27,$B$12,0)+L777</f>
        <v>10801.0333924024</v>
      </c>
      <c r="T777" s="14" t="n">
        <f aca="false">$B$4-41*($B$5+$B$6)/30-IF($B$11&lt;=41,$B$12,0)+L777+M777</f>
        <v>1519.7434470879</v>
      </c>
      <c r="U777" s="14" t="n">
        <f aca="false">$B$4-55*($B$5+$B$6)/30-IF($B$11&lt;=55,$B$12,0)+L777+M777+N777</f>
        <v>2782.22831696289</v>
      </c>
      <c r="V777" s="14" t="n">
        <f aca="false">$B$4-69*($B$5+$B$6)/30-IF($B$11&lt;=69,$B$12,0)+L777+M777+N777+O777</f>
        <v>5013.40578633477</v>
      </c>
      <c r="W777" s="14" t="n">
        <f aca="false">$B$4-83*($B$5+$B$6)/30-IF($B$11&lt;=83,$B$12,0)+L777+M777+N777+O777+P777</f>
        <v>7072.61550480054</v>
      </c>
      <c r="X777" s="14" t="n">
        <f aca="false">$B$4-90*($B$5+$B$6)/30-IF($B$11&lt;=90,$B$12,0)+L777+M777+N777+O777+P777+Q777</f>
        <v>10138.9053775748</v>
      </c>
      <c r="AA777" s="14" t="n">
        <f aca="false">MIN(R777:X777)</f>
        <v>1519.7434470879</v>
      </c>
    </row>
    <row r="778" customFormat="false" ht="15" hidden="false" customHeight="false" outlineLevel="0" collapsed="false">
      <c r="K778" s="2" t="n">
        <v>773</v>
      </c>
      <c r="L778" s="14" t="n">
        <f aca="true">$B$16+NORMINV(RAND(),0,SQRT($B$13*($B$7+$B$8^2))*$B$9*(1-$B$10))</f>
        <v>4060.14802263715</v>
      </c>
      <c r="M778" s="14" t="n">
        <f aca="true">$B$16+NORMINV(RAND(),0,SQRT($B$13*($B$7+$B$8^2))*$B$9*(1-$B$10))</f>
        <v>3960.67602548667</v>
      </c>
      <c r="N778" s="14" t="n">
        <f aca="true">$B$16+NORMINV(RAND(),0,SQRT($B$13*($B$7+$B$8^2))*$B$9*(1-$B$10))</f>
        <v>4577.01514147185</v>
      </c>
      <c r="O778" s="14" t="n">
        <f aca="true">$B$16+NORMINV(RAND(),0,SQRT($B$13*($B$7+$B$8^2))*$B$9*(1-$B$10))</f>
        <v>4283.88802801338</v>
      </c>
      <c r="P778" s="14" t="n">
        <f aca="true">$B$16+NORMINV(RAND(),0,SQRT($B$13*($B$7+$B$8^2))*$B$9*(1-$B$10))</f>
        <v>3501.61070634867</v>
      </c>
      <c r="Q778" s="14" t="n">
        <f aca="true">$B$16+NORMINV(RAND(),0,SQRT($B$13*($B$7+$B$8^2))*$B$9*(1-$B$10))</f>
        <v>4872.68372458305</v>
      </c>
      <c r="R778" s="14" t="n">
        <f aca="false">$B$4-13*($B$5+$B$6)/30-IF($B$11&lt;=13,$B$12,0)+0</f>
        <v>8876.66666666667</v>
      </c>
      <c r="S778" s="14" t="n">
        <f aca="false">$B$4-27*($B$5+$B$6)/30-IF($B$11&lt;=27,$B$12,0)+L778</f>
        <v>10650.1480226371</v>
      </c>
      <c r="T778" s="14" t="n">
        <f aca="false">$B$4-41*($B$5+$B$6)/30-IF($B$11&lt;=41,$B$12,0)+L778+M778</f>
        <v>1139.35738145715</v>
      </c>
      <c r="U778" s="14" t="n">
        <f aca="false">$B$4-55*($B$5+$B$6)/30-IF($B$11&lt;=55,$B$12,0)+L778+M778+N778</f>
        <v>3429.70585626232</v>
      </c>
      <c r="V778" s="14" t="n">
        <f aca="false">$B$4-69*($B$5+$B$6)/30-IF($B$11&lt;=69,$B$12,0)+L778+M778+N778+O778</f>
        <v>5426.92721760904</v>
      </c>
      <c r="W778" s="14" t="n">
        <f aca="false">$B$4-83*($B$5+$B$6)/30-IF($B$11&lt;=83,$B$12,0)+L778+M778+N778+O778+P778</f>
        <v>6641.87125729104</v>
      </c>
      <c r="X778" s="14" t="n">
        <f aca="false">$B$4-90*($B$5+$B$6)/30-IF($B$11&lt;=90,$B$12,0)+L778+M778+N778+O778+P778+Q778</f>
        <v>10371.2216485408</v>
      </c>
      <c r="AA778" s="14" t="n">
        <f aca="false">MIN(R778:X778)</f>
        <v>1139.35738145715</v>
      </c>
    </row>
    <row r="779" customFormat="false" ht="15" hidden="false" customHeight="false" outlineLevel="0" collapsed="false">
      <c r="K779" s="2" t="n">
        <v>774</v>
      </c>
      <c r="L779" s="14" t="n">
        <f aca="true">$B$16+NORMINV(RAND(),0,SQRT($B$13*($B$7+$B$8^2))*$B$9*(1-$B$10))</f>
        <v>4448.11102633648</v>
      </c>
      <c r="M779" s="14" t="n">
        <f aca="true">$B$16+NORMINV(RAND(),0,SQRT($B$13*($B$7+$B$8^2))*$B$9*(1-$B$10))</f>
        <v>3738.42999077453</v>
      </c>
      <c r="N779" s="14" t="n">
        <f aca="true">$B$16+NORMINV(RAND(),0,SQRT($B$13*($B$7+$B$8^2))*$B$9*(1-$B$10))</f>
        <v>4062.92364205824</v>
      </c>
      <c r="O779" s="14" t="n">
        <f aca="true">$B$16+NORMINV(RAND(),0,SQRT($B$13*($B$7+$B$8^2))*$B$9*(1-$B$10))</f>
        <v>3950.53711553707</v>
      </c>
      <c r="P779" s="14" t="n">
        <f aca="true">$B$16+NORMINV(RAND(),0,SQRT($B$13*($B$7+$B$8^2))*$B$9*(1-$B$10))</f>
        <v>4983.76139756518</v>
      </c>
      <c r="Q779" s="14" t="n">
        <f aca="true">$B$16+NORMINV(RAND(),0,SQRT($B$13*($B$7+$B$8^2))*$B$9*(1-$B$10))</f>
        <v>4118.65516776797</v>
      </c>
      <c r="R779" s="14" t="n">
        <f aca="false">$B$4-13*($B$5+$B$6)/30-IF($B$11&lt;=13,$B$12,0)+0</f>
        <v>8876.66666666667</v>
      </c>
      <c r="S779" s="14" t="n">
        <f aca="false">$B$4-27*($B$5+$B$6)/30-IF($B$11&lt;=27,$B$12,0)+L779</f>
        <v>11038.1110263365</v>
      </c>
      <c r="T779" s="14" t="n">
        <f aca="false">$B$4-41*($B$5+$B$6)/30-IF($B$11&lt;=41,$B$12,0)+L779+M779</f>
        <v>1305.07435044435</v>
      </c>
      <c r="U779" s="14" t="n">
        <f aca="false">$B$4-55*($B$5+$B$6)/30-IF($B$11&lt;=55,$B$12,0)+L779+M779+N779</f>
        <v>3081.33132583592</v>
      </c>
      <c r="V779" s="14" t="n">
        <f aca="false">$B$4-69*($B$5+$B$6)/30-IF($B$11&lt;=69,$B$12,0)+L779+M779+N779+O779</f>
        <v>4745.20177470632</v>
      </c>
      <c r="W779" s="14" t="n">
        <f aca="false">$B$4-83*($B$5+$B$6)/30-IF($B$11&lt;=83,$B$12,0)+L779+M779+N779+O779+P779</f>
        <v>7442.29650560484</v>
      </c>
      <c r="X779" s="14" t="n">
        <f aca="false">$B$4-90*($B$5+$B$6)/30-IF($B$11&lt;=90,$B$12,0)+L779+M779+N779+O779+P779+Q779</f>
        <v>10417.6183400395</v>
      </c>
      <c r="AA779" s="14" t="n">
        <f aca="false">MIN(R779:X779)</f>
        <v>1305.07435044435</v>
      </c>
    </row>
    <row r="780" customFormat="false" ht="15" hidden="false" customHeight="false" outlineLevel="0" collapsed="false">
      <c r="K780" s="2" t="n">
        <v>775</v>
      </c>
      <c r="L780" s="14" t="n">
        <f aca="true">$B$16+NORMINV(RAND(),0,SQRT($B$13*($B$7+$B$8^2))*$B$9*(1-$B$10))</f>
        <v>3847.08173964086</v>
      </c>
      <c r="M780" s="14" t="n">
        <f aca="true">$B$16+NORMINV(RAND(),0,SQRT($B$13*($B$7+$B$8^2))*$B$9*(1-$B$10))</f>
        <v>4252.59070535843</v>
      </c>
      <c r="N780" s="14" t="n">
        <f aca="true">$B$16+NORMINV(RAND(),0,SQRT($B$13*($B$7+$B$8^2))*$B$9*(1-$B$10))</f>
        <v>3690.54959028562</v>
      </c>
      <c r="O780" s="14" t="n">
        <f aca="true">$B$16+NORMINV(RAND(),0,SQRT($B$13*($B$7+$B$8^2))*$B$9*(1-$B$10))</f>
        <v>3123.48065328763</v>
      </c>
      <c r="P780" s="14" t="n">
        <f aca="true">$B$16+NORMINV(RAND(),0,SQRT($B$13*($B$7+$B$8^2))*$B$9*(1-$B$10))</f>
        <v>4041.2332891109</v>
      </c>
      <c r="Q780" s="14" t="n">
        <f aca="true">$B$16+NORMINV(RAND(),0,SQRT($B$13*($B$7+$B$8^2))*$B$9*(1-$B$10))</f>
        <v>4120.94275066496</v>
      </c>
      <c r="R780" s="14" t="n">
        <f aca="false">$B$4-13*($B$5+$B$6)/30-IF($B$11&lt;=13,$B$12,0)+0</f>
        <v>8876.66666666667</v>
      </c>
      <c r="S780" s="14" t="n">
        <f aca="false">$B$4-27*($B$5+$B$6)/30-IF($B$11&lt;=27,$B$12,0)+L780</f>
        <v>10437.0817396409</v>
      </c>
      <c r="T780" s="14" t="n">
        <f aca="false">$B$4-41*($B$5+$B$6)/30-IF($B$11&lt;=41,$B$12,0)+L780+M780</f>
        <v>1218.20577833262</v>
      </c>
      <c r="U780" s="14" t="n">
        <f aca="false">$B$4-55*($B$5+$B$6)/30-IF($B$11&lt;=55,$B$12,0)+L780+M780+N780</f>
        <v>2622.08870195157</v>
      </c>
      <c r="V780" s="14" t="n">
        <f aca="false">$B$4-69*($B$5+$B$6)/30-IF($B$11&lt;=69,$B$12,0)+L780+M780+N780+O780</f>
        <v>3458.90268857253</v>
      </c>
      <c r="W780" s="14" t="n">
        <f aca="false">$B$4-83*($B$5+$B$6)/30-IF($B$11&lt;=83,$B$12,0)+L780+M780+N780+O780+P780</f>
        <v>5213.46931101677</v>
      </c>
      <c r="X780" s="14" t="n">
        <f aca="false">$B$4-90*($B$5+$B$6)/30-IF($B$11&lt;=90,$B$12,0)+L780+M780+N780+O780+P780+Q780</f>
        <v>8191.07872834839</v>
      </c>
      <c r="AA780" s="14" t="n">
        <f aca="false">MIN(R780:X780)</f>
        <v>1218.20577833262</v>
      </c>
    </row>
    <row r="781" customFormat="false" ht="15" hidden="false" customHeight="false" outlineLevel="0" collapsed="false">
      <c r="K781" s="2" t="n">
        <v>776</v>
      </c>
      <c r="L781" s="14" t="n">
        <f aca="true">$B$16+NORMINV(RAND(),0,SQRT($B$13*($B$7+$B$8^2))*$B$9*(1-$B$10))</f>
        <v>4197.38591077131</v>
      </c>
      <c r="M781" s="14" t="n">
        <f aca="true">$B$16+NORMINV(RAND(),0,SQRT($B$13*($B$7+$B$8^2))*$B$9*(1-$B$10))</f>
        <v>3680.38072100107</v>
      </c>
      <c r="N781" s="14" t="n">
        <f aca="true">$B$16+NORMINV(RAND(),0,SQRT($B$13*($B$7+$B$8^2))*$B$9*(1-$B$10))</f>
        <v>3896.42713400705</v>
      </c>
      <c r="O781" s="14" t="n">
        <f aca="true">$B$16+NORMINV(RAND(),0,SQRT($B$13*($B$7+$B$8^2))*$B$9*(1-$B$10))</f>
        <v>4800.54636501465</v>
      </c>
      <c r="P781" s="14" t="n">
        <f aca="true">$B$16+NORMINV(RAND(),0,SQRT($B$13*($B$7+$B$8^2))*$B$9*(1-$B$10))</f>
        <v>4153.9543594411</v>
      </c>
      <c r="Q781" s="14" t="n">
        <f aca="true">$B$16+NORMINV(RAND(),0,SQRT($B$13*($B$7+$B$8^2))*$B$9*(1-$B$10))</f>
        <v>4553.71155294685</v>
      </c>
      <c r="R781" s="14" t="n">
        <f aca="false">$B$4-13*($B$5+$B$6)/30-IF($B$11&lt;=13,$B$12,0)+0</f>
        <v>8876.66666666667</v>
      </c>
      <c r="S781" s="14" t="n">
        <f aca="false">$B$4-27*($B$5+$B$6)/30-IF($B$11&lt;=27,$B$12,0)+L781</f>
        <v>10787.3859107713</v>
      </c>
      <c r="T781" s="14" t="n">
        <f aca="false">$B$4-41*($B$5+$B$6)/30-IF($B$11&lt;=41,$B$12,0)+L781+M781</f>
        <v>996.299965105718</v>
      </c>
      <c r="U781" s="14" t="n">
        <f aca="false">$B$4-55*($B$5+$B$6)/30-IF($B$11&lt;=55,$B$12,0)+L781+M781+N781</f>
        <v>2606.0604324461</v>
      </c>
      <c r="V781" s="14" t="n">
        <f aca="false">$B$4-69*($B$5+$B$6)/30-IF($B$11&lt;=69,$B$12,0)+L781+M781+N781+O781</f>
        <v>5119.94013079409</v>
      </c>
      <c r="W781" s="14" t="n">
        <f aca="false">$B$4-83*($B$5+$B$6)/30-IF($B$11&lt;=83,$B$12,0)+L781+M781+N781+O781+P781</f>
        <v>6987.22782356852</v>
      </c>
      <c r="X781" s="14" t="n">
        <f aca="false">$B$4-90*($B$5+$B$6)/30-IF($B$11&lt;=90,$B$12,0)+L781+M781+N781+O781+P781+Q781</f>
        <v>10397.606043182</v>
      </c>
      <c r="AA781" s="14" t="n">
        <f aca="false">MIN(R781:X781)</f>
        <v>996.299965105718</v>
      </c>
    </row>
    <row r="782" customFormat="false" ht="15" hidden="false" customHeight="false" outlineLevel="0" collapsed="false">
      <c r="K782" s="2" t="n">
        <v>777</v>
      </c>
      <c r="L782" s="14" t="n">
        <f aca="true">$B$16+NORMINV(RAND(),0,SQRT($B$13*($B$7+$B$8^2))*$B$9*(1-$B$10))</f>
        <v>4410.86577641391</v>
      </c>
      <c r="M782" s="14" t="n">
        <f aca="true">$B$16+NORMINV(RAND(),0,SQRT($B$13*($B$7+$B$8^2))*$B$9*(1-$B$10))</f>
        <v>4762.39434088368</v>
      </c>
      <c r="N782" s="14" t="n">
        <f aca="true">$B$16+NORMINV(RAND(),0,SQRT($B$13*($B$7+$B$8^2))*$B$9*(1-$B$10))</f>
        <v>4207.68548753628</v>
      </c>
      <c r="O782" s="14" t="n">
        <f aca="true">$B$16+NORMINV(RAND(),0,SQRT($B$13*($B$7+$B$8^2))*$B$9*(1-$B$10))</f>
        <v>3779.35008358591</v>
      </c>
      <c r="P782" s="14" t="n">
        <f aca="true">$B$16+NORMINV(RAND(),0,SQRT($B$13*($B$7+$B$8^2))*$B$9*(1-$B$10))</f>
        <v>4264.95659220236</v>
      </c>
      <c r="Q782" s="14" t="n">
        <f aca="true">$B$16+NORMINV(RAND(),0,SQRT($B$13*($B$7+$B$8^2))*$B$9*(1-$B$10))</f>
        <v>3777.59329071031</v>
      </c>
      <c r="R782" s="14" t="n">
        <f aca="false">$B$4-13*($B$5+$B$6)/30-IF($B$11&lt;=13,$B$12,0)+0</f>
        <v>8876.66666666667</v>
      </c>
      <c r="S782" s="14" t="n">
        <f aca="false">$B$4-27*($B$5+$B$6)/30-IF($B$11&lt;=27,$B$12,0)+L782</f>
        <v>11000.8657764139</v>
      </c>
      <c r="T782" s="14" t="n">
        <f aca="false">$B$4-41*($B$5+$B$6)/30-IF($B$11&lt;=41,$B$12,0)+L782+M782</f>
        <v>2291.79345063092</v>
      </c>
      <c r="U782" s="14" t="n">
        <f aca="false">$B$4-55*($B$5+$B$6)/30-IF($B$11&lt;=55,$B$12,0)+L782+M782+N782</f>
        <v>4212.81227150054</v>
      </c>
      <c r="V782" s="14" t="n">
        <f aca="false">$B$4-69*($B$5+$B$6)/30-IF($B$11&lt;=69,$B$12,0)+L782+M782+N782+O782</f>
        <v>5705.49568841978</v>
      </c>
      <c r="W782" s="14" t="n">
        <f aca="false">$B$4-83*($B$5+$B$6)/30-IF($B$11&lt;=83,$B$12,0)+L782+M782+N782+O782+P782</f>
        <v>7683.78561395548</v>
      </c>
      <c r="X782" s="14" t="n">
        <f aca="false">$B$4-90*($B$5+$B$6)/30-IF($B$11&lt;=90,$B$12,0)+L782+M782+N782+O782+P782+Q782</f>
        <v>10318.0455713325</v>
      </c>
      <c r="AA782" s="14" t="n">
        <f aca="false">MIN(R782:X782)</f>
        <v>2291.79345063092</v>
      </c>
    </row>
    <row r="783" customFormat="false" ht="15" hidden="false" customHeight="false" outlineLevel="0" collapsed="false">
      <c r="K783" s="2" t="n">
        <v>778</v>
      </c>
      <c r="L783" s="14" t="n">
        <f aca="true">$B$16+NORMINV(RAND(),0,SQRT($B$13*($B$7+$B$8^2))*$B$9*(1-$B$10))</f>
        <v>4017.94573886638</v>
      </c>
      <c r="M783" s="14" t="n">
        <f aca="true">$B$16+NORMINV(RAND(),0,SQRT($B$13*($B$7+$B$8^2))*$B$9*(1-$B$10))</f>
        <v>4175.08297481892</v>
      </c>
      <c r="N783" s="14" t="n">
        <f aca="true">$B$16+NORMINV(RAND(),0,SQRT($B$13*($B$7+$B$8^2))*$B$9*(1-$B$10))</f>
        <v>4304.14392316466</v>
      </c>
      <c r="O783" s="14" t="n">
        <f aca="true">$B$16+NORMINV(RAND(),0,SQRT($B$13*($B$7+$B$8^2))*$B$9*(1-$B$10))</f>
        <v>3796.6945999107</v>
      </c>
      <c r="P783" s="14" t="n">
        <f aca="true">$B$16+NORMINV(RAND(),0,SQRT($B$13*($B$7+$B$8^2))*$B$9*(1-$B$10))</f>
        <v>4316.48726568889</v>
      </c>
      <c r="Q783" s="14" t="n">
        <f aca="true">$B$16+NORMINV(RAND(),0,SQRT($B$13*($B$7+$B$8^2))*$B$9*(1-$B$10))</f>
        <v>4071.69274931971</v>
      </c>
      <c r="R783" s="14" t="n">
        <f aca="false">$B$4-13*($B$5+$B$6)/30-IF($B$11&lt;=13,$B$12,0)+0</f>
        <v>8876.66666666667</v>
      </c>
      <c r="S783" s="14" t="n">
        <f aca="false">$B$4-27*($B$5+$B$6)/30-IF($B$11&lt;=27,$B$12,0)+L783</f>
        <v>10607.9457388664</v>
      </c>
      <c r="T783" s="14" t="n">
        <f aca="false">$B$4-41*($B$5+$B$6)/30-IF($B$11&lt;=41,$B$12,0)+L783+M783</f>
        <v>1311.56204701863</v>
      </c>
      <c r="U783" s="14" t="n">
        <f aca="false">$B$4-55*($B$5+$B$6)/30-IF($B$11&lt;=55,$B$12,0)+L783+M783+N783</f>
        <v>3329.03930351662</v>
      </c>
      <c r="V783" s="14" t="n">
        <f aca="false">$B$4-69*($B$5+$B$6)/30-IF($B$11&lt;=69,$B$12,0)+L783+M783+N783+O783</f>
        <v>4839.06723676065</v>
      </c>
      <c r="W783" s="14" t="n">
        <f aca="false">$B$4-83*($B$5+$B$6)/30-IF($B$11&lt;=83,$B$12,0)+L783+M783+N783+O783+P783</f>
        <v>6868.88783578288</v>
      </c>
      <c r="X783" s="14" t="n">
        <f aca="false">$B$4-90*($B$5+$B$6)/30-IF($B$11&lt;=90,$B$12,0)+L783+M783+N783+O783+P783+Q783</f>
        <v>9797.24725176926</v>
      </c>
      <c r="AA783" s="14" t="n">
        <f aca="false">MIN(R783:X783)</f>
        <v>1311.56204701863</v>
      </c>
    </row>
    <row r="784" customFormat="false" ht="15" hidden="false" customHeight="false" outlineLevel="0" collapsed="false">
      <c r="K784" s="2" t="n">
        <v>779</v>
      </c>
      <c r="L784" s="14" t="n">
        <f aca="true">$B$16+NORMINV(RAND(),0,SQRT($B$13*($B$7+$B$8^2))*$B$9*(1-$B$10))</f>
        <v>3206.44397160963</v>
      </c>
      <c r="M784" s="14" t="n">
        <f aca="true">$B$16+NORMINV(RAND(),0,SQRT($B$13*($B$7+$B$8^2))*$B$9*(1-$B$10))</f>
        <v>3877.95246586152</v>
      </c>
      <c r="N784" s="14" t="n">
        <f aca="true">$B$16+NORMINV(RAND(),0,SQRT($B$13*($B$7+$B$8^2))*$B$9*(1-$B$10))</f>
        <v>4150.13312040204</v>
      </c>
      <c r="O784" s="14" t="n">
        <f aca="true">$B$16+NORMINV(RAND(),0,SQRT($B$13*($B$7+$B$8^2))*$B$9*(1-$B$10))</f>
        <v>4474.58969612425</v>
      </c>
      <c r="P784" s="14" t="n">
        <f aca="true">$B$16+NORMINV(RAND(),0,SQRT($B$13*($B$7+$B$8^2))*$B$9*(1-$B$10))</f>
        <v>4279.64636069899</v>
      </c>
      <c r="Q784" s="14" t="n">
        <f aca="true">$B$16+NORMINV(RAND(),0,SQRT($B$13*($B$7+$B$8^2))*$B$9*(1-$B$10))</f>
        <v>4784.46276346682</v>
      </c>
      <c r="R784" s="14" t="n">
        <f aca="false">$B$4-13*($B$5+$B$6)/30-IF($B$11&lt;=13,$B$12,0)+0</f>
        <v>8876.66666666667</v>
      </c>
      <c r="S784" s="14" t="n">
        <f aca="false">$B$4-27*($B$5+$B$6)/30-IF($B$11&lt;=27,$B$12,0)+L784</f>
        <v>9796.44397160963</v>
      </c>
      <c r="T784" s="14" t="n">
        <f aca="false">$B$4-41*($B$5+$B$6)/30-IF($B$11&lt;=41,$B$12,0)+L784+M784</f>
        <v>202.929770804482</v>
      </c>
      <c r="U784" s="14" t="n">
        <f aca="false">$B$4-55*($B$5+$B$6)/30-IF($B$11&lt;=55,$B$12,0)+L784+M784+N784</f>
        <v>2066.39622453985</v>
      </c>
      <c r="V784" s="14" t="n">
        <f aca="false">$B$4-69*($B$5+$B$6)/30-IF($B$11&lt;=69,$B$12,0)+L784+M784+N784+O784</f>
        <v>4254.31925399744</v>
      </c>
      <c r="W784" s="14" t="n">
        <f aca="false">$B$4-83*($B$5+$B$6)/30-IF($B$11&lt;=83,$B$12,0)+L784+M784+N784+O784+P784</f>
        <v>6247.29894802976</v>
      </c>
      <c r="X784" s="14" t="n">
        <f aca="false">$B$4-90*($B$5+$B$6)/30-IF($B$11&lt;=90,$B$12,0)+L784+M784+N784+O784+P784+Q784</f>
        <v>9888.42837816324</v>
      </c>
      <c r="AA784" s="14" t="n">
        <f aca="false">MIN(R784:X784)</f>
        <v>202.929770804482</v>
      </c>
    </row>
    <row r="785" customFormat="false" ht="15" hidden="false" customHeight="false" outlineLevel="0" collapsed="false">
      <c r="K785" s="2" t="n">
        <v>780</v>
      </c>
      <c r="L785" s="14" t="n">
        <f aca="true">$B$16+NORMINV(RAND(),0,SQRT($B$13*($B$7+$B$8^2))*$B$9*(1-$B$10))</f>
        <v>3344.00236249795</v>
      </c>
      <c r="M785" s="14" t="n">
        <f aca="true">$B$16+NORMINV(RAND(),0,SQRT($B$13*($B$7+$B$8^2))*$B$9*(1-$B$10))</f>
        <v>4357.67775508087</v>
      </c>
      <c r="N785" s="14" t="n">
        <f aca="true">$B$16+NORMINV(RAND(),0,SQRT($B$13*($B$7+$B$8^2))*$B$9*(1-$B$10))</f>
        <v>4031.48985081382</v>
      </c>
      <c r="O785" s="14" t="n">
        <f aca="true">$B$16+NORMINV(RAND(),0,SQRT($B$13*($B$7+$B$8^2))*$B$9*(1-$B$10))</f>
        <v>4861.61029622245</v>
      </c>
      <c r="P785" s="14" t="n">
        <f aca="true">$B$16+NORMINV(RAND(),0,SQRT($B$13*($B$7+$B$8^2))*$B$9*(1-$B$10))</f>
        <v>4102.18382463507</v>
      </c>
      <c r="Q785" s="14" t="n">
        <f aca="true">$B$16+NORMINV(RAND(),0,SQRT($B$13*($B$7+$B$8^2))*$B$9*(1-$B$10))</f>
        <v>4378.98881864964</v>
      </c>
      <c r="R785" s="14" t="n">
        <f aca="false">$B$4-13*($B$5+$B$6)/30-IF($B$11&lt;=13,$B$12,0)+0</f>
        <v>8876.66666666667</v>
      </c>
      <c r="S785" s="14" t="n">
        <f aca="false">$B$4-27*($B$5+$B$6)/30-IF($B$11&lt;=27,$B$12,0)+L785</f>
        <v>9934.00236249795</v>
      </c>
      <c r="T785" s="14" t="n">
        <f aca="false">$B$4-41*($B$5+$B$6)/30-IF($B$11&lt;=41,$B$12,0)+L785+M785</f>
        <v>820.21345091215</v>
      </c>
      <c r="U785" s="14" t="n">
        <f aca="false">$B$4-55*($B$5+$B$6)/30-IF($B$11&lt;=55,$B$12,0)+L785+M785+N785</f>
        <v>2565.0366350593</v>
      </c>
      <c r="V785" s="14" t="n">
        <f aca="false">$B$4-69*($B$5+$B$6)/30-IF($B$11&lt;=69,$B$12,0)+L785+M785+N785+O785</f>
        <v>5139.98026461509</v>
      </c>
      <c r="W785" s="14" t="n">
        <f aca="false">$B$4-83*($B$5+$B$6)/30-IF($B$11&lt;=83,$B$12,0)+L785+M785+N785+O785+P785</f>
        <v>6955.49742258349</v>
      </c>
      <c r="X785" s="14" t="n">
        <f aca="false">$B$4-90*($B$5+$B$6)/30-IF($B$11&lt;=90,$B$12,0)+L785+M785+N785+O785+P785+Q785</f>
        <v>10191.1529078998</v>
      </c>
      <c r="AA785" s="14" t="n">
        <f aca="false">MIN(R785:X785)</f>
        <v>820.21345091215</v>
      </c>
    </row>
    <row r="786" customFormat="false" ht="15" hidden="false" customHeight="false" outlineLevel="0" collapsed="false">
      <c r="K786" s="2" t="n">
        <v>781</v>
      </c>
      <c r="L786" s="14" t="n">
        <f aca="true">$B$16+NORMINV(RAND(),0,SQRT($B$13*($B$7+$B$8^2))*$B$9*(1-$B$10))</f>
        <v>4551.37952557115</v>
      </c>
      <c r="M786" s="14" t="n">
        <f aca="true">$B$16+NORMINV(RAND(),0,SQRT($B$13*($B$7+$B$8^2))*$B$9*(1-$B$10))</f>
        <v>4680.31922988409</v>
      </c>
      <c r="N786" s="14" t="n">
        <f aca="true">$B$16+NORMINV(RAND(),0,SQRT($B$13*($B$7+$B$8^2))*$B$9*(1-$B$10))</f>
        <v>4352.10909441253</v>
      </c>
      <c r="O786" s="14" t="n">
        <f aca="true">$B$16+NORMINV(RAND(),0,SQRT($B$13*($B$7+$B$8^2))*$B$9*(1-$B$10))</f>
        <v>3914.31999674901</v>
      </c>
      <c r="P786" s="14" t="n">
        <f aca="true">$B$16+NORMINV(RAND(),0,SQRT($B$13*($B$7+$B$8^2))*$B$9*(1-$B$10))</f>
        <v>3983.11735224713</v>
      </c>
      <c r="Q786" s="14" t="n">
        <f aca="true">$B$16+NORMINV(RAND(),0,SQRT($B$13*($B$7+$B$8^2))*$B$9*(1-$B$10))</f>
        <v>3895.48297474798</v>
      </c>
      <c r="R786" s="14" t="n">
        <f aca="false">$B$4-13*($B$5+$B$6)/30-IF($B$11&lt;=13,$B$12,0)+0</f>
        <v>8876.66666666667</v>
      </c>
      <c r="S786" s="14" t="n">
        <f aca="false">$B$4-27*($B$5+$B$6)/30-IF($B$11&lt;=27,$B$12,0)+L786</f>
        <v>11141.3795255712</v>
      </c>
      <c r="T786" s="14" t="n">
        <f aca="false">$B$4-41*($B$5+$B$6)/30-IF($B$11&lt;=41,$B$12,0)+L786+M786</f>
        <v>2350.23208878858</v>
      </c>
      <c r="U786" s="14" t="n">
        <f aca="false">$B$4-55*($B$5+$B$6)/30-IF($B$11&lt;=55,$B$12,0)+L786+M786+N786</f>
        <v>4415.67451653445</v>
      </c>
      <c r="V786" s="14" t="n">
        <f aca="false">$B$4-69*($B$5+$B$6)/30-IF($B$11&lt;=69,$B$12,0)+L786+M786+N786+O786</f>
        <v>6043.32784661679</v>
      </c>
      <c r="W786" s="14" t="n">
        <f aca="false">$B$4-83*($B$5+$B$6)/30-IF($B$11&lt;=83,$B$12,0)+L786+M786+N786+O786+P786</f>
        <v>7739.77853219725</v>
      </c>
      <c r="X786" s="14" t="n">
        <f aca="false">$B$4-90*($B$5+$B$6)/30-IF($B$11&lt;=90,$B$12,0)+L786+M786+N786+O786+P786+Q786</f>
        <v>10491.9281736119</v>
      </c>
      <c r="AA786" s="14" t="n">
        <f aca="false">MIN(R786:X786)</f>
        <v>2350.23208878858</v>
      </c>
    </row>
    <row r="787" customFormat="false" ht="15" hidden="false" customHeight="false" outlineLevel="0" collapsed="false">
      <c r="K787" s="2" t="n">
        <v>782</v>
      </c>
      <c r="L787" s="14" t="n">
        <f aca="true">$B$16+NORMINV(RAND(),0,SQRT($B$13*($B$7+$B$8^2))*$B$9*(1-$B$10))</f>
        <v>4058.6472976958</v>
      </c>
      <c r="M787" s="14" t="n">
        <f aca="true">$B$16+NORMINV(RAND(),0,SQRT($B$13*($B$7+$B$8^2))*$B$9*(1-$B$10))</f>
        <v>4337.01880753859</v>
      </c>
      <c r="N787" s="14" t="n">
        <f aca="true">$B$16+NORMINV(RAND(),0,SQRT($B$13*($B$7+$B$8^2))*$B$9*(1-$B$10))</f>
        <v>3506.41985225413</v>
      </c>
      <c r="O787" s="14" t="n">
        <f aca="true">$B$16+NORMINV(RAND(),0,SQRT($B$13*($B$7+$B$8^2))*$B$9*(1-$B$10))</f>
        <v>4140.45800169263</v>
      </c>
      <c r="P787" s="14" t="n">
        <f aca="true">$B$16+NORMINV(RAND(),0,SQRT($B$13*($B$7+$B$8^2))*$B$9*(1-$B$10))</f>
        <v>3750.8568485178</v>
      </c>
      <c r="Q787" s="14" t="n">
        <f aca="true">$B$16+NORMINV(RAND(),0,SQRT($B$13*($B$7+$B$8^2))*$B$9*(1-$B$10))</f>
        <v>3793.52488558376</v>
      </c>
      <c r="R787" s="14" t="n">
        <f aca="false">$B$4-13*($B$5+$B$6)/30-IF($B$11&lt;=13,$B$12,0)+0</f>
        <v>8876.66666666667</v>
      </c>
      <c r="S787" s="14" t="n">
        <f aca="false">$B$4-27*($B$5+$B$6)/30-IF($B$11&lt;=27,$B$12,0)+L787</f>
        <v>10648.6472976958</v>
      </c>
      <c r="T787" s="14" t="n">
        <f aca="false">$B$4-41*($B$5+$B$6)/30-IF($B$11&lt;=41,$B$12,0)+L787+M787</f>
        <v>1514.19943856772</v>
      </c>
      <c r="U787" s="14" t="n">
        <f aca="false">$B$4-55*($B$5+$B$6)/30-IF($B$11&lt;=55,$B$12,0)+L787+M787+N787</f>
        <v>2733.95262415519</v>
      </c>
      <c r="V787" s="14" t="n">
        <f aca="false">$B$4-69*($B$5+$B$6)/30-IF($B$11&lt;=69,$B$12,0)+L787+M787+N787+O787</f>
        <v>4587.74395918115</v>
      </c>
      <c r="W787" s="14" t="n">
        <f aca="false">$B$4-83*($B$5+$B$6)/30-IF($B$11&lt;=83,$B$12,0)+L787+M787+N787+O787+P787</f>
        <v>6051.93414103228</v>
      </c>
      <c r="X787" s="14" t="n">
        <f aca="false">$B$4-90*($B$5+$B$6)/30-IF($B$11&lt;=90,$B$12,0)+L787+M787+N787+O787+P787+Q787</f>
        <v>8702.1256932827</v>
      </c>
      <c r="AA787" s="14" t="n">
        <f aca="false">MIN(R787:X787)</f>
        <v>1514.19943856772</v>
      </c>
    </row>
    <row r="788" customFormat="false" ht="15" hidden="false" customHeight="false" outlineLevel="0" collapsed="false">
      <c r="K788" s="2" t="n">
        <v>783</v>
      </c>
      <c r="L788" s="14" t="n">
        <f aca="true">$B$16+NORMINV(RAND(),0,SQRT($B$13*($B$7+$B$8^2))*$B$9*(1-$B$10))</f>
        <v>3853.24929652066</v>
      </c>
      <c r="M788" s="14" t="n">
        <f aca="true">$B$16+NORMINV(RAND(),0,SQRT($B$13*($B$7+$B$8^2))*$B$9*(1-$B$10))</f>
        <v>4016.70444904257</v>
      </c>
      <c r="N788" s="14" t="n">
        <f aca="true">$B$16+NORMINV(RAND(),0,SQRT($B$13*($B$7+$B$8^2))*$B$9*(1-$B$10))</f>
        <v>4025.44095495706</v>
      </c>
      <c r="O788" s="14" t="n">
        <f aca="true">$B$16+NORMINV(RAND(),0,SQRT($B$13*($B$7+$B$8^2))*$B$9*(1-$B$10))</f>
        <v>4054.03194722518</v>
      </c>
      <c r="P788" s="14" t="n">
        <f aca="true">$B$16+NORMINV(RAND(),0,SQRT($B$13*($B$7+$B$8^2))*$B$9*(1-$B$10))</f>
        <v>3642.33963606751</v>
      </c>
      <c r="Q788" s="14" t="n">
        <f aca="true">$B$16+NORMINV(RAND(),0,SQRT($B$13*($B$7+$B$8^2))*$B$9*(1-$B$10))</f>
        <v>4284.98910920447</v>
      </c>
      <c r="R788" s="14" t="n">
        <f aca="false">$B$4-13*($B$5+$B$6)/30-IF($B$11&lt;=13,$B$12,0)+0</f>
        <v>8876.66666666667</v>
      </c>
      <c r="S788" s="14" t="n">
        <f aca="false">$B$4-27*($B$5+$B$6)/30-IF($B$11&lt;=27,$B$12,0)+L788</f>
        <v>10443.2492965207</v>
      </c>
      <c r="T788" s="14" t="n">
        <f aca="false">$B$4-41*($B$5+$B$6)/30-IF($B$11&lt;=41,$B$12,0)+L788+M788</f>
        <v>988.487078896566</v>
      </c>
      <c r="U788" s="14" t="n">
        <f aca="false">$B$4-55*($B$5+$B$6)/30-IF($B$11&lt;=55,$B$12,0)+L788+M788+N788</f>
        <v>2727.26136718696</v>
      </c>
      <c r="V788" s="14" t="n">
        <f aca="false">$B$4-69*($B$5+$B$6)/30-IF($B$11&lt;=69,$B$12,0)+L788+M788+N788+O788</f>
        <v>4494.62664774548</v>
      </c>
      <c r="W788" s="14" t="n">
        <f aca="false">$B$4-83*($B$5+$B$6)/30-IF($B$11&lt;=83,$B$12,0)+L788+M788+N788+O788+P788</f>
        <v>5850.29961714633</v>
      </c>
      <c r="X788" s="14" t="n">
        <f aca="false">$B$4-90*($B$5+$B$6)/30-IF($B$11&lt;=90,$B$12,0)+L788+M788+N788+O788+P788+Q788</f>
        <v>8991.95539301746</v>
      </c>
      <c r="AA788" s="14" t="n">
        <f aca="false">MIN(R788:X788)</f>
        <v>988.487078896566</v>
      </c>
    </row>
    <row r="789" customFormat="false" ht="15" hidden="false" customHeight="false" outlineLevel="0" collapsed="false">
      <c r="K789" s="2" t="n">
        <v>784</v>
      </c>
      <c r="L789" s="14" t="n">
        <f aca="true">$B$16+NORMINV(RAND(),0,SQRT($B$13*($B$7+$B$8^2))*$B$9*(1-$B$10))</f>
        <v>4445.74056078315</v>
      </c>
      <c r="M789" s="14" t="n">
        <f aca="true">$B$16+NORMINV(RAND(),0,SQRT($B$13*($B$7+$B$8^2))*$B$9*(1-$B$10))</f>
        <v>3653.39082553509</v>
      </c>
      <c r="N789" s="14" t="n">
        <f aca="true">$B$16+NORMINV(RAND(),0,SQRT($B$13*($B$7+$B$8^2))*$B$9*(1-$B$10))</f>
        <v>3907.17943073551</v>
      </c>
      <c r="O789" s="14" t="n">
        <f aca="true">$B$16+NORMINV(RAND(),0,SQRT($B$13*($B$7+$B$8^2))*$B$9*(1-$B$10))</f>
        <v>4359.6779497772</v>
      </c>
      <c r="P789" s="14" t="n">
        <f aca="true">$B$16+NORMINV(RAND(),0,SQRT($B$13*($B$7+$B$8^2))*$B$9*(1-$B$10))</f>
        <v>3891.78339768766</v>
      </c>
      <c r="Q789" s="14" t="n">
        <f aca="true">$B$16+NORMINV(RAND(),0,SQRT($B$13*($B$7+$B$8^2))*$B$9*(1-$B$10))</f>
        <v>4267.5547926543</v>
      </c>
      <c r="R789" s="14" t="n">
        <f aca="false">$B$4-13*($B$5+$B$6)/30-IF($B$11&lt;=13,$B$12,0)+0</f>
        <v>8876.66666666667</v>
      </c>
      <c r="S789" s="14" t="n">
        <f aca="false">$B$4-27*($B$5+$B$6)/30-IF($B$11&lt;=27,$B$12,0)+L789</f>
        <v>11035.7405607831</v>
      </c>
      <c r="T789" s="14" t="n">
        <f aca="false">$B$4-41*($B$5+$B$6)/30-IF($B$11&lt;=41,$B$12,0)+L789+M789</f>
        <v>1217.66471965157</v>
      </c>
      <c r="U789" s="14" t="n">
        <f aca="false">$B$4-55*($B$5+$B$6)/30-IF($B$11&lt;=55,$B$12,0)+L789+M789+N789</f>
        <v>2838.17748372042</v>
      </c>
      <c r="V789" s="14" t="n">
        <f aca="false">$B$4-69*($B$5+$B$6)/30-IF($B$11&lt;=69,$B$12,0)+L789+M789+N789+O789</f>
        <v>4911.18876683095</v>
      </c>
      <c r="W789" s="14" t="n">
        <f aca="false">$B$4-83*($B$5+$B$6)/30-IF($B$11&lt;=83,$B$12,0)+L789+M789+N789+O789+P789</f>
        <v>6516.30549785195</v>
      </c>
      <c r="X789" s="14" t="n">
        <f aca="false">$B$4-90*($B$5+$B$6)/30-IF($B$11&lt;=90,$B$12,0)+L789+M789+N789+O789+P789+Q789</f>
        <v>9640.52695717292</v>
      </c>
      <c r="AA789" s="14" t="n">
        <f aca="false">MIN(R789:X789)</f>
        <v>1217.66471965157</v>
      </c>
    </row>
    <row r="790" customFormat="false" ht="15" hidden="false" customHeight="false" outlineLevel="0" collapsed="false">
      <c r="K790" s="2" t="n">
        <v>785</v>
      </c>
      <c r="L790" s="14" t="n">
        <f aca="true">$B$16+NORMINV(RAND(),0,SQRT($B$13*($B$7+$B$8^2))*$B$9*(1-$B$10))</f>
        <v>4243.83506069775</v>
      </c>
      <c r="M790" s="14" t="n">
        <f aca="true">$B$16+NORMINV(RAND(),0,SQRT($B$13*($B$7+$B$8^2))*$B$9*(1-$B$10))</f>
        <v>4218.46942618172</v>
      </c>
      <c r="N790" s="14" t="n">
        <f aca="true">$B$16+NORMINV(RAND(),0,SQRT($B$13*($B$7+$B$8^2))*$B$9*(1-$B$10))</f>
        <v>3854.92131254102</v>
      </c>
      <c r="O790" s="14" t="n">
        <f aca="true">$B$16+NORMINV(RAND(),0,SQRT($B$13*($B$7+$B$8^2))*$B$9*(1-$B$10))</f>
        <v>4181.48243774626</v>
      </c>
      <c r="P790" s="14" t="n">
        <f aca="true">$B$16+NORMINV(RAND(),0,SQRT($B$13*($B$7+$B$8^2))*$B$9*(1-$B$10))</f>
        <v>4404.67445661373</v>
      </c>
      <c r="Q790" s="14" t="n">
        <f aca="true">$B$16+NORMINV(RAND(),0,SQRT($B$13*($B$7+$B$8^2))*$B$9*(1-$B$10))</f>
        <v>3752.9619057592</v>
      </c>
      <c r="R790" s="14" t="n">
        <f aca="false">$B$4-13*($B$5+$B$6)/30-IF($B$11&lt;=13,$B$12,0)+0</f>
        <v>8876.66666666667</v>
      </c>
      <c r="S790" s="14" t="n">
        <f aca="false">$B$4-27*($B$5+$B$6)/30-IF($B$11&lt;=27,$B$12,0)+L790</f>
        <v>10833.8350606978</v>
      </c>
      <c r="T790" s="14" t="n">
        <f aca="false">$B$4-41*($B$5+$B$6)/30-IF($B$11&lt;=41,$B$12,0)+L790+M790</f>
        <v>1580.8378202128</v>
      </c>
      <c r="U790" s="14" t="n">
        <f aca="false">$B$4-55*($B$5+$B$6)/30-IF($B$11&lt;=55,$B$12,0)+L790+M790+N790</f>
        <v>3149.09246608715</v>
      </c>
      <c r="V790" s="14" t="n">
        <f aca="false">$B$4-69*($B$5+$B$6)/30-IF($B$11&lt;=69,$B$12,0)+L790+M790+N790+O790</f>
        <v>5043.90823716675</v>
      </c>
      <c r="W790" s="14" t="n">
        <f aca="false">$B$4-83*($B$5+$B$6)/30-IF($B$11&lt;=83,$B$12,0)+L790+M790+N790+O790+P790</f>
        <v>7161.91602711382</v>
      </c>
      <c r="X790" s="14" t="n">
        <f aca="false">$B$4-90*($B$5+$B$6)/30-IF($B$11&lt;=90,$B$12,0)+L790+M790+N790+O790+P790+Q790</f>
        <v>9771.54459953968</v>
      </c>
      <c r="AA790" s="14" t="n">
        <f aca="false">MIN(R790:X790)</f>
        <v>1580.8378202128</v>
      </c>
    </row>
    <row r="791" customFormat="false" ht="15" hidden="false" customHeight="false" outlineLevel="0" collapsed="false">
      <c r="K791" s="2" t="n">
        <v>786</v>
      </c>
      <c r="L791" s="14" t="n">
        <f aca="true">$B$16+NORMINV(RAND(),0,SQRT($B$13*($B$7+$B$8^2))*$B$9*(1-$B$10))</f>
        <v>3701.20024929477</v>
      </c>
      <c r="M791" s="14" t="n">
        <f aca="true">$B$16+NORMINV(RAND(),0,SQRT($B$13*($B$7+$B$8^2))*$B$9*(1-$B$10))</f>
        <v>4167.25104015037</v>
      </c>
      <c r="N791" s="14" t="n">
        <f aca="true">$B$16+NORMINV(RAND(),0,SQRT($B$13*($B$7+$B$8^2))*$B$9*(1-$B$10))</f>
        <v>3927.12070471091</v>
      </c>
      <c r="O791" s="14" t="n">
        <f aca="true">$B$16+NORMINV(RAND(),0,SQRT($B$13*($B$7+$B$8^2))*$B$9*(1-$B$10))</f>
        <v>3896.4195082582</v>
      </c>
      <c r="P791" s="14" t="n">
        <f aca="true">$B$16+NORMINV(RAND(),0,SQRT($B$13*($B$7+$B$8^2))*$B$9*(1-$B$10))</f>
        <v>3717.9584859454</v>
      </c>
      <c r="Q791" s="14" t="n">
        <f aca="true">$B$16+NORMINV(RAND(),0,SQRT($B$13*($B$7+$B$8^2))*$B$9*(1-$B$10))</f>
        <v>4169.55458843668</v>
      </c>
      <c r="R791" s="14" t="n">
        <f aca="false">$B$4-13*($B$5+$B$6)/30-IF($B$11&lt;=13,$B$12,0)+0</f>
        <v>8876.66666666667</v>
      </c>
      <c r="S791" s="14" t="n">
        <f aca="false">$B$4-27*($B$5+$B$6)/30-IF($B$11&lt;=27,$B$12,0)+L791</f>
        <v>10291.2002492948</v>
      </c>
      <c r="T791" s="14" t="n">
        <f aca="false">$B$4-41*($B$5+$B$6)/30-IF($B$11&lt;=41,$B$12,0)+L791+M791</f>
        <v>986.984622778472</v>
      </c>
      <c r="U791" s="14" t="n">
        <f aca="false">$B$4-55*($B$5+$B$6)/30-IF($B$11&lt;=55,$B$12,0)+L791+M791+N791</f>
        <v>2627.43866082271</v>
      </c>
      <c r="V791" s="14" t="n">
        <f aca="false">$B$4-69*($B$5+$B$6)/30-IF($B$11&lt;=69,$B$12,0)+L791+M791+N791+O791</f>
        <v>4237.19150241424</v>
      </c>
      <c r="W791" s="14" t="n">
        <f aca="false">$B$4-83*($B$5+$B$6)/30-IF($B$11&lt;=83,$B$12,0)+L791+M791+N791+O791+P791</f>
        <v>5668.48332169298</v>
      </c>
      <c r="X791" s="14" t="n">
        <f aca="false">$B$4-90*($B$5+$B$6)/30-IF($B$11&lt;=90,$B$12,0)+L791+M791+N791+O791+P791+Q791</f>
        <v>8694.70457679633</v>
      </c>
      <c r="AA791" s="14" t="n">
        <f aca="false">MIN(R791:X791)</f>
        <v>986.984622778472</v>
      </c>
    </row>
    <row r="792" customFormat="false" ht="15" hidden="false" customHeight="false" outlineLevel="0" collapsed="false">
      <c r="K792" s="2" t="n">
        <v>787</v>
      </c>
      <c r="L792" s="14" t="n">
        <f aca="true">$B$16+NORMINV(RAND(),0,SQRT($B$13*($B$7+$B$8^2))*$B$9*(1-$B$10))</f>
        <v>4130.08810995554</v>
      </c>
      <c r="M792" s="14" t="n">
        <f aca="true">$B$16+NORMINV(RAND(),0,SQRT($B$13*($B$7+$B$8^2))*$B$9*(1-$B$10))</f>
        <v>3581.55641556381</v>
      </c>
      <c r="N792" s="14" t="n">
        <f aca="true">$B$16+NORMINV(RAND(),0,SQRT($B$13*($B$7+$B$8^2))*$B$9*(1-$B$10))</f>
        <v>3693.03738654096</v>
      </c>
      <c r="O792" s="14" t="n">
        <f aca="true">$B$16+NORMINV(RAND(),0,SQRT($B$13*($B$7+$B$8^2))*$B$9*(1-$B$10))</f>
        <v>4046.25053093214</v>
      </c>
      <c r="P792" s="14" t="n">
        <f aca="true">$B$16+NORMINV(RAND(),0,SQRT($B$13*($B$7+$B$8^2))*$B$9*(1-$B$10))</f>
        <v>4288.36615680717</v>
      </c>
      <c r="Q792" s="14" t="n">
        <f aca="true">$B$16+NORMINV(RAND(),0,SQRT($B$13*($B$7+$B$8^2))*$B$9*(1-$B$10))</f>
        <v>3650.70456052962</v>
      </c>
      <c r="R792" s="14" t="n">
        <f aca="false">$B$4-13*($B$5+$B$6)/30-IF($B$11&lt;=13,$B$12,0)+0</f>
        <v>8876.66666666667</v>
      </c>
      <c r="S792" s="14" t="n">
        <f aca="false">$B$4-27*($B$5+$B$6)/30-IF($B$11&lt;=27,$B$12,0)+L792</f>
        <v>10720.0881099555</v>
      </c>
      <c r="T792" s="14" t="n">
        <f aca="false">$B$4-41*($B$5+$B$6)/30-IF($B$11&lt;=41,$B$12,0)+L792+M792</f>
        <v>830.17785885268</v>
      </c>
      <c r="U792" s="14" t="n">
        <f aca="false">$B$4-55*($B$5+$B$6)/30-IF($B$11&lt;=55,$B$12,0)+L792+M792+N792</f>
        <v>2236.54857872697</v>
      </c>
      <c r="V792" s="14" t="n">
        <f aca="false">$B$4-69*($B$5+$B$6)/30-IF($B$11&lt;=69,$B$12,0)+L792+M792+N792+O792</f>
        <v>3996.13244299244</v>
      </c>
      <c r="W792" s="14" t="n">
        <f aca="false">$B$4-83*($B$5+$B$6)/30-IF($B$11&lt;=83,$B$12,0)+L792+M792+N792+O792+P792</f>
        <v>5997.83193313294</v>
      </c>
      <c r="X792" s="14" t="n">
        <f aca="false">$B$4-90*($B$5+$B$6)/30-IF($B$11&lt;=90,$B$12,0)+L792+M792+N792+O792+P792+Q792</f>
        <v>8505.20316032923</v>
      </c>
      <c r="AA792" s="14" t="n">
        <f aca="false">MIN(R792:X792)</f>
        <v>830.17785885268</v>
      </c>
    </row>
    <row r="793" customFormat="false" ht="15" hidden="false" customHeight="false" outlineLevel="0" collapsed="false">
      <c r="K793" s="2" t="n">
        <v>788</v>
      </c>
      <c r="L793" s="14" t="n">
        <f aca="true">$B$16+NORMINV(RAND(),0,SQRT($B$13*($B$7+$B$8^2))*$B$9*(1-$B$10))</f>
        <v>4046.68942597986</v>
      </c>
      <c r="M793" s="14" t="n">
        <f aca="true">$B$16+NORMINV(RAND(),0,SQRT($B$13*($B$7+$B$8^2))*$B$9*(1-$B$10))</f>
        <v>3580.00578764244</v>
      </c>
      <c r="N793" s="14" t="n">
        <f aca="true">$B$16+NORMINV(RAND(),0,SQRT($B$13*($B$7+$B$8^2))*$B$9*(1-$B$10))</f>
        <v>3640.65900600008</v>
      </c>
      <c r="O793" s="14" t="n">
        <f aca="true">$B$16+NORMINV(RAND(),0,SQRT($B$13*($B$7+$B$8^2))*$B$9*(1-$B$10))</f>
        <v>3420.32565773653</v>
      </c>
      <c r="P793" s="14" t="n">
        <f aca="true">$B$16+NORMINV(RAND(),0,SQRT($B$13*($B$7+$B$8^2))*$B$9*(1-$B$10))</f>
        <v>3989.49876978407</v>
      </c>
      <c r="Q793" s="14" t="n">
        <f aca="true">$B$16+NORMINV(RAND(),0,SQRT($B$13*($B$7+$B$8^2))*$B$9*(1-$B$10))</f>
        <v>4866.6926071693</v>
      </c>
      <c r="R793" s="14" t="n">
        <f aca="false">$B$4-13*($B$5+$B$6)/30-IF($B$11&lt;=13,$B$12,0)+0</f>
        <v>8876.66666666667</v>
      </c>
      <c r="S793" s="14" t="n">
        <f aca="false">$B$4-27*($B$5+$B$6)/30-IF($B$11&lt;=27,$B$12,0)+L793</f>
        <v>10636.6894259799</v>
      </c>
      <c r="T793" s="14" t="n">
        <f aca="false">$B$4-41*($B$5+$B$6)/30-IF($B$11&lt;=41,$B$12,0)+L793+M793</f>
        <v>745.228546955627</v>
      </c>
      <c r="U793" s="14" t="n">
        <f aca="false">$B$4-55*($B$5+$B$6)/30-IF($B$11&lt;=55,$B$12,0)+L793+M793+N793</f>
        <v>2099.22088628904</v>
      </c>
      <c r="V793" s="14" t="n">
        <f aca="false">$B$4-69*($B$5+$B$6)/30-IF($B$11&lt;=69,$B$12,0)+L793+M793+N793+O793</f>
        <v>3232.8798773589</v>
      </c>
      <c r="W793" s="14" t="n">
        <f aca="false">$B$4-83*($B$5+$B$6)/30-IF($B$11&lt;=83,$B$12,0)+L793+M793+N793+O793+P793</f>
        <v>4935.71198047631</v>
      </c>
      <c r="X793" s="14" t="n">
        <f aca="false">$B$4-90*($B$5+$B$6)/30-IF($B$11&lt;=90,$B$12,0)+L793+M793+N793+O793+P793+Q793</f>
        <v>8659.07125431227</v>
      </c>
      <c r="AA793" s="14" t="n">
        <f aca="false">MIN(R793:X793)</f>
        <v>745.228546955627</v>
      </c>
    </row>
    <row r="794" customFormat="false" ht="15" hidden="false" customHeight="false" outlineLevel="0" collapsed="false">
      <c r="K794" s="2" t="n">
        <v>789</v>
      </c>
      <c r="L794" s="14" t="n">
        <f aca="true">$B$16+NORMINV(RAND(),0,SQRT($B$13*($B$7+$B$8^2))*$B$9*(1-$B$10))</f>
        <v>3863.8962380306</v>
      </c>
      <c r="M794" s="14" t="n">
        <f aca="true">$B$16+NORMINV(RAND(),0,SQRT($B$13*($B$7+$B$8^2))*$B$9*(1-$B$10))</f>
        <v>3827.43144291219</v>
      </c>
      <c r="N794" s="14" t="n">
        <f aca="true">$B$16+NORMINV(RAND(),0,SQRT($B$13*($B$7+$B$8^2))*$B$9*(1-$B$10))</f>
        <v>3958.72717833353</v>
      </c>
      <c r="O794" s="14" t="n">
        <f aca="true">$B$16+NORMINV(RAND(),0,SQRT($B$13*($B$7+$B$8^2))*$B$9*(1-$B$10))</f>
        <v>4472.79878807983</v>
      </c>
      <c r="P794" s="14" t="n">
        <f aca="true">$B$16+NORMINV(RAND(),0,SQRT($B$13*($B$7+$B$8^2))*$B$9*(1-$B$10))</f>
        <v>4048.5245975491</v>
      </c>
      <c r="Q794" s="14" t="n">
        <f aca="true">$B$16+NORMINV(RAND(),0,SQRT($B$13*($B$7+$B$8^2))*$B$9*(1-$B$10))</f>
        <v>3754.04556312668</v>
      </c>
      <c r="R794" s="14" t="n">
        <f aca="false">$B$4-13*($B$5+$B$6)/30-IF($B$11&lt;=13,$B$12,0)+0</f>
        <v>8876.66666666667</v>
      </c>
      <c r="S794" s="14" t="n">
        <f aca="false">$B$4-27*($B$5+$B$6)/30-IF($B$11&lt;=27,$B$12,0)+L794</f>
        <v>10453.8962380306</v>
      </c>
      <c r="T794" s="14" t="n">
        <f aca="false">$B$4-41*($B$5+$B$6)/30-IF($B$11&lt;=41,$B$12,0)+L794+M794</f>
        <v>809.861014276115</v>
      </c>
      <c r="U794" s="14" t="n">
        <f aca="false">$B$4-55*($B$5+$B$6)/30-IF($B$11&lt;=55,$B$12,0)+L794+M794+N794</f>
        <v>2481.92152594298</v>
      </c>
      <c r="V794" s="14" t="n">
        <f aca="false">$B$4-69*($B$5+$B$6)/30-IF($B$11&lt;=69,$B$12,0)+L794+M794+N794+O794</f>
        <v>4668.05364735614</v>
      </c>
      <c r="W794" s="14" t="n">
        <f aca="false">$B$4-83*($B$5+$B$6)/30-IF($B$11&lt;=83,$B$12,0)+L794+M794+N794+O794+P794</f>
        <v>6429.91157823858</v>
      </c>
      <c r="X794" s="14" t="n">
        <f aca="false">$B$4-90*($B$5+$B$6)/30-IF($B$11&lt;=90,$B$12,0)+L794+M794+N794+O794+P794+Q794</f>
        <v>9040.62380803192</v>
      </c>
      <c r="AA794" s="14" t="n">
        <f aca="false">MIN(R794:X794)</f>
        <v>809.861014276115</v>
      </c>
    </row>
    <row r="795" customFormat="false" ht="15" hidden="false" customHeight="false" outlineLevel="0" collapsed="false">
      <c r="K795" s="2" t="n">
        <v>790</v>
      </c>
      <c r="L795" s="14" t="n">
        <f aca="true">$B$16+NORMINV(RAND(),0,SQRT($B$13*($B$7+$B$8^2))*$B$9*(1-$B$10))</f>
        <v>3824.98871490196</v>
      </c>
      <c r="M795" s="14" t="n">
        <f aca="true">$B$16+NORMINV(RAND(),0,SQRT($B$13*($B$7+$B$8^2))*$B$9*(1-$B$10))</f>
        <v>4163.85645261721</v>
      </c>
      <c r="N795" s="14" t="n">
        <f aca="true">$B$16+NORMINV(RAND(),0,SQRT($B$13*($B$7+$B$8^2))*$B$9*(1-$B$10))</f>
        <v>3485.71662615541</v>
      </c>
      <c r="O795" s="14" t="n">
        <f aca="true">$B$16+NORMINV(RAND(),0,SQRT($B$13*($B$7+$B$8^2))*$B$9*(1-$B$10))</f>
        <v>4211.82012212014</v>
      </c>
      <c r="P795" s="14" t="n">
        <f aca="true">$B$16+NORMINV(RAND(),0,SQRT($B$13*($B$7+$B$8^2))*$B$9*(1-$B$10))</f>
        <v>4321.8998834903</v>
      </c>
      <c r="Q795" s="14" t="n">
        <f aca="true">$B$16+NORMINV(RAND(),0,SQRT($B$13*($B$7+$B$8^2))*$B$9*(1-$B$10))</f>
        <v>3888.22297598475</v>
      </c>
      <c r="R795" s="14" t="n">
        <f aca="false">$B$4-13*($B$5+$B$6)/30-IF($B$11&lt;=13,$B$12,0)+0</f>
        <v>8876.66666666667</v>
      </c>
      <c r="S795" s="14" t="n">
        <f aca="false">$B$4-27*($B$5+$B$6)/30-IF($B$11&lt;=27,$B$12,0)+L795</f>
        <v>10414.988714902</v>
      </c>
      <c r="T795" s="14" t="n">
        <f aca="false">$B$4-41*($B$5+$B$6)/30-IF($B$11&lt;=41,$B$12,0)+L795+M795</f>
        <v>1107.37850085251</v>
      </c>
      <c r="U795" s="14" t="n">
        <f aca="false">$B$4-55*($B$5+$B$6)/30-IF($B$11&lt;=55,$B$12,0)+L795+M795+N795</f>
        <v>2306.42846034125</v>
      </c>
      <c r="V795" s="14" t="n">
        <f aca="false">$B$4-69*($B$5+$B$6)/30-IF($B$11&lt;=69,$B$12,0)+L795+M795+N795+O795</f>
        <v>4231.58191579472</v>
      </c>
      <c r="W795" s="14" t="n">
        <f aca="false">$B$4-83*($B$5+$B$6)/30-IF($B$11&lt;=83,$B$12,0)+L795+M795+N795+O795+P795</f>
        <v>6266.81513261835</v>
      </c>
      <c r="X795" s="14" t="n">
        <f aca="false">$B$4-90*($B$5+$B$6)/30-IF($B$11&lt;=90,$B$12,0)+L795+M795+N795+O795+P795+Q795</f>
        <v>9011.70477526977</v>
      </c>
      <c r="AA795" s="14" t="n">
        <f aca="false">MIN(R795:X795)</f>
        <v>1107.37850085251</v>
      </c>
    </row>
    <row r="796" customFormat="false" ht="15" hidden="false" customHeight="false" outlineLevel="0" collapsed="false">
      <c r="K796" s="2" t="n">
        <v>791</v>
      </c>
      <c r="L796" s="14" t="n">
        <f aca="true">$B$16+NORMINV(RAND(),0,SQRT($B$13*($B$7+$B$8^2))*$B$9*(1-$B$10))</f>
        <v>3852.36562347658</v>
      </c>
      <c r="M796" s="14" t="n">
        <f aca="true">$B$16+NORMINV(RAND(),0,SQRT($B$13*($B$7+$B$8^2))*$B$9*(1-$B$10))</f>
        <v>4074.16975069519</v>
      </c>
      <c r="N796" s="14" t="n">
        <f aca="true">$B$16+NORMINV(RAND(),0,SQRT($B$13*($B$7+$B$8^2))*$B$9*(1-$B$10))</f>
        <v>4352.66318605117</v>
      </c>
      <c r="O796" s="14" t="n">
        <f aca="true">$B$16+NORMINV(RAND(),0,SQRT($B$13*($B$7+$B$8^2))*$B$9*(1-$B$10))</f>
        <v>4413.78612597568</v>
      </c>
      <c r="P796" s="14" t="n">
        <f aca="true">$B$16+NORMINV(RAND(),0,SQRT($B$13*($B$7+$B$8^2))*$B$9*(1-$B$10))</f>
        <v>3513.52881540142</v>
      </c>
      <c r="Q796" s="14" t="n">
        <f aca="true">$B$16+NORMINV(RAND(),0,SQRT($B$13*($B$7+$B$8^2))*$B$9*(1-$B$10))</f>
        <v>3805.56102874904</v>
      </c>
      <c r="R796" s="14" t="n">
        <f aca="false">$B$4-13*($B$5+$B$6)/30-IF($B$11&lt;=13,$B$12,0)+0</f>
        <v>8876.66666666667</v>
      </c>
      <c r="S796" s="14" t="n">
        <f aca="false">$B$4-27*($B$5+$B$6)/30-IF($B$11&lt;=27,$B$12,0)+L796</f>
        <v>10442.3656234766</v>
      </c>
      <c r="T796" s="14" t="n">
        <f aca="false">$B$4-41*($B$5+$B$6)/30-IF($B$11&lt;=41,$B$12,0)+L796+M796</f>
        <v>1045.0687075051</v>
      </c>
      <c r="U796" s="14" t="n">
        <f aca="false">$B$4-55*($B$5+$B$6)/30-IF($B$11&lt;=55,$B$12,0)+L796+M796+N796</f>
        <v>3111.0652268896</v>
      </c>
      <c r="V796" s="14" t="n">
        <f aca="false">$B$4-69*($B$5+$B$6)/30-IF($B$11&lt;=69,$B$12,0)+L796+M796+N796+O796</f>
        <v>5238.18468619861</v>
      </c>
      <c r="W796" s="14" t="n">
        <f aca="false">$B$4-83*($B$5+$B$6)/30-IF($B$11&lt;=83,$B$12,0)+L796+M796+N796+O796+P796</f>
        <v>6465.04683493337</v>
      </c>
      <c r="X796" s="14" t="n">
        <f aca="false">$B$4-90*($B$5+$B$6)/30-IF($B$11&lt;=90,$B$12,0)+L796+M796+N796+O796+P796+Q796</f>
        <v>9127.27453034907</v>
      </c>
      <c r="AA796" s="14" t="n">
        <f aca="false">MIN(R796:X796)</f>
        <v>1045.0687075051</v>
      </c>
    </row>
    <row r="797" customFormat="false" ht="15" hidden="false" customHeight="false" outlineLevel="0" collapsed="false">
      <c r="K797" s="2" t="n">
        <v>792</v>
      </c>
      <c r="L797" s="14" t="n">
        <f aca="true">$B$16+NORMINV(RAND(),0,SQRT($B$13*($B$7+$B$8^2))*$B$9*(1-$B$10))</f>
        <v>3640.92675747978</v>
      </c>
      <c r="M797" s="14" t="n">
        <f aca="true">$B$16+NORMINV(RAND(),0,SQRT($B$13*($B$7+$B$8^2))*$B$9*(1-$B$10))</f>
        <v>3666.54473959278</v>
      </c>
      <c r="N797" s="14" t="n">
        <f aca="true">$B$16+NORMINV(RAND(),0,SQRT($B$13*($B$7+$B$8^2))*$B$9*(1-$B$10))</f>
        <v>4678.83303203282</v>
      </c>
      <c r="O797" s="14" t="n">
        <f aca="true">$B$16+NORMINV(RAND(),0,SQRT($B$13*($B$7+$B$8^2))*$B$9*(1-$B$10))</f>
        <v>4510.14119282145</v>
      </c>
      <c r="P797" s="14" t="n">
        <f aca="true">$B$16+NORMINV(RAND(),0,SQRT($B$13*($B$7+$B$8^2))*$B$9*(1-$B$10))</f>
        <v>3477.75821548282</v>
      </c>
      <c r="Q797" s="14" t="n">
        <f aca="true">$B$16+NORMINV(RAND(),0,SQRT($B$13*($B$7+$B$8^2))*$B$9*(1-$B$10))</f>
        <v>4297.91625113581</v>
      </c>
      <c r="R797" s="14" t="n">
        <f aca="false">$B$4-13*($B$5+$B$6)/30-IF($B$11&lt;=13,$B$12,0)+0</f>
        <v>8876.66666666667</v>
      </c>
      <c r="S797" s="14" t="n">
        <f aca="false">$B$4-27*($B$5+$B$6)/30-IF($B$11&lt;=27,$B$12,0)+L797</f>
        <v>10230.9267574798</v>
      </c>
      <c r="T797" s="14" t="n">
        <f aca="false">$B$4-41*($B$5+$B$6)/30-IF($B$11&lt;=41,$B$12,0)+L797+M797</f>
        <v>426.004830405889</v>
      </c>
      <c r="U797" s="14" t="n">
        <f aca="false">$B$4-55*($B$5+$B$6)/30-IF($B$11&lt;=55,$B$12,0)+L797+M797+N797</f>
        <v>2818.17119577204</v>
      </c>
      <c r="V797" s="14" t="n">
        <f aca="false">$B$4-69*($B$5+$B$6)/30-IF($B$11&lt;=69,$B$12,0)+L797+M797+N797+O797</f>
        <v>5041.64572192682</v>
      </c>
      <c r="W797" s="14" t="n">
        <f aca="false">$B$4-83*($B$5+$B$6)/30-IF($B$11&lt;=83,$B$12,0)+L797+M797+N797+O797+P797</f>
        <v>6232.73727074298</v>
      </c>
      <c r="X797" s="14" t="n">
        <f aca="false">$B$4-90*($B$5+$B$6)/30-IF($B$11&lt;=90,$B$12,0)+L797+M797+N797+O797+P797+Q797</f>
        <v>9387.32018854545</v>
      </c>
      <c r="AA797" s="14" t="n">
        <f aca="false">MIN(R797:X797)</f>
        <v>426.004830405889</v>
      </c>
    </row>
    <row r="798" customFormat="false" ht="15" hidden="false" customHeight="false" outlineLevel="0" collapsed="false">
      <c r="K798" s="2" t="n">
        <v>793</v>
      </c>
      <c r="L798" s="14" t="n">
        <f aca="true">$B$16+NORMINV(RAND(),0,SQRT($B$13*($B$7+$B$8^2))*$B$9*(1-$B$10))</f>
        <v>3309.52513957962</v>
      </c>
      <c r="M798" s="14" t="n">
        <f aca="true">$B$16+NORMINV(RAND(),0,SQRT($B$13*($B$7+$B$8^2))*$B$9*(1-$B$10))</f>
        <v>3809.04904666824</v>
      </c>
      <c r="N798" s="14" t="n">
        <f aca="true">$B$16+NORMINV(RAND(),0,SQRT($B$13*($B$7+$B$8^2))*$B$9*(1-$B$10))</f>
        <v>3993.76681659862</v>
      </c>
      <c r="O798" s="14" t="n">
        <f aca="true">$B$16+NORMINV(RAND(),0,SQRT($B$13*($B$7+$B$8^2))*$B$9*(1-$B$10))</f>
        <v>4733.46816127994</v>
      </c>
      <c r="P798" s="14" t="n">
        <f aca="true">$B$16+NORMINV(RAND(),0,SQRT($B$13*($B$7+$B$8^2))*$B$9*(1-$B$10))</f>
        <v>4462.7877459725</v>
      </c>
      <c r="Q798" s="14" t="n">
        <f aca="true">$B$16+NORMINV(RAND(),0,SQRT($B$13*($B$7+$B$8^2))*$B$9*(1-$B$10))</f>
        <v>3920.50217761434</v>
      </c>
      <c r="R798" s="14" t="n">
        <f aca="false">$B$4-13*($B$5+$B$6)/30-IF($B$11&lt;=13,$B$12,0)+0</f>
        <v>8876.66666666667</v>
      </c>
      <c r="S798" s="14" t="n">
        <f aca="false">$B$4-27*($B$5+$B$6)/30-IF($B$11&lt;=27,$B$12,0)+L798</f>
        <v>9899.52513957962</v>
      </c>
      <c r="T798" s="14" t="n">
        <f aca="false">$B$4-41*($B$5+$B$6)/30-IF($B$11&lt;=41,$B$12,0)+L798+M798</f>
        <v>237.107519581197</v>
      </c>
      <c r="U798" s="14" t="n">
        <f aca="false">$B$4-55*($B$5+$B$6)/30-IF($B$11&lt;=55,$B$12,0)+L798+M798+N798</f>
        <v>1944.20766951315</v>
      </c>
      <c r="V798" s="14" t="n">
        <f aca="false">$B$4-69*($B$5+$B$6)/30-IF($B$11&lt;=69,$B$12,0)+L798+M798+N798+O798</f>
        <v>4391.00916412641</v>
      </c>
      <c r="W798" s="14" t="n">
        <f aca="false">$B$4-83*($B$5+$B$6)/30-IF($B$11&lt;=83,$B$12,0)+L798+M798+N798+O798+P798</f>
        <v>6567.13024343225</v>
      </c>
      <c r="X798" s="14" t="n">
        <f aca="false">$B$4-90*($B$5+$B$6)/30-IF($B$11&lt;=90,$B$12,0)+L798+M798+N798+O798+P798+Q798</f>
        <v>9344.29908771325</v>
      </c>
      <c r="AA798" s="14" t="n">
        <f aca="false">MIN(R798:X798)</f>
        <v>237.107519581197</v>
      </c>
    </row>
    <row r="799" customFormat="false" ht="15" hidden="false" customHeight="false" outlineLevel="0" collapsed="false">
      <c r="K799" s="2" t="n">
        <v>794</v>
      </c>
      <c r="L799" s="14" t="n">
        <f aca="true">$B$16+NORMINV(RAND(),0,SQRT($B$13*($B$7+$B$8^2))*$B$9*(1-$B$10))</f>
        <v>4293.2514499123</v>
      </c>
      <c r="M799" s="14" t="n">
        <f aca="true">$B$16+NORMINV(RAND(),0,SQRT($B$13*($B$7+$B$8^2))*$B$9*(1-$B$10))</f>
        <v>4537.14938087836</v>
      </c>
      <c r="N799" s="14" t="n">
        <f aca="true">$B$16+NORMINV(RAND(),0,SQRT($B$13*($B$7+$B$8^2))*$B$9*(1-$B$10))</f>
        <v>4049.10600863797</v>
      </c>
      <c r="O799" s="14" t="n">
        <f aca="true">$B$16+NORMINV(RAND(),0,SQRT($B$13*($B$7+$B$8^2))*$B$9*(1-$B$10))</f>
        <v>4287.63369688492</v>
      </c>
      <c r="P799" s="14" t="n">
        <f aca="true">$B$16+NORMINV(RAND(),0,SQRT($B$13*($B$7+$B$8^2))*$B$9*(1-$B$10))</f>
        <v>3961.68528795998</v>
      </c>
      <c r="Q799" s="14" t="n">
        <f aca="true">$B$16+NORMINV(RAND(),0,SQRT($B$13*($B$7+$B$8^2))*$B$9*(1-$B$10))</f>
        <v>4607.06516637376</v>
      </c>
      <c r="R799" s="14" t="n">
        <f aca="false">$B$4-13*($B$5+$B$6)/30-IF($B$11&lt;=13,$B$12,0)+0</f>
        <v>8876.66666666667</v>
      </c>
      <c r="S799" s="14" t="n">
        <f aca="false">$B$4-27*($B$5+$B$6)/30-IF($B$11&lt;=27,$B$12,0)+L799</f>
        <v>10883.2514499123</v>
      </c>
      <c r="T799" s="14" t="n">
        <f aca="false">$B$4-41*($B$5+$B$6)/30-IF($B$11&lt;=41,$B$12,0)+L799+M799</f>
        <v>1948.93416412399</v>
      </c>
      <c r="U799" s="14" t="n">
        <f aca="false">$B$4-55*($B$5+$B$6)/30-IF($B$11&lt;=55,$B$12,0)+L799+M799+N799</f>
        <v>3711.3735060953</v>
      </c>
      <c r="V799" s="14" t="n">
        <f aca="false">$B$4-69*($B$5+$B$6)/30-IF($B$11&lt;=69,$B$12,0)+L799+M799+N799+O799</f>
        <v>5712.34053631355</v>
      </c>
      <c r="W799" s="14" t="n">
        <f aca="false">$B$4-83*($B$5+$B$6)/30-IF($B$11&lt;=83,$B$12,0)+L799+M799+N799+O799+P799</f>
        <v>7387.35915760687</v>
      </c>
      <c r="X799" s="14" t="n">
        <f aca="false">$B$4-90*($B$5+$B$6)/30-IF($B$11&lt;=90,$B$12,0)+L799+M799+N799+O799+P799+Q799</f>
        <v>10851.0909906473</v>
      </c>
      <c r="AA799" s="14" t="n">
        <f aca="false">MIN(R799:X799)</f>
        <v>1948.93416412399</v>
      </c>
    </row>
    <row r="800" customFormat="false" ht="15" hidden="false" customHeight="false" outlineLevel="0" collapsed="false">
      <c r="K800" s="2" t="n">
        <v>795</v>
      </c>
      <c r="L800" s="14" t="n">
        <f aca="true">$B$16+NORMINV(RAND(),0,SQRT($B$13*($B$7+$B$8^2))*$B$9*(1-$B$10))</f>
        <v>4204.9227125364</v>
      </c>
      <c r="M800" s="14" t="n">
        <f aca="true">$B$16+NORMINV(RAND(),0,SQRT($B$13*($B$7+$B$8^2))*$B$9*(1-$B$10))</f>
        <v>4491.75031923623</v>
      </c>
      <c r="N800" s="14" t="n">
        <f aca="true">$B$16+NORMINV(RAND(),0,SQRT($B$13*($B$7+$B$8^2))*$B$9*(1-$B$10))</f>
        <v>3810.00886359761</v>
      </c>
      <c r="O800" s="14" t="n">
        <f aca="true">$B$16+NORMINV(RAND(),0,SQRT($B$13*($B$7+$B$8^2))*$B$9*(1-$B$10))</f>
        <v>4819.32137662493</v>
      </c>
      <c r="P800" s="14" t="n">
        <f aca="true">$B$16+NORMINV(RAND(),0,SQRT($B$13*($B$7+$B$8^2))*$B$9*(1-$B$10))</f>
        <v>3791.90007255922</v>
      </c>
      <c r="Q800" s="14" t="n">
        <f aca="true">$B$16+NORMINV(RAND(),0,SQRT($B$13*($B$7+$B$8^2))*$B$9*(1-$B$10))</f>
        <v>3451.43138308454</v>
      </c>
      <c r="R800" s="14" t="n">
        <f aca="false">$B$4-13*($B$5+$B$6)/30-IF($B$11&lt;=13,$B$12,0)+0</f>
        <v>8876.66666666667</v>
      </c>
      <c r="S800" s="14" t="n">
        <f aca="false">$B$4-27*($B$5+$B$6)/30-IF($B$11&lt;=27,$B$12,0)+L800</f>
        <v>10794.9227125364</v>
      </c>
      <c r="T800" s="14" t="n">
        <f aca="false">$B$4-41*($B$5+$B$6)/30-IF($B$11&lt;=41,$B$12,0)+L800+M800</f>
        <v>1815.20636510596</v>
      </c>
      <c r="U800" s="14" t="n">
        <f aca="false">$B$4-55*($B$5+$B$6)/30-IF($B$11&lt;=55,$B$12,0)+L800+M800+N800</f>
        <v>3338.5485620369</v>
      </c>
      <c r="V800" s="14" t="n">
        <f aca="false">$B$4-69*($B$5+$B$6)/30-IF($B$11&lt;=69,$B$12,0)+L800+M800+N800+O800</f>
        <v>5871.20327199516</v>
      </c>
      <c r="W800" s="14" t="n">
        <f aca="false">$B$4-83*($B$5+$B$6)/30-IF($B$11&lt;=83,$B$12,0)+L800+M800+N800+O800+P800</f>
        <v>7376.43667788772</v>
      </c>
      <c r="X800" s="14" t="n">
        <f aca="false">$B$4-90*($B$5+$B$6)/30-IF($B$11&lt;=90,$B$12,0)+L800+M800+N800+O800+P800+Q800</f>
        <v>9684.53472763892</v>
      </c>
      <c r="AA800" s="14" t="n">
        <f aca="false">MIN(R800:X800)</f>
        <v>1815.20636510596</v>
      </c>
    </row>
    <row r="801" customFormat="false" ht="15" hidden="false" customHeight="false" outlineLevel="0" collapsed="false">
      <c r="K801" s="2" t="n">
        <v>796</v>
      </c>
      <c r="L801" s="14" t="n">
        <f aca="true">$B$16+NORMINV(RAND(),0,SQRT($B$13*($B$7+$B$8^2))*$B$9*(1-$B$10))</f>
        <v>3571.07918319916</v>
      </c>
      <c r="M801" s="14" t="n">
        <f aca="true">$B$16+NORMINV(RAND(),0,SQRT($B$13*($B$7+$B$8^2))*$B$9*(1-$B$10))</f>
        <v>4777.65356560905</v>
      </c>
      <c r="N801" s="14" t="n">
        <f aca="true">$B$16+NORMINV(RAND(),0,SQRT($B$13*($B$7+$B$8^2))*$B$9*(1-$B$10))</f>
        <v>4011.7639356412</v>
      </c>
      <c r="O801" s="14" t="n">
        <f aca="true">$B$16+NORMINV(RAND(),0,SQRT($B$13*($B$7+$B$8^2))*$B$9*(1-$B$10))</f>
        <v>4130.01297959408</v>
      </c>
      <c r="P801" s="14" t="n">
        <f aca="true">$B$16+NORMINV(RAND(),0,SQRT($B$13*($B$7+$B$8^2))*$B$9*(1-$B$10))</f>
        <v>4222.92516845741</v>
      </c>
      <c r="Q801" s="14" t="n">
        <f aca="true">$B$16+NORMINV(RAND(),0,SQRT($B$13*($B$7+$B$8^2))*$B$9*(1-$B$10))</f>
        <v>4146.3370330976</v>
      </c>
      <c r="R801" s="14" t="n">
        <f aca="false">$B$4-13*($B$5+$B$6)/30-IF($B$11&lt;=13,$B$12,0)+0</f>
        <v>8876.66666666667</v>
      </c>
      <c r="S801" s="14" t="n">
        <f aca="false">$B$4-27*($B$5+$B$6)/30-IF($B$11&lt;=27,$B$12,0)+L801</f>
        <v>10161.0791831992</v>
      </c>
      <c r="T801" s="14" t="n">
        <f aca="false">$B$4-41*($B$5+$B$6)/30-IF($B$11&lt;=41,$B$12,0)+L801+M801</f>
        <v>1467.26608214155</v>
      </c>
      <c r="U801" s="14" t="n">
        <f aca="false">$B$4-55*($B$5+$B$6)/30-IF($B$11&lt;=55,$B$12,0)+L801+M801+N801</f>
        <v>3192.36335111608</v>
      </c>
      <c r="V801" s="14" t="n">
        <f aca="false">$B$4-69*($B$5+$B$6)/30-IF($B$11&lt;=69,$B$12,0)+L801+M801+N801+O801</f>
        <v>5035.70966404349</v>
      </c>
      <c r="W801" s="14" t="n">
        <f aca="false">$B$4-83*($B$5+$B$6)/30-IF($B$11&lt;=83,$B$12,0)+L801+M801+N801+O801+P801</f>
        <v>6971.96816583423</v>
      </c>
      <c r="X801" s="14" t="n">
        <f aca="false">$B$4-90*($B$5+$B$6)/30-IF($B$11&lt;=90,$B$12,0)+L801+M801+N801+O801+P801+Q801</f>
        <v>9974.97186559849</v>
      </c>
      <c r="AA801" s="14" t="n">
        <f aca="false">MIN(R801:X801)</f>
        <v>1467.26608214155</v>
      </c>
    </row>
    <row r="802" customFormat="false" ht="15" hidden="false" customHeight="false" outlineLevel="0" collapsed="false">
      <c r="K802" s="2" t="n">
        <v>797</v>
      </c>
      <c r="L802" s="14" t="n">
        <f aca="true">$B$16+NORMINV(RAND(),0,SQRT($B$13*($B$7+$B$8^2))*$B$9*(1-$B$10))</f>
        <v>4266.40044142591</v>
      </c>
      <c r="M802" s="14" t="n">
        <f aca="true">$B$16+NORMINV(RAND(),0,SQRT($B$13*($B$7+$B$8^2))*$B$9*(1-$B$10))</f>
        <v>3833.54773838412</v>
      </c>
      <c r="N802" s="14" t="n">
        <f aca="true">$B$16+NORMINV(RAND(),0,SQRT($B$13*($B$7+$B$8^2))*$B$9*(1-$B$10))</f>
        <v>4565.39264351219</v>
      </c>
      <c r="O802" s="14" t="n">
        <f aca="true">$B$16+NORMINV(RAND(),0,SQRT($B$13*($B$7+$B$8^2))*$B$9*(1-$B$10))</f>
        <v>4062.99995702133</v>
      </c>
      <c r="P802" s="14" t="n">
        <f aca="true">$B$16+NORMINV(RAND(),0,SQRT($B$13*($B$7+$B$8^2))*$B$9*(1-$B$10))</f>
        <v>4440.0018190695</v>
      </c>
      <c r="Q802" s="14" t="n">
        <f aca="true">$B$16+NORMINV(RAND(),0,SQRT($B$13*($B$7+$B$8^2))*$B$9*(1-$B$10))</f>
        <v>4156.58930167228</v>
      </c>
      <c r="R802" s="14" t="n">
        <f aca="false">$B$4-13*($B$5+$B$6)/30-IF($B$11&lt;=13,$B$12,0)+0</f>
        <v>8876.66666666667</v>
      </c>
      <c r="S802" s="14" t="n">
        <f aca="false">$B$4-27*($B$5+$B$6)/30-IF($B$11&lt;=27,$B$12,0)+L802</f>
        <v>10856.4004414259</v>
      </c>
      <c r="T802" s="14" t="n">
        <f aca="false">$B$4-41*($B$5+$B$6)/30-IF($B$11&lt;=41,$B$12,0)+L802+M802</f>
        <v>1218.48151314336</v>
      </c>
      <c r="U802" s="14" t="n">
        <f aca="false">$B$4-55*($B$5+$B$6)/30-IF($B$11&lt;=55,$B$12,0)+L802+M802+N802</f>
        <v>3497.20748998888</v>
      </c>
      <c r="V802" s="14" t="n">
        <f aca="false">$B$4-69*($B$5+$B$6)/30-IF($B$11&lt;=69,$B$12,0)+L802+M802+N802+O802</f>
        <v>5273.54078034355</v>
      </c>
      <c r="W802" s="14" t="n">
        <f aca="false">$B$4-83*($B$5+$B$6)/30-IF($B$11&lt;=83,$B$12,0)+L802+M802+N802+O802+P802</f>
        <v>7426.87593274638</v>
      </c>
      <c r="X802" s="14" t="n">
        <f aca="false">$B$4-90*($B$5+$B$6)/30-IF($B$11&lt;=90,$B$12,0)+L802+M802+N802+O802+P802+Q802</f>
        <v>10440.1319010853</v>
      </c>
      <c r="AA802" s="14" t="n">
        <f aca="false">MIN(R802:X802)</f>
        <v>1218.48151314336</v>
      </c>
    </row>
    <row r="803" customFormat="false" ht="15" hidden="false" customHeight="false" outlineLevel="0" collapsed="false">
      <c r="K803" s="2" t="n">
        <v>798</v>
      </c>
      <c r="L803" s="14" t="n">
        <f aca="true">$B$16+NORMINV(RAND(),0,SQRT($B$13*($B$7+$B$8^2))*$B$9*(1-$B$10))</f>
        <v>3753.36459995643</v>
      </c>
      <c r="M803" s="14" t="n">
        <f aca="true">$B$16+NORMINV(RAND(),0,SQRT($B$13*($B$7+$B$8^2))*$B$9*(1-$B$10))</f>
        <v>4349.31323905089</v>
      </c>
      <c r="N803" s="14" t="n">
        <f aca="true">$B$16+NORMINV(RAND(),0,SQRT($B$13*($B$7+$B$8^2))*$B$9*(1-$B$10))</f>
        <v>3342.38059791236</v>
      </c>
      <c r="O803" s="14" t="n">
        <f aca="true">$B$16+NORMINV(RAND(),0,SQRT($B$13*($B$7+$B$8^2))*$B$9*(1-$B$10))</f>
        <v>4219.81990076561</v>
      </c>
      <c r="P803" s="14" t="n">
        <f aca="true">$B$16+NORMINV(RAND(),0,SQRT($B$13*($B$7+$B$8^2))*$B$9*(1-$B$10))</f>
        <v>4355.82573897434</v>
      </c>
      <c r="Q803" s="14" t="n">
        <f aca="true">$B$16+NORMINV(RAND(),0,SQRT($B$13*($B$7+$B$8^2))*$B$9*(1-$B$10))</f>
        <v>4198.79817045849</v>
      </c>
      <c r="R803" s="14" t="n">
        <f aca="false">$B$4-13*($B$5+$B$6)/30-IF($B$11&lt;=13,$B$12,0)+0</f>
        <v>8876.66666666667</v>
      </c>
      <c r="S803" s="14" t="n">
        <f aca="false">$B$4-27*($B$5+$B$6)/30-IF($B$11&lt;=27,$B$12,0)+L803</f>
        <v>10343.3645999564</v>
      </c>
      <c r="T803" s="14" t="n">
        <f aca="false">$B$4-41*($B$5+$B$6)/30-IF($B$11&lt;=41,$B$12,0)+L803+M803</f>
        <v>1221.21117234065</v>
      </c>
      <c r="U803" s="14" t="n">
        <f aca="false">$B$4-55*($B$5+$B$6)/30-IF($B$11&lt;=55,$B$12,0)+L803+M803+N803</f>
        <v>2276.92510358634</v>
      </c>
      <c r="V803" s="14" t="n">
        <f aca="false">$B$4-69*($B$5+$B$6)/30-IF($B$11&lt;=69,$B$12,0)+L803+M803+N803+O803</f>
        <v>4210.07833768528</v>
      </c>
      <c r="W803" s="14" t="n">
        <f aca="false">$B$4-83*($B$5+$B$6)/30-IF($B$11&lt;=83,$B$12,0)+L803+M803+N803+O803+P803</f>
        <v>6279.23740999295</v>
      </c>
      <c r="X803" s="14" t="n">
        <f aca="false">$B$4-90*($B$5+$B$6)/30-IF($B$11&lt;=90,$B$12,0)+L803+M803+N803+O803+P803+Q803</f>
        <v>9334.7022471181</v>
      </c>
      <c r="AA803" s="14" t="n">
        <f aca="false">MIN(R803:X803)</f>
        <v>1221.21117234065</v>
      </c>
    </row>
    <row r="804" customFormat="false" ht="15" hidden="false" customHeight="false" outlineLevel="0" collapsed="false">
      <c r="K804" s="2" t="n">
        <v>799</v>
      </c>
      <c r="L804" s="14" t="n">
        <f aca="true">$B$16+NORMINV(RAND(),0,SQRT($B$13*($B$7+$B$8^2))*$B$9*(1-$B$10))</f>
        <v>4457.8783007975</v>
      </c>
      <c r="M804" s="14" t="n">
        <f aca="true">$B$16+NORMINV(RAND(),0,SQRT($B$13*($B$7+$B$8^2))*$B$9*(1-$B$10))</f>
        <v>4552.41779921505</v>
      </c>
      <c r="N804" s="14" t="n">
        <f aca="true">$B$16+NORMINV(RAND(),0,SQRT($B$13*($B$7+$B$8^2))*$B$9*(1-$B$10))</f>
        <v>4046.85515679925</v>
      </c>
      <c r="O804" s="14" t="n">
        <f aca="true">$B$16+NORMINV(RAND(),0,SQRT($B$13*($B$7+$B$8^2))*$B$9*(1-$B$10))</f>
        <v>3911.92851788907</v>
      </c>
      <c r="P804" s="14" t="n">
        <f aca="true">$B$16+NORMINV(RAND(),0,SQRT($B$13*($B$7+$B$8^2))*$B$9*(1-$B$10))</f>
        <v>4160.18817626908</v>
      </c>
      <c r="Q804" s="14" t="n">
        <f aca="true">$B$16+NORMINV(RAND(),0,SQRT($B$13*($B$7+$B$8^2))*$B$9*(1-$B$10))</f>
        <v>4239.02370073093</v>
      </c>
      <c r="R804" s="14" t="n">
        <f aca="false">$B$4-13*($B$5+$B$6)/30-IF($B$11&lt;=13,$B$12,0)+0</f>
        <v>8876.66666666667</v>
      </c>
      <c r="S804" s="14" t="n">
        <f aca="false">$B$4-27*($B$5+$B$6)/30-IF($B$11&lt;=27,$B$12,0)+L804</f>
        <v>11047.8783007975</v>
      </c>
      <c r="T804" s="14" t="n">
        <f aca="false">$B$4-41*($B$5+$B$6)/30-IF($B$11&lt;=41,$B$12,0)+L804+M804</f>
        <v>2128.82943334588</v>
      </c>
      <c r="U804" s="14" t="n">
        <f aca="false">$B$4-55*($B$5+$B$6)/30-IF($B$11&lt;=55,$B$12,0)+L804+M804+N804</f>
        <v>3889.01792347846</v>
      </c>
      <c r="V804" s="14" t="n">
        <f aca="false">$B$4-69*($B$5+$B$6)/30-IF($B$11&lt;=69,$B$12,0)+L804+M804+N804+O804</f>
        <v>5514.27977470087</v>
      </c>
      <c r="W804" s="14" t="n">
        <f aca="false">$B$4-83*($B$5+$B$6)/30-IF($B$11&lt;=83,$B$12,0)+L804+M804+N804+O804+P804</f>
        <v>7387.80128430328</v>
      </c>
      <c r="X804" s="14" t="n">
        <f aca="false">$B$4-90*($B$5+$B$6)/30-IF($B$11&lt;=90,$B$12,0)+L804+M804+N804+O804+P804+Q804</f>
        <v>10483.4916517009</v>
      </c>
      <c r="AA804" s="14" t="n">
        <f aca="false">MIN(R804:X804)</f>
        <v>2128.82943334588</v>
      </c>
    </row>
    <row r="805" customFormat="false" ht="15" hidden="false" customHeight="false" outlineLevel="0" collapsed="false">
      <c r="K805" s="2" t="n">
        <v>800</v>
      </c>
      <c r="L805" s="14" t="n">
        <f aca="true">$B$16+NORMINV(RAND(),0,SQRT($B$13*($B$7+$B$8^2))*$B$9*(1-$B$10))</f>
        <v>4091.49915457783</v>
      </c>
      <c r="M805" s="14" t="n">
        <f aca="true">$B$16+NORMINV(RAND(),0,SQRT($B$13*($B$7+$B$8^2))*$B$9*(1-$B$10))</f>
        <v>4041.26332373452</v>
      </c>
      <c r="N805" s="14" t="n">
        <f aca="true">$B$16+NORMINV(RAND(),0,SQRT($B$13*($B$7+$B$8^2))*$B$9*(1-$B$10))</f>
        <v>3963.72991984847</v>
      </c>
      <c r="O805" s="14" t="n">
        <f aca="true">$B$16+NORMINV(RAND(),0,SQRT($B$13*($B$7+$B$8^2))*$B$9*(1-$B$10))</f>
        <v>4441.98807385183</v>
      </c>
      <c r="P805" s="14" t="n">
        <f aca="true">$B$16+NORMINV(RAND(),0,SQRT($B$13*($B$7+$B$8^2))*$B$9*(1-$B$10))</f>
        <v>4069.54621907828</v>
      </c>
      <c r="Q805" s="14" t="n">
        <f aca="true">$B$16+NORMINV(RAND(),0,SQRT($B$13*($B$7+$B$8^2))*$B$9*(1-$B$10))</f>
        <v>3700.2132326671</v>
      </c>
      <c r="R805" s="14" t="n">
        <f aca="false">$B$4-13*($B$5+$B$6)/30-IF($B$11&lt;=13,$B$12,0)+0</f>
        <v>8876.66666666667</v>
      </c>
      <c r="S805" s="14" t="n">
        <f aca="false">$B$4-27*($B$5+$B$6)/30-IF($B$11&lt;=27,$B$12,0)+L805</f>
        <v>10681.4991545778</v>
      </c>
      <c r="T805" s="14" t="n">
        <f aca="false">$B$4-41*($B$5+$B$6)/30-IF($B$11&lt;=41,$B$12,0)+L805+M805</f>
        <v>1251.29581164568</v>
      </c>
      <c r="U805" s="14" t="n">
        <f aca="false">$B$4-55*($B$5+$B$6)/30-IF($B$11&lt;=55,$B$12,0)+L805+M805+N805</f>
        <v>2928.35906482749</v>
      </c>
      <c r="V805" s="14" t="n">
        <f aca="false">$B$4-69*($B$5+$B$6)/30-IF($B$11&lt;=69,$B$12,0)+L805+M805+N805+O805</f>
        <v>5083.68047201265</v>
      </c>
      <c r="W805" s="14" t="n">
        <f aca="false">$B$4-83*($B$5+$B$6)/30-IF($B$11&lt;=83,$B$12,0)+L805+M805+N805+O805+P805</f>
        <v>6866.56002442427</v>
      </c>
      <c r="X805" s="14" t="n">
        <f aca="false">$B$4-90*($B$5+$B$6)/30-IF($B$11&lt;=90,$B$12,0)+L805+M805+N805+O805+P805+Q805</f>
        <v>9423.43992375803</v>
      </c>
      <c r="AA805" s="14" t="n">
        <f aca="false">MIN(R805:X805)</f>
        <v>1251.29581164568</v>
      </c>
    </row>
    <row r="806" customFormat="false" ht="15" hidden="false" customHeight="false" outlineLevel="0" collapsed="false">
      <c r="K806" s="2" t="n">
        <v>801</v>
      </c>
      <c r="L806" s="14" t="n">
        <f aca="true">$B$16+NORMINV(RAND(),0,SQRT($B$13*($B$7+$B$8^2))*$B$9*(1-$B$10))</f>
        <v>3283.6817023335</v>
      </c>
      <c r="M806" s="14" t="n">
        <f aca="true">$B$16+NORMINV(RAND(),0,SQRT($B$13*($B$7+$B$8^2))*$B$9*(1-$B$10))</f>
        <v>4322.76770153992</v>
      </c>
      <c r="N806" s="14" t="n">
        <f aca="true">$B$16+NORMINV(RAND(),0,SQRT($B$13*($B$7+$B$8^2))*$B$9*(1-$B$10))</f>
        <v>4184.67069084426</v>
      </c>
      <c r="O806" s="14" t="n">
        <f aca="true">$B$16+NORMINV(RAND(),0,SQRT($B$13*($B$7+$B$8^2))*$B$9*(1-$B$10))</f>
        <v>3941.12310830346</v>
      </c>
      <c r="P806" s="14" t="n">
        <f aca="true">$B$16+NORMINV(RAND(),0,SQRT($B$13*($B$7+$B$8^2))*$B$9*(1-$B$10))</f>
        <v>4642.71547230813</v>
      </c>
      <c r="Q806" s="14" t="n">
        <f aca="true">$B$16+NORMINV(RAND(),0,SQRT($B$13*($B$7+$B$8^2))*$B$9*(1-$B$10))</f>
        <v>3991.90376695574</v>
      </c>
      <c r="R806" s="14" t="n">
        <f aca="false">$B$4-13*($B$5+$B$6)/30-IF($B$11&lt;=13,$B$12,0)+0</f>
        <v>8876.66666666667</v>
      </c>
      <c r="S806" s="14" t="n">
        <f aca="false">$B$4-27*($B$5+$B$6)/30-IF($B$11&lt;=27,$B$12,0)+L806</f>
        <v>9873.6817023335</v>
      </c>
      <c r="T806" s="14" t="n">
        <f aca="false">$B$4-41*($B$5+$B$6)/30-IF($B$11&lt;=41,$B$12,0)+L806+M806</f>
        <v>724.982737206753</v>
      </c>
      <c r="U806" s="14" t="n">
        <f aca="false">$B$4-55*($B$5+$B$6)/30-IF($B$11&lt;=55,$B$12,0)+L806+M806+N806</f>
        <v>2622.98676138435</v>
      </c>
      <c r="V806" s="14" t="n">
        <f aca="false">$B$4-69*($B$5+$B$6)/30-IF($B$11&lt;=69,$B$12,0)+L806+M806+N806+O806</f>
        <v>4277.44320302114</v>
      </c>
      <c r="W806" s="14" t="n">
        <f aca="false">$B$4-83*($B$5+$B$6)/30-IF($B$11&lt;=83,$B$12,0)+L806+M806+N806+O806+P806</f>
        <v>6633.4920086626</v>
      </c>
      <c r="X806" s="14" t="n">
        <f aca="false">$B$4-90*($B$5+$B$6)/30-IF($B$11&lt;=90,$B$12,0)+L806+M806+N806+O806+P806+Q806</f>
        <v>9482.06244228502</v>
      </c>
      <c r="AA806" s="14" t="n">
        <f aca="false">MIN(R806:X806)</f>
        <v>724.982737206753</v>
      </c>
    </row>
    <row r="807" customFormat="false" ht="15" hidden="false" customHeight="false" outlineLevel="0" collapsed="false">
      <c r="K807" s="2" t="n">
        <v>802</v>
      </c>
      <c r="L807" s="14" t="n">
        <f aca="true">$B$16+NORMINV(RAND(),0,SQRT($B$13*($B$7+$B$8^2))*$B$9*(1-$B$10))</f>
        <v>3981.71023545868</v>
      </c>
      <c r="M807" s="14" t="n">
        <f aca="true">$B$16+NORMINV(RAND(),0,SQRT($B$13*($B$7+$B$8^2))*$B$9*(1-$B$10))</f>
        <v>3991.57494985598</v>
      </c>
      <c r="N807" s="14" t="n">
        <f aca="true">$B$16+NORMINV(RAND(),0,SQRT($B$13*($B$7+$B$8^2))*$B$9*(1-$B$10))</f>
        <v>4088.5780243708</v>
      </c>
      <c r="O807" s="14" t="n">
        <f aca="true">$B$16+NORMINV(RAND(),0,SQRT($B$13*($B$7+$B$8^2))*$B$9*(1-$B$10))</f>
        <v>4097.9432698806</v>
      </c>
      <c r="P807" s="14" t="n">
        <f aca="true">$B$16+NORMINV(RAND(),0,SQRT($B$13*($B$7+$B$8^2))*$B$9*(1-$B$10))</f>
        <v>4086.61417469523</v>
      </c>
      <c r="Q807" s="14" t="n">
        <f aca="true">$B$16+NORMINV(RAND(),0,SQRT($B$13*($B$7+$B$8^2))*$B$9*(1-$B$10))</f>
        <v>3849.9999084343</v>
      </c>
      <c r="R807" s="14" t="n">
        <f aca="false">$B$4-13*($B$5+$B$6)/30-IF($B$11&lt;=13,$B$12,0)+0</f>
        <v>8876.66666666667</v>
      </c>
      <c r="S807" s="14" t="n">
        <f aca="false">$B$4-27*($B$5+$B$6)/30-IF($B$11&lt;=27,$B$12,0)+L807</f>
        <v>10571.7102354587</v>
      </c>
      <c r="T807" s="14" t="n">
        <f aca="false">$B$4-41*($B$5+$B$6)/30-IF($B$11&lt;=41,$B$12,0)+L807+M807</f>
        <v>1091.81851864799</v>
      </c>
      <c r="U807" s="14" t="n">
        <f aca="false">$B$4-55*($B$5+$B$6)/30-IF($B$11&lt;=55,$B$12,0)+L807+M807+N807</f>
        <v>2893.72987635212</v>
      </c>
      <c r="V807" s="14" t="n">
        <f aca="false">$B$4-69*($B$5+$B$6)/30-IF($B$11&lt;=69,$B$12,0)+L807+M807+N807+O807</f>
        <v>4705.00647956606</v>
      </c>
      <c r="W807" s="14" t="n">
        <f aca="false">$B$4-83*($B$5+$B$6)/30-IF($B$11&lt;=83,$B$12,0)+L807+M807+N807+O807+P807</f>
        <v>6504.95398759462</v>
      </c>
      <c r="X807" s="14" t="n">
        <f aca="false">$B$4-90*($B$5+$B$6)/30-IF($B$11&lt;=90,$B$12,0)+L807+M807+N807+O807+P807+Q807</f>
        <v>9211.62056269559</v>
      </c>
      <c r="AA807" s="14" t="n">
        <f aca="false">MIN(R807:X807)</f>
        <v>1091.81851864799</v>
      </c>
    </row>
    <row r="808" customFormat="false" ht="15" hidden="false" customHeight="false" outlineLevel="0" collapsed="false">
      <c r="K808" s="2" t="n">
        <v>803</v>
      </c>
      <c r="L808" s="14" t="n">
        <f aca="true">$B$16+NORMINV(RAND(),0,SQRT($B$13*($B$7+$B$8^2))*$B$9*(1-$B$10))</f>
        <v>4279.7330338207</v>
      </c>
      <c r="M808" s="14" t="n">
        <f aca="true">$B$16+NORMINV(RAND(),0,SQRT($B$13*($B$7+$B$8^2))*$B$9*(1-$B$10))</f>
        <v>4473.40980604817</v>
      </c>
      <c r="N808" s="14" t="n">
        <f aca="true">$B$16+NORMINV(RAND(),0,SQRT($B$13*($B$7+$B$8^2))*$B$9*(1-$B$10))</f>
        <v>3849.564190185</v>
      </c>
      <c r="O808" s="14" t="n">
        <f aca="true">$B$16+NORMINV(RAND(),0,SQRT($B$13*($B$7+$B$8^2))*$B$9*(1-$B$10))</f>
        <v>4044.3691169432</v>
      </c>
      <c r="P808" s="14" t="n">
        <f aca="true">$B$16+NORMINV(RAND(),0,SQRT($B$13*($B$7+$B$8^2))*$B$9*(1-$B$10))</f>
        <v>4241.47846440799</v>
      </c>
      <c r="Q808" s="14" t="n">
        <f aca="true">$B$16+NORMINV(RAND(),0,SQRT($B$13*($B$7+$B$8^2))*$B$9*(1-$B$10))</f>
        <v>4197.65534857052</v>
      </c>
      <c r="R808" s="14" t="n">
        <f aca="false">$B$4-13*($B$5+$B$6)/30-IF($B$11&lt;=13,$B$12,0)+0</f>
        <v>8876.66666666667</v>
      </c>
      <c r="S808" s="14" t="n">
        <f aca="false">$B$4-27*($B$5+$B$6)/30-IF($B$11&lt;=27,$B$12,0)+L808</f>
        <v>10869.7330338207</v>
      </c>
      <c r="T808" s="14" t="n">
        <f aca="false">$B$4-41*($B$5+$B$6)/30-IF($B$11&lt;=41,$B$12,0)+L808+M808</f>
        <v>1871.67617320221</v>
      </c>
      <c r="U808" s="14" t="n">
        <f aca="false">$B$4-55*($B$5+$B$6)/30-IF($B$11&lt;=55,$B$12,0)+L808+M808+N808</f>
        <v>3434.57369672054</v>
      </c>
      <c r="V808" s="14" t="n">
        <f aca="false">$B$4-69*($B$5+$B$6)/30-IF($B$11&lt;=69,$B$12,0)+L808+M808+N808+O808</f>
        <v>5192.27614699707</v>
      </c>
      <c r="W808" s="14" t="n">
        <f aca="false">$B$4-83*($B$5+$B$6)/30-IF($B$11&lt;=83,$B$12,0)+L808+M808+N808+O808+P808</f>
        <v>7147.08794473839</v>
      </c>
      <c r="X808" s="14" t="n">
        <f aca="false">$B$4-90*($B$5+$B$6)/30-IF($B$11&lt;=90,$B$12,0)+L808+M808+N808+O808+P808+Q808</f>
        <v>10201.4099599756</v>
      </c>
      <c r="AA808" s="14" t="n">
        <f aca="false">MIN(R808:X808)</f>
        <v>1871.67617320221</v>
      </c>
    </row>
    <row r="809" customFormat="false" ht="15" hidden="false" customHeight="false" outlineLevel="0" collapsed="false">
      <c r="K809" s="2" t="n">
        <v>804</v>
      </c>
      <c r="L809" s="14" t="n">
        <f aca="true">$B$16+NORMINV(RAND(),0,SQRT($B$13*($B$7+$B$8^2))*$B$9*(1-$B$10))</f>
        <v>3980.71475713398</v>
      </c>
      <c r="M809" s="14" t="n">
        <f aca="true">$B$16+NORMINV(RAND(),0,SQRT($B$13*($B$7+$B$8^2))*$B$9*(1-$B$10))</f>
        <v>4081.13949548891</v>
      </c>
      <c r="N809" s="14" t="n">
        <f aca="true">$B$16+NORMINV(RAND(),0,SQRT($B$13*($B$7+$B$8^2))*$B$9*(1-$B$10))</f>
        <v>3986.58610821064</v>
      </c>
      <c r="O809" s="14" t="n">
        <f aca="true">$B$16+NORMINV(RAND(),0,SQRT($B$13*($B$7+$B$8^2))*$B$9*(1-$B$10))</f>
        <v>4001.06000988559</v>
      </c>
      <c r="P809" s="14" t="n">
        <f aca="true">$B$16+NORMINV(RAND(),0,SQRT($B$13*($B$7+$B$8^2))*$B$9*(1-$B$10))</f>
        <v>3799.09890068811</v>
      </c>
      <c r="Q809" s="14" t="n">
        <f aca="true">$B$16+NORMINV(RAND(),0,SQRT($B$13*($B$7+$B$8^2))*$B$9*(1-$B$10))</f>
        <v>4120.44498886301</v>
      </c>
      <c r="R809" s="14" t="n">
        <f aca="false">$B$4-13*($B$5+$B$6)/30-IF($B$11&lt;=13,$B$12,0)+0</f>
        <v>8876.66666666667</v>
      </c>
      <c r="S809" s="14" t="n">
        <f aca="false">$B$4-27*($B$5+$B$6)/30-IF($B$11&lt;=27,$B$12,0)+L809</f>
        <v>10570.714757134</v>
      </c>
      <c r="T809" s="14" t="n">
        <f aca="false">$B$4-41*($B$5+$B$6)/30-IF($B$11&lt;=41,$B$12,0)+L809+M809</f>
        <v>1180.38758595623</v>
      </c>
      <c r="U809" s="14" t="n">
        <f aca="false">$B$4-55*($B$5+$B$6)/30-IF($B$11&lt;=55,$B$12,0)+L809+M809+N809</f>
        <v>2880.3070275002</v>
      </c>
      <c r="V809" s="14" t="n">
        <f aca="false">$B$4-69*($B$5+$B$6)/30-IF($B$11&lt;=69,$B$12,0)+L809+M809+N809+O809</f>
        <v>4594.70037071913</v>
      </c>
      <c r="W809" s="14" t="n">
        <f aca="false">$B$4-83*($B$5+$B$6)/30-IF($B$11&lt;=83,$B$12,0)+L809+M809+N809+O809+P809</f>
        <v>6107.13260474057</v>
      </c>
      <c r="X809" s="14" t="n">
        <f aca="false">$B$4-90*($B$5+$B$6)/30-IF($B$11&lt;=90,$B$12,0)+L809+M809+N809+O809+P809+Q809</f>
        <v>9084.24426027025</v>
      </c>
      <c r="AA809" s="14" t="n">
        <f aca="false">MIN(R809:X809)</f>
        <v>1180.38758595623</v>
      </c>
    </row>
    <row r="810" customFormat="false" ht="15" hidden="false" customHeight="false" outlineLevel="0" collapsed="false">
      <c r="K810" s="2" t="n">
        <v>805</v>
      </c>
      <c r="L810" s="14" t="n">
        <f aca="true">$B$16+NORMINV(RAND(),0,SQRT($B$13*($B$7+$B$8^2))*$B$9*(1-$B$10))</f>
        <v>4503.68748947439</v>
      </c>
      <c r="M810" s="14" t="n">
        <f aca="true">$B$16+NORMINV(RAND(),0,SQRT($B$13*($B$7+$B$8^2))*$B$9*(1-$B$10))</f>
        <v>4510.50463427813</v>
      </c>
      <c r="N810" s="14" t="n">
        <f aca="true">$B$16+NORMINV(RAND(),0,SQRT($B$13*($B$7+$B$8^2))*$B$9*(1-$B$10))</f>
        <v>4016.33920223119</v>
      </c>
      <c r="O810" s="14" t="n">
        <f aca="true">$B$16+NORMINV(RAND(),0,SQRT($B$13*($B$7+$B$8^2))*$B$9*(1-$B$10))</f>
        <v>4570.05568263937</v>
      </c>
      <c r="P810" s="14" t="n">
        <f aca="true">$B$16+NORMINV(RAND(),0,SQRT($B$13*($B$7+$B$8^2))*$B$9*(1-$B$10))</f>
        <v>3985.29999713205</v>
      </c>
      <c r="Q810" s="14" t="n">
        <f aca="true">$B$16+NORMINV(RAND(),0,SQRT($B$13*($B$7+$B$8^2))*$B$9*(1-$B$10))</f>
        <v>3913.56330067901</v>
      </c>
      <c r="R810" s="14" t="n">
        <f aca="false">$B$4-13*($B$5+$B$6)/30-IF($B$11&lt;=13,$B$12,0)+0</f>
        <v>8876.66666666667</v>
      </c>
      <c r="S810" s="14" t="n">
        <f aca="false">$B$4-27*($B$5+$B$6)/30-IF($B$11&lt;=27,$B$12,0)+L810</f>
        <v>11093.6874894744</v>
      </c>
      <c r="T810" s="14" t="n">
        <f aca="false">$B$4-41*($B$5+$B$6)/30-IF($B$11&lt;=41,$B$12,0)+L810+M810</f>
        <v>2132.72545708585</v>
      </c>
      <c r="U810" s="14" t="n">
        <f aca="false">$B$4-55*($B$5+$B$6)/30-IF($B$11&lt;=55,$B$12,0)+L810+M810+N810</f>
        <v>3862.39799265037</v>
      </c>
      <c r="V810" s="14" t="n">
        <f aca="false">$B$4-69*($B$5+$B$6)/30-IF($B$11&lt;=69,$B$12,0)+L810+M810+N810+O810</f>
        <v>6145.78700862307</v>
      </c>
      <c r="W810" s="14" t="n">
        <f aca="false">$B$4-83*($B$5+$B$6)/30-IF($B$11&lt;=83,$B$12,0)+L810+M810+N810+O810+P810</f>
        <v>7844.42033908845</v>
      </c>
      <c r="X810" s="14" t="n">
        <f aca="false">$B$4-90*($B$5+$B$6)/30-IF($B$11&lt;=90,$B$12,0)+L810+M810+N810+O810+P810+Q810</f>
        <v>10614.6503064341</v>
      </c>
      <c r="AA810" s="14" t="n">
        <f aca="false">MIN(R810:X810)</f>
        <v>2132.72545708585</v>
      </c>
    </row>
    <row r="811" customFormat="false" ht="15" hidden="false" customHeight="false" outlineLevel="0" collapsed="false">
      <c r="K811" s="2" t="n">
        <v>806</v>
      </c>
      <c r="L811" s="14" t="n">
        <f aca="true">$B$16+NORMINV(RAND(),0,SQRT($B$13*($B$7+$B$8^2))*$B$9*(1-$B$10))</f>
        <v>3871.787505466</v>
      </c>
      <c r="M811" s="14" t="n">
        <f aca="true">$B$16+NORMINV(RAND(),0,SQRT($B$13*($B$7+$B$8^2))*$B$9*(1-$B$10))</f>
        <v>4075.27669895074</v>
      </c>
      <c r="N811" s="14" t="n">
        <f aca="true">$B$16+NORMINV(RAND(),0,SQRT($B$13*($B$7+$B$8^2))*$B$9*(1-$B$10))</f>
        <v>4135.96778552465</v>
      </c>
      <c r="O811" s="14" t="n">
        <f aca="true">$B$16+NORMINV(RAND(),0,SQRT($B$13*($B$7+$B$8^2))*$B$9*(1-$B$10))</f>
        <v>3990.9758454843</v>
      </c>
      <c r="P811" s="14" t="n">
        <f aca="true">$B$16+NORMINV(RAND(),0,SQRT($B$13*($B$7+$B$8^2))*$B$9*(1-$B$10))</f>
        <v>4147.39259843721</v>
      </c>
      <c r="Q811" s="14" t="n">
        <f aca="true">$B$16+NORMINV(RAND(),0,SQRT($B$13*($B$7+$B$8^2))*$B$9*(1-$B$10))</f>
        <v>3968.86565614833</v>
      </c>
      <c r="R811" s="14" t="n">
        <f aca="false">$B$4-13*($B$5+$B$6)/30-IF($B$11&lt;=13,$B$12,0)+0</f>
        <v>8876.66666666667</v>
      </c>
      <c r="S811" s="14" t="n">
        <f aca="false">$B$4-27*($B$5+$B$6)/30-IF($B$11&lt;=27,$B$12,0)+L811</f>
        <v>10461.787505466</v>
      </c>
      <c r="T811" s="14" t="n">
        <f aca="false">$B$4-41*($B$5+$B$6)/30-IF($B$11&lt;=41,$B$12,0)+L811+M811</f>
        <v>1065.59753775007</v>
      </c>
      <c r="U811" s="14" t="n">
        <f aca="false">$B$4-55*($B$5+$B$6)/30-IF($B$11&lt;=55,$B$12,0)+L811+M811+N811</f>
        <v>2914.89865660806</v>
      </c>
      <c r="V811" s="14" t="n">
        <f aca="false">$B$4-69*($B$5+$B$6)/30-IF($B$11&lt;=69,$B$12,0)+L811+M811+N811+O811</f>
        <v>4619.2078354257</v>
      </c>
      <c r="W811" s="14" t="n">
        <f aca="false">$B$4-83*($B$5+$B$6)/30-IF($B$11&lt;=83,$B$12,0)+L811+M811+N811+O811+P811</f>
        <v>6479.93376719624</v>
      </c>
      <c r="X811" s="14" t="n">
        <f aca="false">$B$4-90*($B$5+$B$6)/30-IF($B$11&lt;=90,$B$12,0)+L811+M811+N811+O811+P811+Q811</f>
        <v>9305.46609001123</v>
      </c>
      <c r="AA811" s="14" t="n">
        <f aca="false">MIN(R811:X811)</f>
        <v>1065.59753775007</v>
      </c>
    </row>
    <row r="812" customFormat="false" ht="15" hidden="false" customHeight="false" outlineLevel="0" collapsed="false">
      <c r="K812" s="2" t="n">
        <v>807</v>
      </c>
      <c r="L812" s="14" t="n">
        <f aca="true">$B$16+NORMINV(RAND(),0,SQRT($B$13*($B$7+$B$8^2))*$B$9*(1-$B$10))</f>
        <v>4482.5869498743</v>
      </c>
      <c r="M812" s="14" t="n">
        <f aca="true">$B$16+NORMINV(RAND(),0,SQRT($B$13*($B$7+$B$8^2))*$B$9*(1-$B$10))</f>
        <v>4403.03722421109</v>
      </c>
      <c r="N812" s="14" t="n">
        <f aca="true">$B$16+NORMINV(RAND(),0,SQRT($B$13*($B$7+$B$8^2))*$B$9*(1-$B$10))</f>
        <v>3800.57703787842</v>
      </c>
      <c r="O812" s="14" t="n">
        <f aca="true">$B$16+NORMINV(RAND(),0,SQRT($B$13*($B$7+$B$8^2))*$B$9*(1-$B$10))</f>
        <v>3902.03273757717</v>
      </c>
      <c r="P812" s="14" t="n">
        <f aca="true">$B$16+NORMINV(RAND(),0,SQRT($B$13*($B$7+$B$8^2))*$B$9*(1-$B$10))</f>
        <v>3705.98723162206</v>
      </c>
      <c r="Q812" s="14" t="n">
        <f aca="true">$B$16+NORMINV(RAND(),0,SQRT($B$13*($B$7+$B$8^2))*$B$9*(1-$B$10))</f>
        <v>3870.33903895406</v>
      </c>
      <c r="R812" s="14" t="n">
        <f aca="false">$B$4-13*($B$5+$B$6)/30-IF($B$11&lt;=13,$B$12,0)+0</f>
        <v>8876.66666666667</v>
      </c>
      <c r="S812" s="14" t="n">
        <f aca="false">$B$4-27*($B$5+$B$6)/30-IF($B$11&lt;=27,$B$12,0)+L812</f>
        <v>11072.5869498743</v>
      </c>
      <c r="T812" s="14" t="n">
        <f aca="false">$B$4-41*($B$5+$B$6)/30-IF($B$11&lt;=41,$B$12,0)+L812+M812</f>
        <v>2004.15750741873</v>
      </c>
      <c r="U812" s="14" t="n">
        <f aca="false">$B$4-55*($B$5+$B$6)/30-IF($B$11&lt;=55,$B$12,0)+L812+M812+N812</f>
        <v>3518.06787863048</v>
      </c>
      <c r="V812" s="14" t="n">
        <f aca="false">$B$4-69*($B$5+$B$6)/30-IF($B$11&lt;=69,$B$12,0)+L812+M812+N812+O812</f>
        <v>5133.43394954098</v>
      </c>
      <c r="W812" s="14" t="n">
        <f aca="false">$B$4-83*($B$5+$B$6)/30-IF($B$11&lt;=83,$B$12,0)+L812+M812+N812+O812+P812</f>
        <v>6552.75451449638</v>
      </c>
      <c r="X812" s="14" t="n">
        <f aca="false">$B$4-90*($B$5+$B$6)/30-IF($B$11&lt;=90,$B$12,0)+L812+M812+N812+O812+P812+Q812</f>
        <v>9279.7602201171</v>
      </c>
      <c r="AA812" s="14" t="n">
        <f aca="false">MIN(R812:X812)</f>
        <v>2004.15750741873</v>
      </c>
    </row>
    <row r="813" customFormat="false" ht="15" hidden="false" customHeight="false" outlineLevel="0" collapsed="false">
      <c r="K813" s="2" t="n">
        <v>808</v>
      </c>
      <c r="L813" s="14" t="n">
        <f aca="true">$B$16+NORMINV(RAND(),0,SQRT($B$13*($B$7+$B$8^2))*$B$9*(1-$B$10))</f>
        <v>3631.77936410518</v>
      </c>
      <c r="M813" s="14" t="n">
        <f aca="true">$B$16+NORMINV(RAND(),0,SQRT($B$13*($B$7+$B$8^2))*$B$9*(1-$B$10))</f>
        <v>4647.90087581724</v>
      </c>
      <c r="N813" s="14" t="n">
        <f aca="true">$B$16+NORMINV(RAND(),0,SQRT($B$13*($B$7+$B$8^2))*$B$9*(1-$B$10))</f>
        <v>4563.15094142788</v>
      </c>
      <c r="O813" s="14" t="n">
        <f aca="true">$B$16+NORMINV(RAND(),0,SQRT($B$13*($B$7+$B$8^2))*$B$9*(1-$B$10))</f>
        <v>4294.31729023675</v>
      </c>
      <c r="P813" s="14" t="n">
        <f aca="true">$B$16+NORMINV(RAND(),0,SQRT($B$13*($B$7+$B$8^2))*$B$9*(1-$B$10))</f>
        <v>4415.24505841323</v>
      </c>
      <c r="Q813" s="14" t="n">
        <f aca="true">$B$16+NORMINV(RAND(),0,SQRT($B$13*($B$7+$B$8^2))*$B$9*(1-$B$10))</f>
        <v>3973.91659652303</v>
      </c>
      <c r="R813" s="14" t="n">
        <f aca="false">$B$4-13*($B$5+$B$6)/30-IF($B$11&lt;=13,$B$12,0)+0</f>
        <v>8876.66666666667</v>
      </c>
      <c r="S813" s="14" t="n">
        <f aca="false">$B$4-27*($B$5+$B$6)/30-IF($B$11&lt;=27,$B$12,0)+L813</f>
        <v>10221.7793641052</v>
      </c>
      <c r="T813" s="14" t="n">
        <f aca="false">$B$4-41*($B$5+$B$6)/30-IF($B$11&lt;=41,$B$12,0)+L813+M813</f>
        <v>1398.21357325575</v>
      </c>
      <c r="U813" s="14" t="n">
        <f aca="false">$B$4-55*($B$5+$B$6)/30-IF($B$11&lt;=55,$B$12,0)+L813+M813+N813</f>
        <v>3674.69784801696</v>
      </c>
      <c r="V813" s="14" t="n">
        <f aca="false">$B$4-69*($B$5+$B$6)/30-IF($B$11&lt;=69,$B$12,0)+L813+M813+N813+O813</f>
        <v>5682.34847158704</v>
      </c>
      <c r="W813" s="14" t="n">
        <f aca="false">$B$4-83*($B$5+$B$6)/30-IF($B$11&lt;=83,$B$12,0)+L813+M813+N813+O813+P813</f>
        <v>7810.92686333361</v>
      </c>
      <c r="X813" s="14" t="n">
        <f aca="false">$B$4-90*($B$5+$B$6)/30-IF($B$11&lt;=90,$B$12,0)+L813+M813+N813+O813+P813+Q813</f>
        <v>10641.5101265233</v>
      </c>
      <c r="AA813" s="14" t="n">
        <f aca="false">MIN(R813:X813)</f>
        <v>1398.21357325575</v>
      </c>
    </row>
    <row r="814" customFormat="false" ht="15" hidden="false" customHeight="false" outlineLevel="0" collapsed="false">
      <c r="K814" s="2" t="n">
        <v>809</v>
      </c>
      <c r="L814" s="14" t="n">
        <f aca="true">$B$16+NORMINV(RAND(),0,SQRT($B$13*($B$7+$B$8^2))*$B$9*(1-$B$10))</f>
        <v>3492.49467694293</v>
      </c>
      <c r="M814" s="14" t="n">
        <f aca="true">$B$16+NORMINV(RAND(),0,SQRT($B$13*($B$7+$B$8^2))*$B$9*(1-$B$10))</f>
        <v>3881.97924262816</v>
      </c>
      <c r="N814" s="14" t="n">
        <f aca="true">$B$16+NORMINV(RAND(),0,SQRT($B$13*($B$7+$B$8^2))*$B$9*(1-$B$10))</f>
        <v>4166.16146993763</v>
      </c>
      <c r="O814" s="14" t="n">
        <f aca="true">$B$16+NORMINV(RAND(),0,SQRT($B$13*($B$7+$B$8^2))*$B$9*(1-$B$10))</f>
        <v>3848.93212438926</v>
      </c>
      <c r="P814" s="14" t="n">
        <f aca="true">$B$16+NORMINV(RAND(),0,SQRT($B$13*($B$7+$B$8^2))*$B$9*(1-$B$10))</f>
        <v>3764.46567028223</v>
      </c>
      <c r="Q814" s="14" t="n">
        <f aca="true">$B$16+NORMINV(RAND(),0,SQRT($B$13*($B$7+$B$8^2))*$B$9*(1-$B$10))</f>
        <v>4163.9186989131</v>
      </c>
      <c r="R814" s="14" t="n">
        <f aca="false">$B$4-13*($B$5+$B$6)/30-IF($B$11&lt;=13,$B$12,0)+0</f>
        <v>8876.66666666667</v>
      </c>
      <c r="S814" s="14" t="n">
        <f aca="false">$B$4-27*($B$5+$B$6)/30-IF($B$11&lt;=27,$B$12,0)+L814</f>
        <v>10082.4946769429</v>
      </c>
      <c r="T814" s="14" t="n">
        <f aca="false">$B$4-41*($B$5+$B$6)/30-IF($B$11&lt;=41,$B$12,0)+L814+M814</f>
        <v>493.00725290442</v>
      </c>
      <c r="U814" s="14" t="n">
        <f aca="false">$B$4-55*($B$5+$B$6)/30-IF($B$11&lt;=55,$B$12,0)+L814+M814+N814</f>
        <v>2372.50205617538</v>
      </c>
      <c r="V814" s="14" t="n">
        <f aca="false">$B$4-69*($B$5+$B$6)/30-IF($B$11&lt;=69,$B$12,0)+L814+M814+N814+O814</f>
        <v>3934.76751389798</v>
      </c>
      <c r="W814" s="14" t="n">
        <f aca="false">$B$4-83*($B$5+$B$6)/30-IF($B$11&lt;=83,$B$12,0)+L814+M814+N814+O814+P814</f>
        <v>5412.56651751354</v>
      </c>
      <c r="X814" s="14" t="n">
        <f aca="false">$B$4-90*($B$5+$B$6)/30-IF($B$11&lt;=90,$B$12,0)+L814+M814+N814+O814+P814+Q814</f>
        <v>8433.1518830933</v>
      </c>
      <c r="AA814" s="14" t="n">
        <f aca="false">MIN(R814:X814)</f>
        <v>493.00725290442</v>
      </c>
    </row>
    <row r="815" customFormat="false" ht="15" hidden="false" customHeight="false" outlineLevel="0" collapsed="false">
      <c r="K815" s="2" t="n">
        <v>810</v>
      </c>
      <c r="L815" s="14" t="n">
        <f aca="true">$B$16+NORMINV(RAND(),0,SQRT($B$13*($B$7+$B$8^2))*$B$9*(1-$B$10))</f>
        <v>4287.47480285323</v>
      </c>
      <c r="M815" s="14" t="n">
        <f aca="true">$B$16+NORMINV(RAND(),0,SQRT($B$13*($B$7+$B$8^2))*$B$9*(1-$B$10))</f>
        <v>4555.26161842196</v>
      </c>
      <c r="N815" s="14" t="n">
        <f aca="true">$B$16+NORMINV(RAND(),0,SQRT($B$13*($B$7+$B$8^2))*$B$9*(1-$B$10))</f>
        <v>3594.5624459182</v>
      </c>
      <c r="O815" s="14" t="n">
        <f aca="true">$B$16+NORMINV(RAND(),0,SQRT($B$13*($B$7+$B$8^2))*$B$9*(1-$B$10))</f>
        <v>4239.72564294578</v>
      </c>
      <c r="P815" s="14" t="n">
        <f aca="true">$B$16+NORMINV(RAND(),0,SQRT($B$13*($B$7+$B$8^2))*$B$9*(1-$B$10))</f>
        <v>4157.4772808813</v>
      </c>
      <c r="Q815" s="14" t="n">
        <f aca="true">$B$16+NORMINV(RAND(),0,SQRT($B$13*($B$7+$B$8^2))*$B$9*(1-$B$10))</f>
        <v>4756.07641414877</v>
      </c>
      <c r="R815" s="14" t="n">
        <f aca="false">$B$4-13*($B$5+$B$6)/30-IF($B$11&lt;=13,$B$12,0)+0</f>
        <v>8876.66666666667</v>
      </c>
      <c r="S815" s="14" t="n">
        <f aca="false">$B$4-27*($B$5+$B$6)/30-IF($B$11&lt;=27,$B$12,0)+L815</f>
        <v>10877.4748028532</v>
      </c>
      <c r="T815" s="14" t="n">
        <f aca="false">$B$4-41*($B$5+$B$6)/30-IF($B$11&lt;=41,$B$12,0)+L815+M815</f>
        <v>1961.26975460853</v>
      </c>
      <c r="U815" s="14" t="n">
        <f aca="false">$B$4-55*($B$5+$B$6)/30-IF($B$11&lt;=55,$B$12,0)+L815+M815+N815</f>
        <v>3269.16553386006</v>
      </c>
      <c r="V815" s="14" t="n">
        <f aca="false">$B$4-69*($B$5+$B$6)/30-IF($B$11&lt;=69,$B$12,0)+L815+M815+N815+O815</f>
        <v>5222.22451013918</v>
      </c>
      <c r="W815" s="14" t="n">
        <f aca="false">$B$4-83*($B$5+$B$6)/30-IF($B$11&lt;=83,$B$12,0)+L815+M815+N815+O815+P815</f>
        <v>7093.03512435381</v>
      </c>
      <c r="X815" s="14" t="n">
        <f aca="false">$B$4-90*($B$5+$B$6)/30-IF($B$11&lt;=90,$B$12,0)+L815+M815+N815+O815+P815+Q815</f>
        <v>10705.7782051692</v>
      </c>
      <c r="AA815" s="14" t="n">
        <f aca="false">MIN(R815:X815)</f>
        <v>1961.26975460853</v>
      </c>
    </row>
    <row r="816" customFormat="false" ht="15" hidden="false" customHeight="false" outlineLevel="0" collapsed="false">
      <c r="K816" s="2" t="n">
        <v>811</v>
      </c>
      <c r="L816" s="14" t="n">
        <f aca="true">$B$16+NORMINV(RAND(),0,SQRT($B$13*($B$7+$B$8^2))*$B$9*(1-$B$10))</f>
        <v>3226.89604237682</v>
      </c>
      <c r="M816" s="14" t="n">
        <f aca="true">$B$16+NORMINV(RAND(),0,SQRT($B$13*($B$7+$B$8^2))*$B$9*(1-$B$10))</f>
        <v>4069.72840944583</v>
      </c>
      <c r="N816" s="14" t="n">
        <f aca="true">$B$16+NORMINV(RAND(),0,SQRT($B$13*($B$7+$B$8^2))*$B$9*(1-$B$10))</f>
        <v>4411.88053298391</v>
      </c>
      <c r="O816" s="14" t="n">
        <f aca="true">$B$16+NORMINV(RAND(),0,SQRT($B$13*($B$7+$B$8^2))*$B$9*(1-$B$10))</f>
        <v>3927.52387583185</v>
      </c>
      <c r="P816" s="14" t="n">
        <f aca="true">$B$16+NORMINV(RAND(),0,SQRT($B$13*($B$7+$B$8^2))*$B$9*(1-$B$10))</f>
        <v>3982.54436963441</v>
      </c>
      <c r="Q816" s="14" t="n">
        <f aca="true">$B$16+NORMINV(RAND(),0,SQRT($B$13*($B$7+$B$8^2))*$B$9*(1-$B$10))</f>
        <v>4378.80813893357</v>
      </c>
      <c r="R816" s="14" t="n">
        <f aca="false">$B$4-13*($B$5+$B$6)/30-IF($B$11&lt;=13,$B$12,0)+0</f>
        <v>8876.66666666667</v>
      </c>
      <c r="S816" s="14" t="n">
        <f aca="false">$B$4-27*($B$5+$B$6)/30-IF($B$11&lt;=27,$B$12,0)+L816</f>
        <v>9816.89604237682</v>
      </c>
      <c r="T816" s="14" t="n">
        <f aca="false">$B$4-41*($B$5+$B$6)/30-IF($B$11&lt;=41,$B$12,0)+L816+M816</f>
        <v>415.157785155979</v>
      </c>
      <c r="U816" s="14" t="n">
        <f aca="false">$B$4-55*($B$5+$B$6)/30-IF($B$11&lt;=55,$B$12,0)+L816+M816+N816</f>
        <v>2540.37165147322</v>
      </c>
      <c r="V816" s="14" t="n">
        <f aca="false">$B$4-69*($B$5+$B$6)/30-IF($B$11&lt;=69,$B$12,0)+L816+M816+N816+O816</f>
        <v>4181.2288606384</v>
      </c>
      <c r="W816" s="14" t="n">
        <f aca="false">$B$4-83*($B$5+$B$6)/30-IF($B$11&lt;=83,$B$12,0)+L816+M816+N816+O816+P816</f>
        <v>5877.10656360615</v>
      </c>
      <c r="X816" s="14" t="n">
        <f aca="false">$B$4-90*($B$5+$B$6)/30-IF($B$11&lt;=90,$B$12,0)+L816+M816+N816+O816+P816+Q816</f>
        <v>9112.58136920638</v>
      </c>
      <c r="AA816" s="14" t="n">
        <f aca="false">MIN(R816:X816)</f>
        <v>415.157785155979</v>
      </c>
    </row>
    <row r="817" customFormat="false" ht="15" hidden="false" customHeight="false" outlineLevel="0" collapsed="false">
      <c r="K817" s="2" t="n">
        <v>812</v>
      </c>
      <c r="L817" s="14" t="n">
        <f aca="true">$B$16+NORMINV(RAND(),0,SQRT($B$13*($B$7+$B$8^2))*$B$9*(1-$B$10))</f>
        <v>4267.72618223996</v>
      </c>
      <c r="M817" s="14" t="n">
        <f aca="true">$B$16+NORMINV(RAND(),0,SQRT($B$13*($B$7+$B$8^2))*$B$9*(1-$B$10))</f>
        <v>3870.80390974125</v>
      </c>
      <c r="N817" s="14" t="n">
        <f aca="true">$B$16+NORMINV(RAND(),0,SQRT($B$13*($B$7+$B$8^2))*$B$9*(1-$B$10))</f>
        <v>4293.57408590467</v>
      </c>
      <c r="O817" s="14" t="n">
        <f aca="true">$B$16+NORMINV(RAND(),0,SQRT($B$13*($B$7+$B$8^2))*$B$9*(1-$B$10))</f>
        <v>4025.06806854692</v>
      </c>
      <c r="P817" s="14" t="n">
        <f aca="true">$B$16+NORMINV(RAND(),0,SQRT($B$13*($B$7+$B$8^2))*$B$9*(1-$B$10))</f>
        <v>4135.14394516408</v>
      </c>
      <c r="Q817" s="14" t="n">
        <f aca="true">$B$16+NORMINV(RAND(),0,SQRT($B$13*($B$7+$B$8^2))*$B$9*(1-$B$10))</f>
        <v>3624.92504564009</v>
      </c>
      <c r="R817" s="14" t="n">
        <f aca="false">$B$4-13*($B$5+$B$6)/30-IF($B$11&lt;=13,$B$12,0)+0</f>
        <v>8876.66666666667</v>
      </c>
      <c r="S817" s="14" t="n">
        <f aca="false">$B$4-27*($B$5+$B$6)/30-IF($B$11&lt;=27,$B$12,0)+L817</f>
        <v>10857.72618224</v>
      </c>
      <c r="T817" s="14" t="n">
        <f aca="false">$B$4-41*($B$5+$B$6)/30-IF($B$11&lt;=41,$B$12,0)+L817+M817</f>
        <v>1257.06342531455</v>
      </c>
      <c r="U817" s="14" t="n">
        <f aca="false">$B$4-55*($B$5+$B$6)/30-IF($B$11&lt;=55,$B$12,0)+L817+M817+N817</f>
        <v>3263.97084455255</v>
      </c>
      <c r="V817" s="14" t="n">
        <f aca="false">$B$4-69*($B$5+$B$6)/30-IF($B$11&lt;=69,$B$12,0)+L817+M817+N817+O817</f>
        <v>5002.37224643281</v>
      </c>
      <c r="W817" s="14" t="n">
        <f aca="false">$B$4-83*($B$5+$B$6)/30-IF($B$11&lt;=83,$B$12,0)+L817+M817+N817+O817+P817</f>
        <v>6850.84952493022</v>
      </c>
      <c r="X817" s="14" t="n">
        <f aca="false">$B$4-90*($B$5+$B$6)/30-IF($B$11&lt;=90,$B$12,0)+L817+M817+N817+O817+P817+Q817</f>
        <v>9332.44123723698</v>
      </c>
      <c r="AA817" s="14" t="n">
        <f aca="false">MIN(R817:X817)</f>
        <v>1257.06342531455</v>
      </c>
    </row>
    <row r="818" customFormat="false" ht="15" hidden="false" customHeight="false" outlineLevel="0" collapsed="false">
      <c r="K818" s="2" t="n">
        <v>813</v>
      </c>
      <c r="L818" s="14" t="n">
        <f aca="true">$B$16+NORMINV(RAND(),0,SQRT($B$13*($B$7+$B$8^2))*$B$9*(1-$B$10))</f>
        <v>4325.98959229831</v>
      </c>
      <c r="M818" s="14" t="n">
        <f aca="true">$B$16+NORMINV(RAND(),0,SQRT($B$13*($B$7+$B$8^2))*$B$9*(1-$B$10))</f>
        <v>4231.38297734555</v>
      </c>
      <c r="N818" s="14" t="n">
        <f aca="true">$B$16+NORMINV(RAND(),0,SQRT($B$13*($B$7+$B$8^2))*$B$9*(1-$B$10))</f>
        <v>4176.93093365976</v>
      </c>
      <c r="O818" s="14" t="n">
        <f aca="true">$B$16+NORMINV(RAND(),0,SQRT($B$13*($B$7+$B$8^2))*$B$9*(1-$B$10))</f>
        <v>4025.29480438147</v>
      </c>
      <c r="P818" s="14" t="n">
        <f aca="true">$B$16+NORMINV(RAND(),0,SQRT($B$13*($B$7+$B$8^2))*$B$9*(1-$B$10))</f>
        <v>3863.4109461529</v>
      </c>
      <c r="Q818" s="14" t="n">
        <f aca="true">$B$16+NORMINV(RAND(),0,SQRT($B$13*($B$7+$B$8^2))*$B$9*(1-$B$10))</f>
        <v>4451.72491618327</v>
      </c>
      <c r="R818" s="14" t="n">
        <f aca="false">$B$4-13*($B$5+$B$6)/30-IF($B$11&lt;=13,$B$12,0)+0</f>
        <v>8876.66666666667</v>
      </c>
      <c r="S818" s="14" t="n">
        <f aca="false">$B$4-27*($B$5+$B$6)/30-IF($B$11&lt;=27,$B$12,0)+L818</f>
        <v>10915.9895922983</v>
      </c>
      <c r="T818" s="14" t="n">
        <f aca="false">$B$4-41*($B$5+$B$6)/30-IF($B$11&lt;=41,$B$12,0)+L818+M818</f>
        <v>1675.90590297719</v>
      </c>
      <c r="U818" s="14" t="n">
        <f aca="false">$B$4-55*($B$5+$B$6)/30-IF($B$11&lt;=55,$B$12,0)+L818+M818+N818</f>
        <v>3566.17016997028</v>
      </c>
      <c r="V818" s="14" t="n">
        <f aca="false">$B$4-69*($B$5+$B$6)/30-IF($B$11&lt;=69,$B$12,0)+L818+M818+N818+O818</f>
        <v>5304.79830768508</v>
      </c>
      <c r="W818" s="14" t="n">
        <f aca="false">$B$4-83*($B$5+$B$6)/30-IF($B$11&lt;=83,$B$12,0)+L818+M818+N818+O818+P818</f>
        <v>6881.54258717132</v>
      </c>
      <c r="X818" s="14" t="n">
        <f aca="false">$B$4-90*($B$5+$B$6)/30-IF($B$11&lt;=90,$B$12,0)+L818+M818+N818+O818+P818+Q818</f>
        <v>10189.9341700213</v>
      </c>
      <c r="AA818" s="14" t="n">
        <f aca="false">MIN(R818:X818)</f>
        <v>1675.90590297719</v>
      </c>
    </row>
    <row r="819" customFormat="false" ht="15" hidden="false" customHeight="false" outlineLevel="0" collapsed="false">
      <c r="K819" s="2" t="n">
        <v>814</v>
      </c>
      <c r="L819" s="14" t="n">
        <f aca="true">$B$16+NORMINV(RAND(),0,SQRT($B$13*($B$7+$B$8^2))*$B$9*(1-$B$10))</f>
        <v>3773.2514055767</v>
      </c>
      <c r="M819" s="14" t="n">
        <f aca="true">$B$16+NORMINV(RAND(),0,SQRT($B$13*($B$7+$B$8^2))*$B$9*(1-$B$10))</f>
        <v>3761.51126153793</v>
      </c>
      <c r="N819" s="14" t="n">
        <f aca="true">$B$16+NORMINV(RAND(),0,SQRT($B$13*($B$7+$B$8^2))*$B$9*(1-$B$10))</f>
        <v>4405.85944920319</v>
      </c>
      <c r="O819" s="14" t="n">
        <f aca="true">$B$16+NORMINV(RAND(),0,SQRT($B$13*($B$7+$B$8^2))*$B$9*(1-$B$10))</f>
        <v>4247.71053416517</v>
      </c>
      <c r="P819" s="14" t="n">
        <f aca="true">$B$16+NORMINV(RAND(),0,SQRT($B$13*($B$7+$B$8^2))*$B$9*(1-$B$10))</f>
        <v>4045.97289925394</v>
      </c>
      <c r="Q819" s="14" t="n">
        <f aca="true">$B$16+NORMINV(RAND(),0,SQRT($B$13*($B$7+$B$8^2))*$B$9*(1-$B$10))</f>
        <v>4571.01499215889</v>
      </c>
      <c r="R819" s="14" t="n">
        <f aca="false">$B$4-13*($B$5+$B$6)/30-IF($B$11&lt;=13,$B$12,0)+0</f>
        <v>8876.66666666667</v>
      </c>
      <c r="S819" s="14" t="n">
        <f aca="false">$B$4-27*($B$5+$B$6)/30-IF($B$11&lt;=27,$B$12,0)+L819</f>
        <v>10363.2514055767</v>
      </c>
      <c r="T819" s="14" t="n">
        <f aca="false">$B$4-41*($B$5+$B$6)/30-IF($B$11&lt;=41,$B$12,0)+L819+M819</f>
        <v>653.296000447961</v>
      </c>
      <c r="U819" s="14" t="n">
        <f aca="false">$B$4-55*($B$5+$B$6)/30-IF($B$11&lt;=55,$B$12,0)+L819+M819+N819</f>
        <v>2772.48878298448</v>
      </c>
      <c r="V819" s="14" t="n">
        <f aca="false">$B$4-69*($B$5+$B$6)/30-IF($B$11&lt;=69,$B$12,0)+L819+M819+N819+O819</f>
        <v>4733.53265048298</v>
      </c>
      <c r="W819" s="14" t="n">
        <f aca="false">$B$4-83*($B$5+$B$6)/30-IF($B$11&lt;=83,$B$12,0)+L819+M819+N819+O819+P819</f>
        <v>6492.83888307025</v>
      </c>
      <c r="X819" s="14" t="n">
        <f aca="false">$B$4-90*($B$5+$B$6)/30-IF($B$11&lt;=90,$B$12,0)+L819+M819+N819+O819+P819+Q819</f>
        <v>9920.5205418958</v>
      </c>
      <c r="AA819" s="14" t="n">
        <f aca="false">MIN(R819:X819)</f>
        <v>653.296000447961</v>
      </c>
    </row>
    <row r="820" customFormat="false" ht="15" hidden="false" customHeight="false" outlineLevel="0" collapsed="false">
      <c r="K820" s="2" t="n">
        <v>815</v>
      </c>
      <c r="L820" s="14" t="n">
        <f aca="true">$B$16+NORMINV(RAND(),0,SQRT($B$13*($B$7+$B$8^2))*$B$9*(1-$B$10))</f>
        <v>3737.55951984573</v>
      </c>
      <c r="M820" s="14" t="n">
        <f aca="true">$B$16+NORMINV(RAND(),0,SQRT($B$13*($B$7+$B$8^2))*$B$9*(1-$B$10))</f>
        <v>3837.12720543496</v>
      </c>
      <c r="N820" s="14" t="n">
        <f aca="true">$B$16+NORMINV(RAND(),0,SQRT($B$13*($B$7+$B$8^2))*$B$9*(1-$B$10))</f>
        <v>4743.19425149186</v>
      </c>
      <c r="O820" s="14" t="n">
        <f aca="true">$B$16+NORMINV(RAND(),0,SQRT($B$13*($B$7+$B$8^2))*$B$9*(1-$B$10))</f>
        <v>4047.54359375899</v>
      </c>
      <c r="P820" s="14" t="n">
        <f aca="true">$B$16+NORMINV(RAND(),0,SQRT($B$13*($B$7+$B$8^2))*$B$9*(1-$B$10))</f>
        <v>3713.68210720384</v>
      </c>
      <c r="Q820" s="14" t="n">
        <f aca="true">$B$16+NORMINV(RAND(),0,SQRT($B$13*($B$7+$B$8^2))*$B$9*(1-$B$10))</f>
        <v>3704.55523822803</v>
      </c>
      <c r="R820" s="14" t="n">
        <f aca="false">$B$4-13*($B$5+$B$6)/30-IF($B$11&lt;=13,$B$12,0)+0</f>
        <v>8876.66666666667</v>
      </c>
      <c r="S820" s="14" t="n">
        <f aca="false">$B$4-27*($B$5+$B$6)/30-IF($B$11&lt;=27,$B$12,0)+L820</f>
        <v>10327.5595198457</v>
      </c>
      <c r="T820" s="14" t="n">
        <f aca="false">$B$4-41*($B$5+$B$6)/30-IF($B$11&lt;=41,$B$12,0)+L820+M820</f>
        <v>693.220058614025</v>
      </c>
      <c r="U820" s="14" t="n">
        <f aca="false">$B$4-55*($B$5+$B$6)/30-IF($B$11&lt;=55,$B$12,0)+L820+M820+N820</f>
        <v>3149.74764343921</v>
      </c>
      <c r="V820" s="14" t="n">
        <f aca="false">$B$4-69*($B$5+$B$6)/30-IF($B$11&lt;=69,$B$12,0)+L820+M820+N820+O820</f>
        <v>4910.62457053153</v>
      </c>
      <c r="W820" s="14" t="n">
        <f aca="false">$B$4-83*($B$5+$B$6)/30-IF($B$11&lt;=83,$B$12,0)+L820+M820+N820+O820+P820</f>
        <v>6337.64001106871</v>
      </c>
      <c r="X820" s="14" t="n">
        <f aca="false">$B$4-90*($B$5+$B$6)/30-IF($B$11&lt;=90,$B$12,0)+L820+M820+N820+O820+P820+Q820</f>
        <v>8898.8619159634</v>
      </c>
      <c r="AA820" s="14" t="n">
        <f aca="false">MIN(R820:X820)</f>
        <v>693.220058614025</v>
      </c>
    </row>
    <row r="821" customFormat="false" ht="15" hidden="false" customHeight="false" outlineLevel="0" collapsed="false">
      <c r="K821" s="2" t="n">
        <v>816</v>
      </c>
      <c r="L821" s="14" t="n">
        <f aca="true">$B$16+NORMINV(RAND(),0,SQRT($B$13*($B$7+$B$8^2))*$B$9*(1-$B$10))</f>
        <v>4486.45544605835</v>
      </c>
      <c r="M821" s="14" t="n">
        <f aca="true">$B$16+NORMINV(RAND(),0,SQRT($B$13*($B$7+$B$8^2))*$B$9*(1-$B$10))</f>
        <v>3731.72943514308</v>
      </c>
      <c r="N821" s="14" t="n">
        <f aca="true">$B$16+NORMINV(RAND(),0,SQRT($B$13*($B$7+$B$8^2))*$B$9*(1-$B$10))</f>
        <v>3964.31963494256</v>
      </c>
      <c r="O821" s="14" t="n">
        <f aca="true">$B$16+NORMINV(RAND(),0,SQRT($B$13*($B$7+$B$8^2))*$B$9*(1-$B$10))</f>
        <v>4211.06856797343</v>
      </c>
      <c r="P821" s="14" t="n">
        <f aca="true">$B$16+NORMINV(RAND(),0,SQRT($B$13*($B$7+$B$8^2))*$B$9*(1-$B$10))</f>
        <v>3956.38870895093</v>
      </c>
      <c r="Q821" s="14" t="n">
        <f aca="true">$B$16+NORMINV(RAND(),0,SQRT($B$13*($B$7+$B$8^2))*$B$9*(1-$B$10))</f>
        <v>3490.31383613907</v>
      </c>
      <c r="R821" s="14" t="n">
        <f aca="false">$B$4-13*($B$5+$B$6)/30-IF($B$11&lt;=13,$B$12,0)+0</f>
        <v>8876.66666666667</v>
      </c>
      <c r="S821" s="14" t="n">
        <f aca="false">$B$4-27*($B$5+$B$6)/30-IF($B$11&lt;=27,$B$12,0)+L821</f>
        <v>11076.4554460583</v>
      </c>
      <c r="T821" s="14" t="n">
        <f aca="false">$B$4-41*($B$5+$B$6)/30-IF($B$11&lt;=41,$B$12,0)+L821+M821</f>
        <v>1336.71821453476</v>
      </c>
      <c r="U821" s="14" t="n">
        <f aca="false">$B$4-55*($B$5+$B$6)/30-IF($B$11&lt;=55,$B$12,0)+L821+M821+N821</f>
        <v>3014.37118281065</v>
      </c>
      <c r="V821" s="14" t="n">
        <f aca="false">$B$4-69*($B$5+$B$6)/30-IF($B$11&lt;=69,$B$12,0)+L821+M821+N821+O821</f>
        <v>4938.77308411742</v>
      </c>
      <c r="W821" s="14" t="n">
        <f aca="false">$B$4-83*($B$5+$B$6)/30-IF($B$11&lt;=83,$B$12,0)+L821+M821+N821+O821+P821</f>
        <v>6608.49512640168</v>
      </c>
      <c r="X821" s="14" t="n">
        <f aca="false">$B$4-90*($B$5+$B$6)/30-IF($B$11&lt;=90,$B$12,0)+L821+M821+N821+O821+P821+Q821</f>
        <v>8955.47562920742</v>
      </c>
      <c r="AA821" s="14" t="n">
        <f aca="false">MIN(R821:X821)</f>
        <v>1336.71821453476</v>
      </c>
    </row>
    <row r="822" customFormat="false" ht="15" hidden="false" customHeight="false" outlineLevel="0" collapsed="false">
      <c r="K822" s="2" t="n">
        <v>817</v>
      </c>
      <c r="L822" s="14" t="n">
        <f aca="true">$B$16+NORMINV(RAND(),0,SQRT($B$13*($B$7+$B$8^2))*$B$9*(1-$B$10))</f>
        <v>4498.50198863869</v>
      </c>
      <c r="M822" s="14" t="n">
        <f aca="true">$B$16+NORMINV(RAND(),0,SQRT($B$13*($B$7+$B$8^2))*$B$9*(1-$B$10))</f>
        <v>4157.31795895528</v>
      </c>
      <c r="N822" s="14" t="n">
        <f aca="true">$B$16+NORMINV(RAND(),0,SQRT($B$13*($B$7+$B$8^2))*$B$9*(1-$B$10))</f>
        <v>4119.9367909315</v>
      </c>
      <c r="O822" s="14" t="n">
        <f aca="true">$B$16+NORMINV(RAND(),0,SQRT($B$13*($B$7+$B$8^2))*$B$9*(1-$B$10))</f>
        <v>3954.31411421956</v>
      </c>
      <c r="P822" s="14" t="n">
        <f aca="true">$B$16+NORMINV(RAND(),0,SQRT($B$13*($B$7+$B$8^2))*$B$9*(1-$B$10))</f>
        <v>4044.42498823291</v>
      </c>
      <c r="Q822" s="14" t="n">
        <f aca="true">$B$16+NORMINV(RAND(),0,SQRT($B$13*($B$7+$B$8^2))*$B$9*(1-$B$10))</f>
        <v>4687.42936532217</v>
      </c>
      <c r="R822" s="14" t="n">
        <f aca="false">$B$4-13*($B$5+$B$6)/30-IF($B$11&lt;=13,$B$12,0)+0</f>
        <v>8876.66666666667</v>
      </c>
      <c r="S822" s="14" t="n">
        <f aca="false">$B$4-27*($B$5+$B$6)/30-IF($B$11&lt;=27,$B$12,0)+L822</f>
        <v>11088.5019886387</v>
      </c>
      <c r="T822" s="14" t="n">
        <f aca="false">$B$4-41*($B$5+$B$6)/30-IF($B$11&lt;=41,$B$12,0)+L822+M822</f>
        <v>1774.3532809273</v>
      </c>
      <c r="U822" s="14" t="n">
        <f aca="false">$B$4-55*($B$5+$B$6)/30-IF($B$11&lt;=55,$B$12,0)+L822+M822+N822</f>
        <v>3607.62340519213</v>
      </c>
      <c r="V822" s="14" t="n">
        <f aca="false">$B$4-69*($B$5+$B$6)/30-IF($B$11&lt;=69,$B$12,0)+L822+M822+N822+O822</f>
        <v>5275.27085274503</v>
      </c>
      <c r="W822" s="14" t="n">
        <f aca="false">$B$4-83*($B$5+$B$6)/30-IF($B$11&lt;=83,$B$12,0)+L822+M822+N822+O822+P822</f>
        <v>7033.02917431127</v>
      </c>
      <c r="X822" s="14" t="n">
        <f aca="false">$B$4-90*($B$5+$B$6)/30-IF($B$11&lt;=90,$B$12,0)+L822+M822+N822+O822+P822+Q822</f>
        <v>10577.1252063001</v>
      </c>
      <c r="AA822" s="14" t="n">
        <f aca="false">MIN(R822:X822)</f>
        <v>1774.3532809273</v>
      </c>
    </row>
    <row r="823" customFormat="false" ht="15" hidden="false" customHeight="false" outlineLevel="0" collapsed="false">
      <c r="K823" s="2" t="n">
        <v>818</v>
      </c>
      <c r="L823" s="14" t="n">
        <f aca="true">$B$16+NORMINV(RAND(),0,SQRT($B$13*($B$7+$B$8^2))*$B$9*(1-$B$10))</f>
        <v>4359.19208321887</v>
      </c>
      <c r="M823" s="14" t="n">
        <f aca="true">$B$16+NORMINV(RAND(),0,SQRT($B$13*($B$7+$B$8^2))*$B$9*(1-$B$10))</f>
        <v>4003.2585334321</v>
      </c>
      <c r="N823" s="14" t="n">
        <f aca="true">$B$16+NORMINV(RAND(),0,SQRT($B$13*($B$7+$B$8^2))*$B$9*(1-$B$10))</f>
        <v>4223.21070735218</v>
      </c>
      <c r="O823" s="14" t="n">
        <f aca="true">$B$16+NORMINV(RAND(),0,SQRT($B$13*($B$7+$B$8^2))*$B$9*(1-$B$10))</f>
        <v>4057.95516030327</v>
      </c>
      <c r="P823" s="14" t="n">
        <f aca="true">$B$16+NORMINV(RAND(),0,SQRT($B$13*($B$7+$B$8^2))*$B$9*(1-$B$10))</f>
        <v>4353.59185561641</v>
      </c>
      <c r="Q823" s="14" t="n">
        <f aca="true">$B$16+NORMINV(RAND(),0,SQRT($B$13*($B$7+$B$8^2))*$B$9*(1-$B$10))</f>
        <v>3717.46259997803</v>
      </c>
      <c r="R823" s="14" t="n">
        <f aca="false">$B$4-13*($B$5+$B$6)/30-IF($B$11&lt;=13,$B$12,0)+0</f>
        <v>8876.66666666667</v>
      </c>
      <c r="S823" s="14" t="n">
        <f aca="false">$B$4-27*($B$5+$B$6)/30-IF($B$11&lt;=27,$B$12,0)+L823</f>
        <v>10949.1920832189</v>
      </c>
      <c r="T823" s="14" t="n">
        <f aca="false">$B$4-41*($B$5+$B$6)/30-IF($B$11&lt;=41,$B$12,0)+L823+M823</f>
        <v>1480.98394998431</v>
      </c>
      <c r="U823" s="14" t="n">
        <f aca="false">$B$4-55*($B$5+$B$6)/30-IF($B$11&lt;=55,$B$12,0)+L823+M823+N823</f>
        <v>3417.52799066982</v>
      </c>
      <c r="V823" s="14" t="n">
        <f aca="false">$B$4-69*($B$5+$B$6)/30-IF($B$11&lt;=69,$B$12,0)+L823+M823+N823+O823</f>
        <v>5188.81648430642</v>
      </c>
      <c r="W823" s="14" t="n">
        <f aca="false">$B$4-83*($B$5+$B$6)/30-IF($B$11&lt;=83,$B$12,0)+L823+M823+N823+O823+P823</f>
        <v>7255.74167325616</v>
      </c>
      <c r="X823" s="14" t="n">
        <f aca="false">$B$4-90*($B$5+$B$6)/30-IF($B$11&lt;=90,$B$12,0)+L823+M823+N823+O823+P823+Q823</f>
        <v>9829.87093990086</v>
      </c>
      <c r="AA823" s="14" t="n">
        <f aca="false">MIN(R823:X823)</f>
        <v>1480.98394998431</v>
      </c>
    </row>
    <row r="824" customFormat="false" ht="15" hidden="false" customHeight="false" outlineLevel="0" collapsed="false">
      <c r="K824" s="2" t="n">
        <v>819</v>
      </c>
      <c r="L824" s="14" t="n">
        <f aca="true">$B$16+NORMINV(RAND(),0,SQRT($B$13*($B$7+$B$8^2))*$B$9*(1-$B$10))</f>
        <v>3884.05606002576</v>
      </c>
      <c r="M824" s="14" t="n">
        <f aca="true">$B$16+NORMINV(RAND(),0,SQRT($B$13*($B$7+$B$8^2))*$B$9*(1-$B$10))</f>
        <v>4145.2021664305</v>
      </c>
      <c r="N824" s="14" t="n">
        <f aca="true">$B$16+NORMINV(RAND(),0,SQRT($B$13*($B$7+$B$8^2))*$B$9*(1-$B$10))</f>
        <v>3932.79966055165</v>
      </c>
      <c r="O824" s="14" t="n">
        <f aca="true">$B$16+NORMINV(RAND(),0,SQRT($B$13*($B$7+$B$8^2))*$B$9*(1-$B$10))</f>
        <v>3828.2702922485</v>
      </c>
      <c r="P824" s="14" t="n">
        <f aca="true">$B$16+NORMINV(RAND(),0,SQRT($B$13*($B$7+$B$8^2))*$B$9*(1-$B$10))</f>
        <v>3727.06159391575</v>
      </c>
      <c r="Q824" s="14" t="n">
        <f aca="true">$B$16+NORMINV(RAND(),0,SQRT($B$13*($B$7+$B$8^2))*$B$9*(1-$B$10))</f>
        <v>3914.01915688133</v>
      </c>
      <c r="R824" s="14" t="n">
        <f aca="false">$B$4-13*($B$5+$B$6)/30-IF($B$11&lt;=13,$B$12,0)+0</f>
        <v>8876.66666666667</v>
      </c>
      <c r="S824" s="14" t="n">
        <f aca="false">$B$4-27*($B$5+$B$6)/30-IF($B$11&lt;=27,$B$12,0)+L824</f>
        <v>10474.0560600258</v>
      </c>
      <c r="T824" s="14" t="n">
        <f aca="false">$B$4-41*($B$5+$B$6)/30-IF($B$11&lt;=41,$B$12,0)+L824+M824</f>
        <v>1147.79155978959</v>
      </c>
      <c r="U824" s="14" t="n">
        <f aca="false">$B$4-55*($B$5+$B$6)/30-IF($B$11&lt;=55,$B$12,0)+L824+M824+N824</f>
        <v>2793.92455367457</v>
      </c>
      <c r="V824" s="14" t="n">
        <f aca="false">$B$4-69*($B$5+$B$6)/30-IF($B$11&lt;=69,$B$12,0)+L824+M824+N824+O824</f>
        <v>4335.5281792564</v>
      </c>
      <c r="W824" s="14" t="n">
        <f aca="false">$B$4-83*($B$5+$B$6)/30-IF($B$11&lt;=83,$B$12,0)+L824+M824+N824+O824+P824</f>
        <v>5775.92310650549</v>
      </c>
      <c r="X824" s="14" t="n">
        <f aca="false">$B$4-90*($B$5+$B$6)/30-IF($B$11&lt;=90,$B$12,0)+L824+M824+N824+O824+P824+Q824</f>
        <v>8546.60893005349</v>
      </c>
      <c r="AA824" s="14" t="n">
        <f aca="false">MIN(R824:X824)</f>
        <v>1147.79155978959</v>
      </c>
    </row>
    <row r="825" customFormat="false" ht="15" hidden="false" customHeight="false" outlineLevel="0" collapsed="false">
      <c r="K825" s="2" t="n">
        <v>820</v>
      </c>
      <c r="L825" s="14" t="n">
        <f aca="true">$B$16+NORMINV(RAND(),0,SQRT($B$13*($B$7+$B$8^2))*$B$9*(1-$B$10))</f>
        <v>3970.96429548012</v>
      </c>
      <c r="M825" s="14" t="n">
        <f aca="true">$B$16+NORMINV(RAND(),0,SQRT($B$13*($B$7+$B$8^2))*$B$9*(1-$B$10))</f>
        <v>3808.67535301685</v>
      </c>
      <c r="N825" s="14" t="n">
        <f aca="true">$B$16+NORMINV(RAND(),0,SQRT($B$13*($B$7+$B$8^2))*$B$9*(1-$B$10))</f>
        <v>4370.59376680082</v>
      </c>
      <c r="O825" s="14" t="n">
        <f aca="true">$B$16+NORMINV(RAND(),0,SQRT($B$13*($B$7+$B$8^2))*$B$9*(1-$B$10))</f>
        <v>3948.71151355078</v>
      </c>
      <c r="P825" s="14" t="n">
        <f aca="true">$B$16+NORMINV(RAND(),0,SQRT($B$13*($B$7+$B$8^2))*$B$9*(1-$B$10))</f>
        <v>3750.5048470265</v>
      </c>
      <c r="Q825" s="14" t="n">
        <f aca="true">$B$16+NORMINV(RAND(),0,SQRT($B$13*($B$7+$B$8^2))*$B$9*(1-$B$10))</f>
        <v>3926.38884323074</v>
      </c>
      <c r="R825" s="14" t="n">
        <f aca="false">$B$4-13*($B$5+$B$6)/30-IF($B$11&lt;=13,$B$12,0)+0</f>
        <v>8876.66666666667</v>
      </c>
      <c r="S825" s="14" t="n">
        <f aca="false">$B$4-27*($B$5+$B$6)/30-IF($B$11&lt;=27,$B$12,0)+L825</f>
        <v>10560.9642954801</v>
      </c>
      <c r="T825" s="14" t="n">
        <f aca="false">$B$4-41*($B$5+$B$6)/30-IF($B$11&lt;=41,$B$12,0)+L825+M825</f>
        <v>898.172981830298</v>
      </c>
      <c r="U825" s="14" t="n">
        <f aca="false">$B$4-55*($B$5+$B$6)/30-IF($B$11&lt;=55,$B$12,0)+L825+M825+N825</f>
        <v>2982.10008196445</v>
      </c>
      <c r="V825" s="14" t="n">
        <f aca="false">$B$4-69*($B$5+$B$6)/30-IF($B$11&lt;=69,$B$12,0)+L825+M825+N825+O825</f>
        <v>4644.14492884857</v>
      </c>
      <c r="W825" s="14" t="n">
        <f aca="false">$B$4-83*($B$5+$B$6)/30-IF($B$11&lt;=83,$B$12,0)+L825+M825+N825+O825+P825</f>
        <v>6107.9831092084</v>
      </c>
      <c r="X825" s="14" t="n">
        <f aca="false">$B$4-90*($B$5+$B$6)/30-IF($B$11&lt;=90,$B$12,0)+L825+M825+N825+O825+P825+Q825</f>
        <v>8891.03861910581</v>
      </c>
      <c r="AA825" s="14" t="n">
        <f aca="false">MIN(R825:X825)</f>
        <v>898.172981830298</v>
      </c>
    </row>
    <row r="826" customFormat="false" ht="15" hidden="false" customHeight="false" outlineLevel="0" collapsed="false">
      <c r="K826" s="2" t="n">
        <v>821</v>
      </c>
      <c r="L826" s="14" t="n">
        <f aca="true">$B$16+NORMINV(RAND(),0,SQRT($B$13*($B$7+$B$8^2))*$B$9*(1-$B$10))</f>
        <v>3786.72487997135</v>
      </c>
      <c r="M826" s="14" t="n">
        <f aca="true">$B$16+NORMINV(RAND(),0,SQRT($B$13*($B$7+$B$8^2))*$B$9*(1-$B$10))</f>
        <v>4446.22007631083</v>
      </c>
      <c r="N826" s="14" t="n">
        <f aca="true">$B$16+NORMINV(RAND(),0,SQRT($B$13*($B$7+$B$8^2))*$B$9*(1-$B$10))</f>
        <v>4335.62553665048</v>
      </c>
      <c r="O826" s="14" t="n">
        <f aca="true">$B$16+NORMINV(RAND(),0,SQRT($B$13*($B$7+$B$8^2))*$B$9*(1-$B$10))</f>
        <v>4442.97537470314</v>
      </c>
      <c r="P826" s="14" t="n">
        <f aca="true">$B$16+NORMINV(RAND(),0,SQRT($B$13*($B$7+$B$8^2))*$B$9*(1-$B$10))</f>
        <v>3556.20733771442</v>
      </c>
      <c r="Q826" s="14" t="n">
        <f aca="true">$B$16+NORMINV(RAND(),0,SQRT($B$13*($B$7+$B$8^2))*$B$9*(1-$B$10))</f>
        <v>3410.99188365075</v>
      </c>
      <c r="R826" s="14" t="n">
        <f aca="false">$B$4-13*($B$5+$B$6)/30-IF($B$11&lt;=13,$B$12,0)+0</f>
        <v>8876.66666666667</v>
      </c>
      <c r="S826" s="14" t="n">
        <f aca="false">$B$4-27*($B$5+$B$6)/30-IF($B$11&lt;=27,$B$12,0)+L826</f>
        <v>10376.7248799713</v>
      </c>
      <c r="T826" s="14" t="n">
        <f aca="false">$B$4-41*($B$5+$B$6)/30-IF($B$11&lt;=41,$B$12,0)+L826+M826</f>
        <v>1351.4782896155</v>
      </c>
      <c r="U826" s="14" t="n">
        <f aca="false">$B$4-55*($B$5+$B$6)/30-IF($B$11&lt;=55,$B$12,0)+L826+M826+N826</f>
        <v>3400.43715959932</v>
      </c>
      <c r="V826" s="14" t="n">
        <f aca="false">$B$4-69*($B$5+$B$6)/30-IF($B$11&lt;=69,$B$12,0)+L826+M826+N826+O826</f>
        <v>5556.74586763579</v>
      </c>
      <c r="W826" s="14" t="n">
        <f aca="false">$B$4-83*($B$5+$B$6)/30-IF($B$11&lt;=83,$B$12,0)+L826+M826+N826+O826+P826</f>
        <v>6826.28653868355</v>
      </c>
      <c r="X826" s="14" t="n">
        <f aca="false">$B$4-90*($B$5+$B$6)/30-IF($B$11&lt;=90,$B$12,0)+L826+M826+N826+O826+P826+Q826</f>
        <v>9093.94508900097</v>
      </c>
      <c r="AA826" s="14" t="n">
        <f aca="false">MIN(R826:X826)</f>
        <v>1351.4782896155</v>
      </c>
    </row>
    <row r="827" customFormat="false" ht="15" hidden="false" customHeight="false" outlineLevel="0" collapsed="false">
      <c r="K827" s="2" t="n">
        <v>822</v>
      </c>
      <c r="L827" s="14" t="n">
        <f aca="true">$B$16+NORMINV(RAND(),0,SQRT($B$13*($B$7+$B$8^2))*$B$9*(1-$B$10))</f>
        <v>4395.01550011033</v>
      </c>
      <c r="M827" s="14" t="n">
        <f aca="true">$B$16+NORMINV(RAND(),0,SQRT($B$13*($B$7+$B$8^2))*$B$9*(1-$B$10))</f>
        <v>3891.10307142127</v>
      </c>
      <c r="N827" s="14" t="n">
        <f aca="true">$B$16+NORMINV(RAND(),0,SQRT($B$13*($B$7+$B$8^2))*$B$9*(1-$B$10))</f>
        <v>4197.19131389112</v>
      </c>
      <c r="O827" s="14" t="n">
        <f aca="true">$B$16+NORMINV(RAND(),0,SQRT($B$13*($B$7+$B$8^2))*$B$9*(1-$B$10))</f>
        <v>4176.06761966237</v>
      </c>
      <c r="P827" s="14" t="n">
        <f aca="true">$B$16+NORMINV(RAND(),0,SQRT($B$13*($B$7+$B$8^2))*$B$9*(1-$B$10))</f>
        <v>3741.83855699872</v>
      </c>
      <c r="Q827" s="14" t="n">
        <f aca="true">$B$16+NORMINV(RAND(),0,SQRT($B$13*($B$7+$B$8^2))*$B$9*(1-$B$10))</f>
        <v>4515.57334092446</v>
      </c>
      <c r="R827" s="14" t="n">
        <f aca="false">$B$4-13*($B$5+$B$6)/30-IF($B$11&lt;=13,$B$12,0)+0</f>
        <v>8876.66666666667</v>
      </c>
      <c r="S827" s="14" t="n">
        <f aca="false">$B$4-27*($B$5+$B$6)/30-IF($B$11&lt;=27,$B$12,0)+L827</f>
        <v>10985.0155001103</v>
      </c>
      <c r="T827" s="14" t="n">
        <f aca="false">$B$4-41*($B$5+$B$6)/30-IF($B$11&lt;=41,$B$12,0)+L827+M827</f>
        <v>1404.65190486493</v>
      </c>
      <c r="U827" s="14" t="n">
        <f aca="false">$B$4-55*($B$5+$B$6)/30-IF($B$11&lt;=55,$B$12,0)+L827+M827+N827</f>
        <v>3315.17655208939</v>
      </c>
      <c r="V827" s="14" t="n">
        <f aca="false">$B$4-69*($B$5+$B$6)/30-IF($B$11&lt;=69,$B$12,0)+L827+M827+N827+O827</f>
        <v>5204.57750508509</v>
      </c>
      <c r="W827" s="14" t="n">
        <f aca="false">$B$4-83*($B$5+$B$6)/30-IF($B$11&lt;=83,$B$12,0)+L827+M827+N827+O827+P827</f>
        <v>6659.74939541715</v>
      </c>
      <c r="X827" s="14" t="n">
        <f aca="false">$B$4-90*($B$5+$B$6)/30-IF($B$11&lt;=90,$B$12,0)+L827+M827+N827+O827+P827+Q827</f>
        <v>10031.9894030083</v>
      </c>
      <c r="AA827" s="14" t="n">
        <f aca="false">MIN(R827:X827)</f>
        <v>1404.65190486493</v>
      </c>
    </row>
    <row r="828" customFormat="false" ht="15" hidden="false" customHeight="false" outlineLevel="0" collapsed="false">
      <c r="K828" s="2" t="n">
        <v>823</v>
      </c>
      <c r="L828" s="14" t="n">
        <f aca="true">$B$16+NORMINV(RAND(),0,SQRT($B$13*($B$7+$B$8^2))*$B$9*(1-$B$10))</f>
        <v>3663.37543088888</v>
      </c>
      <c r="M828" s="14" t="n">
        <f aca="true">$B$16+NORMINV(RAND(),0,SQRT($B$13*($B$7+$B$8^2))*$B$9*(1-$B$10))</f>
        <v>3465.49216786194</v>
      </c>
      <c r="N828" s="14" t="n">
        <f aca="true">$B$16+NORMINV(RAND(),0,SQRT($B$13*($B$7+$B$8^2))*$B$9*(1-$B$10))</f>
        <v>3394.4246176109</v>
      </c>
      <c r="O828" s="14" t="n">
        <f aca="true">$B$16+NORMINV(RAND(),0,SQRT($B$13*($B$7+$B$8^2))*$B$9*(1-$B$10))</f>
        <v>4117.03310618109</v>
      </c>
      <c r="P828" s="14" t="n">
        <f aca="true">$B$16+NORMINV(RAND(),0,SQRT($B$13*($B$7+$B$8^2))*$B$9*(1-$B$10))</f>
        <v>4265.57477045998</v>
      </c>
      <c r="Q828" s="14" t="n">
        <f aca="true">$B$16+NORMINV(RAND(),0,SQRT($B$13*($B$7+$B$8^2))*$B$9*(1-$B$10))</f>
        <v>3955.16432468192</v>
      </c>
      <c r="R828" s="14" t="n">
        <f aca="false">$B$4-13*($B$5+$B$6)/30-IF($B$11&lt;=13,$B$12,0)+0</f>
        <v>8876.66666666667</v>
      </c>
      <c r="S828" s="14" t="n">
        <f aca="false">$B$4-27*($B$5+$B$6)/30-IF($B$11&lt;=27,$B$12,0)+L828</f>
        <v>10253.3754308889</v>
      </c>
      <c r="T828" s="14" t="n">
        <f aca="false">$B$4-41*($B$5+$B$6)/30-IF($B$11&lt;=41,$B$12,0)+L828+M828</f>
        <v>247.400932084147</v>
      </c>
      <c r="U828" s="14" t="n">
        <f aca="false">$B$4-55*($B$5+$B$6)/30-IF($B$11&lt;=55,$B$12,0)+L828+M828+N828</f>
        <v>1355.15888302838</v>
      </c>
      <c r="V828" s="14" t="n">
        <f aca="false">$B$4-69*($B$5+$B$6)/30-IF($B$11&lt;=69,$B$12,0)+L828+M828+N828+O828</f>
        <v>3185.52532254281</v>
      </c>
      <c r="W828" s="14" t="n">
        <f aca="false">$B$4-83*($B$5+$B$6)/30-IF($B$11&lt;=83,$B$12,0)+L828+M828+N828+O828+P828</f>
        <v>5164.43342633612</v>
      </c>
      <c r="X828" s="14" t="n">
        <f aca="false">$B$4-90*($B$5+$B$6)/30-IF($B$11&lt;=90,$B$12,0)+L828+M828+N828+O828+P828+Q828</f>
        <v>7976.26441768471</v>
      </c>
      <c r="AA828" s="14" t="n">
        <f aca="false">MIN(R828:X828)</f>
        <v>247.400932084147</v>
      </c>
    </row>
    <row r="829" customFormat="false" ht="15" hidden="false" customHeight="false" outlineLevel="0" collapsed="false">
      <c r="K829" s="2" t="n">
        <v>824</v>
      </c>
      <c r="L829" s="14" t="n">
        <f aca="true">$B$16+NORMINV(RAND(),0,SQRT($B$13*($B$7+$B$8^2))*$B$9*(1-$B$10))</f>
        <v>3703.03166854053</v>
      </c>
      <c r="M829" s="14" t="n">
        <f aca="true">$B$16+NORMINV(RAND(),0,SQRT($B$13*($B$7+$B$8^2))*$B$9*(1-$B$10))</f>
        <v>3940.20423707105</v>
      </c>
      <c r="N829" s="14" t="n">
        <f aca="true">$B$16+NORMINV(RAND(),0,SQRT($B$13*($B$7+$B$8^2))*$B$9*(1-$B$10))</f>
        <v>4184.60577424344</v>
      </c>
      <c r="O829" s="14" t="n">
        <f aca="true">$B$16+NORMINV(RAND(),0,SQRT($B$13*($B$7+$B$8^2))*$B$9*(1-$B$10))</f>
        <v>4224.76382790642</v>
      </c>
      <c r="P829" s="14" t="n">
        <f aca="true">$B$16+NORMINV(RAND(),0,SQRT($B$13*($B$7+$B$8^2))*$B$9*(1-$B$10))</f>
        <v>3820.68786665225</v>
      </c>
      <c r="Q829" s="14" t="n">
        <f aca="true">$B$16+NORMINV(RAND(),0,SQRT($B$13*($B$7+$B$8^2))*$B$9*(1-$B$10))</f>
        <v>4275.59462050951</v>
      </c>
      <c r="R829" s="14" t="n">
        <f aca="false">$B$4-13*($B$5+$B$6)/30-IF($B$11&lt;=13,$B$12,0)+0</f>
        <v>8876.66666666667</v>
      </c>
      <c r="S829" s="14" t="n">
        <f aca="false">$B$4-27*($B$5+$B$6)/30-IF($B$11&lt;=27,$B$12,0)+L829</f>
        <v>10293.0316685405</v>
      </c>
      <c r="T829" s="14" t="n">
        <f aca="false">$B$4-41*($B$5+$B$6)/30-IF($B$11&lt;=41,$B$12,0)+L829+M829</f>
        <v>761.76923894491</v>
      </c>
      <c r="U829" s="14" t="n">
        <f aca="false">$B$4-55*($B$5+$B$6)/30-IF($B$11&lt;=55,$B$12,0)+L829+M829+N829</f>
        <v>2659.70834652169</v>
      </c>
      <c r="V829" s="14" t="n">
        <f aca="false">$B$4-69*($B$5+$B$6)/30-IF($B$11&lt;=69,$B$12,0)+L829+M829+N829+O829</f>
        <v>4597.80550776144</v>
      </c>
      <c r="W829" s="14" t="n">
        <f aca="false">$B$4-83*($B$5+$B$6)/30-IF($B$11&lt;=83,$B$12,0)+L829+M829+N829+O829+P829</f>
        <v>6131.82670774703</v>
      </c>
      <c r="X829" s="14" t="n">
        <f aca="false">$B$4-90*($B$5+$B$6)/30-IF($B$11&lt;=90,$B$12,0)+L829+M829+N829+O829+P829+Q829</f>
        <v>9264.08799492321</v>
      </c>
      <c r="AA829" s="14" t="n">
        <f aca="false">MIN(R829:X829)</f>
        <v>761.76923894491</v>
      </c>
    </row>
    <row r="830" customFormat="false" ht="15" hidden="false" customHeight="false" outlineLevel="0" collapsed="false">
      <c r="K830" s="2" t="n">
        <v>825</v>
      </c>
      <c r="L830" s="14" t="n">
        <f aca="true">$B$16+NORMINV(RAND(),0,SQRT($B$13*($B$7+$B$8^2))*$B$9*(1-$B$10))</f>
        <v>3538.82360807152</v>
      </c>
      <c r="M830" s="14" t="n">
        <f aca="true">$B$16+NORMINV(RAND(),0,SQRT($B$13*($B$7+$B$8^2))*$B$9*(1-$B$10))</f>
        <v>3648.24365298703</v>
      </c>
      <c r="N830" s="14" t="n">
        <f aca="true">$B$16+NORMINV(RAND(),0,SQRT($B$13*($B$7+$B$8^2))*$B$9*(1-$B$10))</f>
        <v>4259.92454815354</v>
      </c>
      <c r="O830" s="14" t="n">
        <f aca="true">$B$16+NORMINV(RAND(),0,SQRT($B$13*($B$7+$B$8^2))*$B$9*(1-$B$10))</f>
        <v>4155.63777653445</v>
      </c>
      <c r="P830" s="14" t="n">
        <f aca="true">$B$16+NORMINV(RAND(),0,SQRT($B$13*($B$7+$B$8^2))*$B$9*(1-$B$10))</f>
        <v>4299.17370936834</v>
      </c>
      <c r="Q830" s="14" t="n">
        <f aca="true">$B$16+NORMINV(RAND(),0,SQRT($B$13*($B$7+$B$8^2))*$B$9*(1-$B$10))</f>
        <v>3792.81232721832</v>
      </c>
      <c r="R830" s="14" t="n">
        <f aca="false">$B$4-13*($B$5+$B$6)/30-IF($B$11&lt;=13,$B$12,0)+0</f>
        <v>8876.66666666667</v>
      </c>
      <c r="S830" s="14" t="n">
        <f aca="false">$B$4-27*($B$5+$B$6)/30-IF($B$11&lt;=27,$B$12,0)+L830</f>
        <v>10128.8236080715</v>
      </c>
      <c r="T830" s="14" t="n">
        <f aca="false">$B$4-41*($B$5+$B$6)/30-IF($B$11&lt;=41,$B$12,0)+L830+M830</f>
        <v>305.60059439188</v>
      </c>
      <c r="U830" s="14" t="n">
        <f aca="false">$B$4-55*($B$5+$B$6)/30-IF($B$11&lt;=55,$B$12,0)+L830+M830+N830</f>
        <v>2278.85847587876</v>
      </c>
      <c r="V830" s="14" t="n">
        <f aca="false">$B$4-69*($B$5+$B$6)/30-IF($B$11&lt;=69,$B$12,0)+L830+M830+N830+O830</f>
        <v>4147.82958574654</v>
      </c>
      <c r="W830" s="14" t="n">
        <f aca="false">$B$4-83*($B$5+$B$6)/30-IF($B$11&lt;=83,$B$12,0)+L830+M830+N830+O830+P830</f>
        <v>6160.33662844821</v>
      </c>
      <c r="X830" s="14" t="n">
        <f aca="false">$B$4-90*($B$5+$B$6)/30-IF($B$11&lt;=90,$B$12,0)+L830+M830+N830+O830+P830+Q830</f>
        <v>8809.8156223332</v>
      </c>
      <c r="AA830" s="14" t="n">
        <f aca="false">MIN(R830:X830)</f>
        <v>305.60059439188</v>
      </c>
    </row>
    <row r="831" customFormat="false" ht="15" hidden="false" customHeight="false" outlineLevel="0" collapsed="false">
      <c r="K831" s="2" t="n">
        <v>826</v>
      </c>
      <c r="L831" s="14" t="n">
        <f aca="true">$B$16+NORMINV(RAND(),0,SQRT($B$13*($B$7+$B$8^2))*$B$9*(1-$B$10))</f>
        <v>3977.1136881611</v>
      </c>
      <c r="M831" s="14" t="n">
        <f aca="true">$B$16+NORMINV(RAND(),0,SQRT($B$13*($B$7+$B$8^2))*$B$9*(1-$B$10))</f>
        <v>3892.44243832208</v>
      </c>
      <c r="N831" s="14" t="n">
        <f aca="true">$B$16+NORMINV(RAND(),0,SQRT($B$13*($B$7+$B$8^2))*$B$9*(1-$B$10))</f>
        <v>3809.68263658314</v>
      </c>
      <c r="O831" s="14" t="n">
        <f aca="true">$B$16+NORMINV(RAND(),0,SQRT($B$13*($B$7+$B$8^2))*$B$9*(1-$B$10))</f>
        <v>4038.25458804776</v>
      </c>
      <c r="P831" s="14" t="n">
        <f aca="true">$B$16+NORMINV(RAND(),0,SQRT($B$13*($B$7+$B$8^2))*$B$9*(1-$B$10))</f>
        <v>3719.6043506796</v>
      </c>
      <c r="Q831" s="14" t="n">
        <f aca="true">$B$16+NORMINV(RAND(),0,SQRT($B$13*($B$7+$B$8^2))*$B$9*(1-$B$10))</f>
        <v>3912.82919405578</v>
      </c>
      <c r="R831" s="14" t="n">
        <f aca="false">$B$4-13*($B$5+$B$6)/30-IF($B$11&lt;=13,$B$12,0)+0</f>
        <v>8876.66666666667</v>
      </c>
      <c r="S831" s="14" t="n">
        <f aca="false">$B$4-27*($B$5+$B$6)/30-IF($B$11&lt;=27,$B$12,0)+L831</f>
        <v>10567.1136881611</v>
      </c>
      <c r="T831" s="14" t="n">
        <f aca="false">$B$4-41*($B$5+$B$6)/30-IF($B$11&lt;=41,$B$12,0)+L831+M831</f>
        <v>988.089459816506</v>
      </c>
      <c r="U831" s="14" t="n">
        <f aca="false">$B$4-55*($B$5+$B$6)/30-IF($B$11&lt;=55,$B$12,0)+L831+M831+N831</f>
        <v>2511.10542973298</v>
      </c>
      <c r="V831" s="14" t="n">
        <f aca="false">$B$4-69*($B$5+$B$6)/30-IF($B$11&lt;=69,$B$12,0)+L831+M831+N831+O831</f>
        <v>4262.69335111407</v>
      </c>
      <c r="W831" s="14" t="n">
        <f aca="false">$B$4-83*($B$5+$B$6)/30-IF($B$11&lt;=83,$B$12,0)+L831+M831+N831+O831+P831</f>
        <v>5695.63103512701</v>
      </c>
      <c r="X831" s="14" t="n">
        <f aca="false">$B$4-90*($B$5+$B$6)/30-IF($B$11&lt;=90,$B$12,0)+L831+M831+N831+O831+P831+Q831</f>
        <v>8465.12689584945</v>
      </c>
      <c r="AA831" s="14" t="n">
        <f aca="false">MIN(R831:X831)</f>
        <v>988.089459816506</v>
      </c>
    </row>
    <row r="832" customFormat="false" ht="15" hidden="false" customHeight="false" outlineLevel="0" collapsed="false">
      <c r="K832" s="2" t="n">
        <v>827</v>
      </c>
      <c r="L832" s="14" t="n">
        <f aca="true">$B$16+NORMINV(RAND(),0,SQRT($B$13*($B$7+$B$8^2))*$B$9*(1-$B$10))</f>
        <v>4115.69081070934</v>
      </c>
      <c r="M832" s="14" t="n">
        <f aca="true">$B$16+NORMINV(RAND(),0,SQRT($B$13*($B$7+$B$8^2))*$B$9*(1-$B$10))</f>
        <v>3892.0379880196</v>
      </c>
      <c r="N832" s="14" t="n">
        <f aca="true">$B$16+NORMINV(RAND(),0,SQRT($B$13*($B$7+$B$8^2))*$B$9*(1-$B$10))</f>
        <v>4065.32150093442</v>
      </c>
      <c r="O832" s="14" t="n">
        <f aca="true">$B$16+NORMINV(RAND(),0,SQRT($B$13*($B$7+$B$8^2))*$B$9*(1-$B$10))</f>
        <v>3664.04576421337</v>
      </c>
      <c r="P832" s="14" t="n">
        <f aca="true">$B$16+NORMINV(RAND(),0,SQRT($B$13*($B$7+$B$8^2))*$B$9*(1-$B$10))</f>
        <v>4015.49973349678</v>
      </c>
      <c r="Q832" s="14" t="n">
        <f aca="true">$B$16+NORMINV(RAND(),0,SQRT($B$13*($B$7+$B$8^2))*$B$9*(1-$B$10))</f>
        <v>4366.66080319691</v>
      </c>
      <c r="R832" s="14" t="n">
        <f aca="false">$B$4-13*($B$5+$B$6)/30-IF($B$11&lt;=13,$B$12,0)+0</f>
        <v>8876.66666666667</v>
      </c>
      <c r="S832" s="14" t="n">
        <f aca="false">$B$4-27*($B$5+$B$6)/30-IF($B$11&lt;=27,$B$12,0)+L832</f>
        <v>10705.6908107093</v>
      </c>
      <c r="T832" s="14" t="n">
        <f aca="false">$B$4-41*($B$5+$B$6)/30-IF($B$11&lt;=41,$B$12,0)+L832+M832</f>
        <v>1126.26213206227</v>
      </c>
      <c r="U832" s="14" t="n">
        <f aca="false">$B$4-55*($B$5+$B$6)/30-IF($B$11&lt;=55,$B$12,0)+L832+M832+N832</f>
        <v>2904.91696633002</v>
      </c>
      <c r="V832" s="14" t="n">
        <f aca="false">$B$4-69*($B$5+$B$6)/30-IF($B$11&lt;=69,$B$12,0)+L832+M832+N832+O832</f>
        <v>4282.29606387673</v>
      </c>
      <c r="W832" s="14" t="n">
        <f aca="false">$B$4-83*($B$5+$B$6)/30-IF($B$11&lt;=83,$B$12,0)+L832+M832+N832+O832+P832</f>
        <v>6011.12913070684</v>
      </c>
      <c r="X832" s="14" t="n">
        <f aca="false">$B$4-90*($B$5+$B$6)/30-IF($B$11&lt;=90,$B$12,0)+L832+M832+N832+O832+P832+Q832</f>
        <v>9234.45660057042</v>
      </c>
      <c r="AA832" s="14" t="n">
        <f aca="false">MIN(R832:X832)</f>
        <v>1126.26213206227</v>
      </c>
    </row>
    <row r="833" customFormat="false" ht="15" hidden="false" customHeight="false" outlineLevel="0" collapsed="false">
      <c r="K833" s="2" t="n">
        <v>828</v>
      </c>
      <c r="L833" s="14" t="n">
        <f aca="true">$B$16+NORMINV(RAND(),0,SQRT($B$13*($B$7+$B$8^2))*$B$9*(1-$B$10))</f>
        <v>4430.62169864</v>
      </c>
      <c r="M833" s="14" t="n">
        <f aca="true">$B$16+NORMINV(RAND(),0,SQRT($B$13*($B$7+$B$8^2))*$B$9*(1-$B$10))</f>
        <v>4235.90382284124</v>
      </c>
      <c r="N833" s="14" t="n">
        <f aca="true">$B$16+NORMINV(RAND(),0,SQRT($B$13*($B$7+$B$8^2))*$B$9*(1-$B$10))</f>
        <v>3854.34205467989</v>
      </c>
      <c r="O833" s="14" t="n">
        <f aca="true">$B$16+NORMINV(RAND(),0,SQRT($B$13*($B$7+$B$8^2))*$B$9*(1-$B$10))</f>
        <v>4112.61647892401</v>
      </c>
      <c r="P833" s="14" t="n">
        <f aca="true">$B$16+NORMINV(RAND(),0,SQRT($B$13*($B$7+$B$8^2))*$B$9*(1-$B$10))</f>
        <v>3770.50463171305</v>
      </c>
      <c r="Q833" s="14" t="n">
        <f aca="true">$B$16+NORMINV(RAND(),0,SQRT($B$13*($B$7+$B$8^2))*$B$9*(1-$B$10))</f>
        <v>4170.44293743673</v>
      </c>
      <c r="R833" s="14" t="n">
        <f aca="false">$B$4-13*($B$5+$B$6)/30-IF($B$11&lt;=13,$B$12,0)+0</f>
        <v>8876.66666666667</v>
      </c>
      <c r="S833" s="14" t="n">
        <f aca="false">$B$4-27*($B$5+$B$6)/30-IF($B$11&lt;=27,$B$12,0)+L833</f>
        <v>11020.62169864</v>
      </c>
      <c r="T833" s="14" t="n">
        <f aca="false">$B$4-41*($B$5+$B$6)/30-IF($B$11&lt;=41,$B$12,0)+L833+M833</f>
        <v>1785.05885481456</v>
      </c>
      <c r="U833" s="14" t="n">
        <f aca="false">$B$4-55*($B$5+$B$6)/30-IF($B$11&lt;=55,$B$12,0)+L833+M833+N833</f>
        <v>3352.73424282779</v>
      </c>
      <c r="V833" s="14" t="n">
        <f aca="false">$B$4-69*($B$5+$B$6)/30-IF($B$11&lt;=69,$B$12,0)+L833+M833+N833+O833</f>
        <v>5178.68405508513</v>
      </c>
      <c r="W833" s="14" t="n">
        <f aca="false">$B$4-83*($B$5+$B$6)/30-IF($B$11&lt;=83,$B$12,0)+L833+M833+N833+O833+P833</f>
        <v>6662.52202013151</v>
      </c>
      <c r="X833" s="14" t="n">
        <f aca="false">$B$4-90*($B$5+$B$6)/30-IF($B$11&lt;=90,$B$12,0)+L833+M833+N833+O833+P833+Q833</f>
        <v>9689.6316242349</v>
      </c>
      <c r="AA833" s="14" t="n">
        <f aca="false">MIN(R833:X833)</f>
        <v>1785.05885481456</v>
      </c>
    </row>
    <row r="834" customFormat="false" ht="15" hidden="false" customHeight="false" outlineLevel="0" collapsed="false">
      <c r="K834" s="2" t="n">
        <v>829</v>
      </c>
      <c r="L834" s="14" t="n">
        <f aca="true">$B$16+NORMINV(RAND(),0,SQRT($B$13*($B$7+$B$8^2))*$B$9*(1-$B$10))</f>
        <v>4215.75462678205</v>
      </c>
      <c r="M834" s="14" t="n">
        <f aca="true">$B$16+NORMINV(RAND(),0,SQRT($B$13*($B$7+$B$8^2))*$B$9*(1-$B$10))</f>
        <v>3754.95286535</v>
      </c>
      <c r="N834" s="14" t="n">
        <f aca="true">$B$16+NORMINV(RAND(),0,SQRT($B$13*($B$7+$B$8^2))*$B$9*(1-$B$10))</f>
        <v>4217.68265977012</v>
      </c>
      <c r="O834" s="14" t="n">
        <f aca="true">$B$16+NORMINV(RAND(),0,SQRT($B$13*($B$7+$B$8^2))*$B$9*(1-$B$10))</f>
        <v>3344.58547560661</v>
      </c>
      <c r="P834" s="14" t="n">
        <f aca="true">$B$16+NORMINV(RAND(),0,SQRT($B$13*($B$7+$B$8^2))*$B$9*(1-$B$10))</f>
        <v>4046.95972314803</v>
      </c>
      <c r="Q834" s="14" t="n">
        <f aca="true">$B$16+NORMINV(RAND(),0,SQRT($B$13*($B$7+$B$8^2))*$B$9*(1-$B$10))</f>
        <v>4175.42544547935</v>
      </c>
      <c r="R834" s="14" t="n">
        <f aca="false">$B$4-13*($B$5+$B$6)/30-IF($B$11&lt;=13,$B$12,0)+0</f>
        <v>8876.66666666667</v>
      </c>
      <c r="S834" s="14" t="n">
        <f aca="false">$B$4-27*($B$5+$B$6)/30-IF($B$11&lt;=27,$B$12,0)+L834</f>
        <v>10805.7546267821</v>
      </c>
      <c r="T834" s="14" t="n">
        <f aca="false">$B$4-41*($B$5+$B$6)/30-IF($B$11&lt;=41,$B$12,0)+L834+M834</f>
        <v>1089.24082546538</v>
      </c>
      <c r="U834" s="14" t="n">
        <f aca="false">$B$4-55*($B$5+$B$6)/30-IF($B$11&lt;=55,$B$12,0)+L834+M834+N834</f>
        <v>3020.25681856883</v>
      </c>
      <c r="V834" s="14" t="n">
        <f aca="false">$B$4-69*($B$5+$B$6)/30-IF($B$11&lt;=69,$B$12,0)+L834+M834+N834+O834</f>
        <v>4078.17562750877</v>
      </c>
      <c r="W834" s="14" t="n">
        <f aca="false">$B$4-83*($B$5+$B$6)/30-IF($B$11&lt;=83,$B$12,0)+L834+M834+N834+O834+P834</f>
        <v>5838.46868399014</v>
      </c>
      <c r="X834" s="14" t="n">
        <f aca="false">$B$4-90*($B$5+$B$6)/30-IF($B$11&lt;=90,$B$12,0)+L834+M834+N834+O834+P834+Q834</f>
        <v>8870.56079613615</v>
      </c>
      <c r="AA834" s="14" t="n">
        <f aca="false">MIN(R834:X834)</f>
        <v>1089.24082546538</v>
      </c>
    </row>
    <row r="835" customFormat="false" ht="15" hidden="false" customHeight="false" outlineLevel="0" collapsed="false">
      <c r="K835" s="2" t="n">
        <v>830</v>
      </c>
      <c r="L835" s="14" t="n">
        <f aca="true">$B$16+NORMINV(RAND(),0,SQRT($B$13*($B$7+$B$8^2))*$B$9*(1-$B$10))</f>
        <v>4754.60336715561</v>
      </c>
      <c r="M835" s="14" t="n">
        <f aca="true">$B$16+NORMINV(RAND(),0,SQRT($B$13*($B$7+$B$8^2))*$B$9*(1-$B$10))</f>
        <v>4487.01376215745</v>
      </c>
      <c r="N835" s="14" t="n">
        <f aca="true">$B$16+NORMINV(RAND(),0,SQRT($B$13*($B$7+$B$8^2))*$B$9*(1-$B$10))</f>
        <v>3916.90384253639</v>
      </c>
      <c r="O835" s="14" t="n">
        <f aca="true">$B$16+NORMINV(RAND(),0,SQRT($B$13*($B$7+$B$8^2))*$B$9*(1-$B$10))</f>
        <v>4621.53102329143</v>
      </c>
      <c r="P835" s="14" t="n">
        <f aca="true">$B$16+NORMINV(RAND(),0,SQRT($B$13*($B$7+$B$8^2))*$B$9*(1-$B$10))</f>
        <v>4351.26077454022</v>
      </c>
      <c r="Q835" s="14" t="n">
        <f aca="true">$B$16+NORMINV(RAND(),0,SQRT($B$13*($B$7+$B$8^2))*$B$9*(1-$B$10))</f>
        <v>3993.59077549022</v>
      </c>
      <c r="R835" s="14" t="n">
        <f aca="false">$B$4-13*($B$5+$B$6)/30-IF($B$11&lt;=13,$B$12,0)+0</f>
        <v>8876.66666666667</v>
      </c>
      <c r="S835" s="14" t="n">
        <f aca="false">$B$4-27*($B$5+$B$6)/30-IF($B$11&lt;=27,$B$12,0)+L835</f>
        <v>11344.6033671556</v>
      </c>
      <c r="T835" s="14" t="n">
        <f aca="false">$B$4-41*($B$5+$B$6)/30-IF($B$11&lt;=41,$B$12,0)+L835+M835</f>
        <v>2360.15046264639</v>
      </c>
      <c r="U835" s="14" t="n">
        <f aca="false">$B$4-55*($B$5+$B$6)/30-IF($B$11&lt;=55,$B$12,0)+L835+M835+N835</f>
        <v>3990.38763851612</v>
      </c>
      <c r="V835" s="14" t="n">
        <f aca="false">$B$4-69*($B$5+$B$6)/30-IF($B$11&lt;=69,$B$12,0)+L835+M835+N835+O835</f>
        <v>6325.25199514088</v>
      </c>
      <c r="W835" s="14" t="n">
        <f aca="false">$B$4-83*($B$5+$B$6)/30-IF($B$11&lt;=83,$B$12,0)+L835+M835+N835+O835+P835</f>
        <v>8389.84610301443</v>
      </c>
      <c r="X835" s="14" t="n">
        <f aca="false">$B$4-90*($B$5+$B$6)/30-IF($B$11&lt;=90,$B$12,0)+L835+M835+N835+O835+P835+Q835</f>
        <v>11240.1035451713</v>
      </c>
      <c r="AA835" s="14" t="n">
        <f aca="false">MIN(R835:X835)</f>
        <v>2360.15046264639</v>
      </c>
    </row>
    <row r="836" customFormat="false" ht="15" hidden="false" customHeight="false" outlineLevel="0" collapsed="false">
      <c r="K836" s="2" t="n">
        <v>831</v>
      </c>
      <c r="L836" s="14" t="n">
        <f aca="true">$B$16+NORMINV(RAND(),0,SQRT($B$13*($B$7+$B$8^2))*$B$9*(1-$B$10))</f>
        <v>4101.77477441475</v>
      </c>
      <c r="M836" s="14" t="n">
        <f aca="true">$B$16+NORMINV(RAND(),0,SQRT($B$13*($B$7+$B$8^2))*$B$9*(1-$B$10))</f>
        <v>4249.43122070909</v>
      </c>
      <c r="N836" s="14" t="n">
        <f aca="true">$B$16+NORMINV(RAND(),0,SQRT($B$13*($B$7+$B$8^2))*$B$9*(1-$B$10))</f>
        <v>4123.74775333799</v>
      </c>
      <c r="O836" s="14" t="n">
        <f aca="true">$B$16+NORMINV(RAND(),0,SQRT($B$13*($B$7+$B$8^2))*$B$9*(1-$B$10))</f>
        <v>3998.59329305706</v>
      </c>
      <c r="P836" s="14" t="n">
        <f aca="true">$B$16+NORMINV(RAND(),0,SQRT($B$13*($B$7+$B$8^2))*$B$9*(1-$B$10))</f>
        <v>3918.83226285094</v>
      </c>
      <c r="Q836" s="14" t="n">
        <f aca="true">$B$16+NORMINV(RAND(),0,SQRT($B$13*($B$7+$B$8^2))*$B$9*(1-$B$10))</f>
        <v>4440.87811582829</v>
      </c>
      <c r="R836" s="14" t="n">
        <f aca="false">$B$4-13*($B$5+$B$6)/30-IF($B$11&lt;=13,$B$12,0)+0</f>
        <v>8876.66666666667</v>
      </c>
      <c r="S836" s="14" t="n">
        <f aca="false">$B$4-27*($B$5+$B$6)/30-IF($B$11&lt;=27,$B$12,0)+L836</f>
        <v>10691.7747744147</v>
      </c>
      <c r="T836" s="14" t="n">
        <f aca="false">$B$4-41*($B$5+$B$6)/30-IF($B$11&lt;=41,$B$12,0)+L836+M836</f>
        <v>1469.73932845717</v>
      </c>
      <c r="U836" s="14" t="n">
        <f aca="false">$B$4-55*($B$5+$B$6)/30-IF($B$11&lt;=55,$B$12,0)+L836+M836+N836</f>
        <v>3306.82041512849</v>
      </c>
      <c r="V836" s="14" t="n">
        <f aca="false">$B$4-69*($B$5+$B$6)/30-IF($B$11&lt;=69,$B$12,0)+L836+M836+N836+O836</f>
        <v>5018.74704151889</v>
      </c>
      <c r="W836" s="14" t="n">
        <f aca="false">$B$4-83*($B$5+$B$6)/30-IF($B$11&lt;=83,$B$12,0)+L836+M836+N836+O836+P836</f>
        <v>6650.91263770317</v>
      </c>
      <c r="X836" s="14" t="n">
        <f aca="false">$B$4-90*($B$5+$B$6)/30-IF($B$11&lt;=90,$B$12,0)+L836+M836+N836+O836+P836+Q836</f>
        <v>9948.45742019812</v>
      </c>
      <c r="AA836" s="14" t="n">
        <f aca="false">MIN(R836:X836)</f>
        <v>1469.73932845717</v>
      </c>
    </row>
    <row r="837" customFormat="false" ht="15" hidden="false" customHeight="false" outlineLevel="0" collapsed="false">
      <c r="K837" s="2" t="n">
        <v>832</v>
      </c>
      <c r="L837" s="14" t="n">
        <f aca="true">$B$16+NORMINV(RAND(),0,SQRT($B$13*($B$7+$B$8^2))*$B$9*(1-$B$10))</f>
        <v>3658.85955409143</v>
      </c>
      <c r="M837" s="14" t="n">
        <f aca="true">$B$16+NORMINV(RAND(),0,SQRT($B$13*($B$7+$B$8^2))*$B$9*(1-$B$10))</f>
        <v>4427.81148880334</v>
      </c>
      <c r="N837" s="14" t="n">
        <f aca="true">$B$16+NORMINV(RAND(),0,SQRT($B$13*($B$7+$B$8^2))*$B$9*(1-$B$10))</f>
        <v>3512.26007879991</v>
      </c>
      <c r="O837" s="14" t="n">
        <f aca="true">$B$16+NORMINV(RAND(),0,SQRT($B$13*($B$7+$B$8^2))*$B$9*(1-$B$10))</f>
        <v>4340.21081544008</v>
      </c>
      <c r="P837" s="14" t="n">
        <f aca="true">$B$16+NORMINV(RAND(),0,SQRT($B$13*($B$7+$B$8^2))*$B$9*(1-$B$10))</f>
        <v>4049.60695998942</v>
      </c>
      <c r="Q837" s="14" t="n">
        <f aca="true">$B$16+NORMINV(RAND(),0,SQRT($B$13*($B$7+$B$8^2))*$B$9*(1-$B$10))</f>
        <v>3927.98216119874</v>
      </c>
      <c r="R837" s="14" t="n">
        <f aca="false">$B$4-13*($B$5+$B$6)/30-IF($B$11&lt;=13,$B$12,0)+0</f>
        <v>8876.66666666667</v>
      </c>
      <c r="S837" s="14" t="n">
        <f aca="false">$B$4-27*($B$5+$B$6)/30-IF($B$11&lt;=27,$B$12,0)+L837</f>
        <v>10248.8595540914</v>
      </c>
      <c r="T837" s="14" t="n">
        <f aca="false">$B$4-41*($B$5+$B$6)/30-IF($B$11&lt;=41,$B$12,0)+L837+M837</f>
        <v>1205.2043762281</v>
      </c>
      <c r="U837" s="14" t="n">
        <f aca="false">$B$4-55*($B$5+$B$6)/30-IF($B$11&lt;=55,$B$12,0)+L837+M837+N837</f>
        <v>2430.79778836134</v>
      </c>
      <c r="V837" s="14" t="n">
        <f aca="false">$B$4-69*($B$5+$B$6)/30-IF($B$11&lt;=69,$B$12,0)+L837+M837+N837+O837</f>
        <v>4484.34193713476</v>
      </c>
      <c r="W837" s="14" t="n">
        <f aca="false">$B$4-83*($B$5+$B$6)/30-IF($B$11&lt;=83,$B$12,0)+L837+M837+N837+O837+P837</f>
        <v>6247.28223045751</v>
      </c>
      <c r="X837" s="14" t="n">
        <f aca="false">$B$4-90*($B$5+$B$6)/30-IF($B$11&lt;=90,$B$12,0)+L837+M837+N837+O837+P837+Q837</f>
        <v>9031.93105832291</v>
      </c>
      <c r="AA837" s="14" t="n">
        <f aca="false">MIN(R837:X837)</f>
        <v>1205.2043762281</v>
      </c>
    </row>
    <row r="838" customFormat="false" ht="15" hidden="false" customHeight="false" outlineLevel="0" collapsed="false">
      <c r="K838" s="2" t="n">
        <v>833</v>
      </c>
      <c r="L838" s="14" t="n">
        <f aca="true">$B$16+NORMINV(RAND(),0,SQRT($B$13*($B$7+$B$8^2))*$B$9*(1-$B$10))</f>
        <v>3800.79847402896</v>
      </c>
      <c r="M838" s="14" t="n">
        <f aca="true">$B$16+NORMINV(RAND(),0,SQRT($B$13*($B$7+$B$8^2))*$B$9*(1-$B$10))</f>
        <v>4186.13144548624</v>
      </c>
      <c r="N838" s="14" t="n">
        <f aca="true">$B$16+NORMINV(RAND(),0,SQRT($B$13*($B$7+$B$8^2))*$B$9*(1-$B$10))</f>
        <v>4258.162393505</v>
      </c>
      <c r="O838" s="14" t="n">
        <f aca="true">$B$16+NORMINV(RAND(),0,SQRT($B$13*($B$7+$B$8^2))*$B$9*(1-$B$10))</f>
        <v>3738.42470751113</v>
      </c>
      <c r="P838" s="14" t="n">
        <f aca="true">$B$16+NORMINV(RAND(),0,SQRT($B$13*($B$7+$B$8^2))*$B$9*(1-$B$10))</f>
        <v>3676.815671235</v>
      </c>
      <c r="Q838" s="14" t="n">
        <f aca="true">$B$16+NORMINV(RAND(),0,SQRT($B$13*($B$7+$B$8^2))*$B$9*(1-$B$10))</f>
        <v>3910.51074063345</v>
      </c>
      <c r="R838" s="14" t="n">
        <f aca="false">$B$4-13*($B$5+$B$6)/30-IF($B$11&lt;=13,$B$12,0)+0</f>
        <v>8876.66666666667</v>
      </c>
      <c r="S838" s="14" t="n">
        <f aca="false">$B$4-27*($B$5+$B$6)/30-IF($B$11&lt;=27,$B$12,0)+L838</f>
        <v>10390.798474029</v>
      </c>
      <c r="T838" s="14" t="n">
        <f aca="false">$B$4-41*($B$5+$B$6)/30-IF($B$11&lt;=41,$B$12,0)+L838+M838</f>
        <v>1105.46325284853</v>
      </c>
      <c r="U838" s="14" t="n">
        <f aca="false">$B$4-55*($B$5+$B$6)/30-IF($B$11&lt;=55,$B$12,0)+L838+M838+N838</f>
        <v>3076.95897968687</v>
      </c>
      <c r="V838" s="14" t="n">
        <f aca="false">$B$4-69*($B$5+$B$6)/30-IF($B$11&lt;=69,$B$12,0)+L838+M838+N838+O838</f>
        <v>4528.71702053133</v>
      </c>
      <c r="W838" s="14" t="n">
        <f aca="false">$B$4-83*($B$5+$B$6)/30-IF($B$11&lt;=83,$B$12,0)+L838+M838+N838+O838+P838</f>
        <v>5918.86602509966</v>
      </c>
      <c r="X838" s="14" t="n">
        <f aca="false">$B$4-90*($B$5+$B$6)/30-IF($B$11&lt;=90,$B$12,0)+L838+M838+N838+O838+P838+Q838</f>
        <v>8686.04343239978</v>
      </c>
      <c r="AA838" s="14" t="n">
        <f aca="false">MIN(R838:X838)</f>
        <v>1105.46325284853</v>
      </c>
    </row>
    <row r="839" customFormat="false" ht="15" hidden="false" customHeight="false" outlineLevel="0" collapsed="false">
      <c r="K839" s="2" t="n">
        <v>834</v>
      </c>
      <c r="L839" s="14" t="n">
        <f aca="true">$B$16+NORMINV(RAND(),0,SQRT($B$13*($B$7+$B$8^2))*$B$9*(1-$B$10))</f>
        <v>4462.10233149844</v>
      </c>
      <c r="M839" s="14" t="n">
        <f aca="true">$B$16+NORMINV(RAND(),0,SQRT($B$13*($B$7+$B$8^2))*$B$9*(1-$B$10))</f>
        <v>4246.118680726</v>
      </c>
      <c r="N839" s="14" t="n">
        <f aca="true">$B$16+NORMINV(RAND(),0,SQRT($B$13*($B$7+$B$8^2))*$B$9*(1-$B$10))</f>
        <v>3820.41394227792</v>
      </c>
      <c r="O839" s="14" t="n">
        <f aca="true">$B$16+NORMINV(RAND(),0,SQRT($B$13*($B$7+$B$8^2))*$B$9*(1-$B$10))</f>
        <v>3309.88444386177</v>
      </c>
      <c r="P839" s="14" t="n">
        <f aca="true">$B$16+NORMINV(RAND(),0,SQRT($B$13*($B$7+$B$8^2))*$B$9*(1-$B$10))</f>
        <v>3789.29464198776</v>
      </c>
      <c r="Q839" s="14" t="n">
        <f aca="true">$B$16+NORMINV(RAND(),0,SQRT($B$13*($B$7+$B$8^2))*$B$9*(1-$B$10))</f>
        <v>4370.21142632688</v>
      </c>
      <c r="R839" s="14" t="n">
        <f aca="false">$B$4-13*($B$5+$B$6)/30-IF($B$11&lt;=13,$B$12,0)+0</f>
        <v>8876.66666666667</v>
      </c>
      <c r="S839" s="14" t="n">
        <f aca="false">$B$4-27*($B$5+$B$6)/30-IF($B$11&lt;=27,$B$12,0)+L839</f>
        <v>11052.1023314984</v>
      </c>
      <c r="T839" s="14" t="n">
        <f aca="false">$B$4-41*($B$5+$B$6)/30-IF($B$11&lt;=41,$B$12,0)+L839+M839</f>
        <v>1826.75434555778</v>
      </c>
      <c r="U839" s="14" t="n">
        <f aca="false">$B$4-55*($B$5+$B$6)/30-IF($B$11&lt;=55,$B$12,0)+L839+M839+N839</f>
        <v>3360.50162116903</v>
      </c>
      <c r="V839" s="14" t="n">
        <f aca="false">$B$4-69*($B$5+$B$6)/30-IF($B$11&lt;=69,$B$12,0)+L839+M839+N839+O839</f>
        <v>4383.71939836414</v>
      </c>
      <c r="W839" s="14" t="n">
        <f aca="false">$B$4-83*($B$5+$B$6)/30-IF($B$11&lt;=83,$B$12,0)+L839+M839+N839+O839+P839</f>
        <v>5886.34737368524</v>
      </c>
      <c r="X839" s="14" t="n">
        <f aca="false">$B$4-90*($B$5+$B$6)/30-IF($B$11&lt;=90,$B$12,0)+L839+M839+N839+O839+P839+Q839</f>
        <v>9113.22546667879</v>
      </c>
      <c r="AA839" s="14" t="n">
        <f aca="false">MIN(R839:X839)</f>
        <v>1826.75434555778</v>
      </c>
    </row>
    <row r="840" customFormat="false" ht="15" hidden="false" customHeight="false" outlineLevel="0" collapsed="false">
      <c r="K840" s="2" t="n">
        <v>835</v>
      </c>
      <c r="L840" s="14" t="n">
        <f aca="true">$B$16+NORMINV(RAND(),0,SQRT($B$13*($B$7+$B$8^2))*$B$9*(1-$B$10))</f>
        <v>3834.78137336173</v>
      </c>
      <c r="M840" s="14" t="n">
        <f aca="true">$B$16+NORMINV(RAND(),0,SQRT($B$13*($B$7+$B$8^2))*$B$9*(1-$B$10))</f>
        <v>3721.29157723025</v>
      </c>
      <c r="N840" s="14" t="n">
        <f aca="true">$B$16+NORMINV(RAND(),0,SQRT($B$13*($B$7+$B$8^2))*$B$9*(1-$B$10))</f>
        <v>3941.41052085567</v>
      </c>
      <c r="O840" s="14" t="n">
        <f aca="true">$B$16+NORMINV(RAND(),0,SQRT($B$13*($B$7+$B$8^2))*$B$9*(1-$B$10))</f>
        <v>4036.47517942889</v>
      </c>
      <c r="P840" s="14" t="n">
        <f aca="true">$B$16+NORMINV(RAND(),0,SQRT($B$13*($B$7+$B$8^2))*$B$9*(1-$B$10))</f>
        <v>3868.32003144476</v>
      </c>
      <c r="Q840" s="14" t="n">
        <f aca="true">$B$16+NORMINV(RAND(),0,SQRT($B$13*($B$7+$B$8^2))*$B$9*(1-$B$10))</f>
        <v>4125.31929839789</v>
      </c>
      <c r="R840" s="14" t="n">
        <f aca="false">$B$4-13*($B$5+$B$6)/30-IF($B$11&lt;=13,$B$12,0)+0</f>
        <v>8876.66666666667</v>
      </c>
      <c r="S840" s="14" t="n">
        <f aca="false">$B$4-27*($B$5+$B$6)/30-IF($B$11&lt;=27,$B$12,0)+L840</f>
        <v>10424.7813733617</v>
      </c>
      <c r="T840" s="14" t="n">
        <f aca="false">$B$4-41*($B$5+$B$6)/30-IF($B$11&lt;=41,$B$12,0)+L840+M840</f>
        <v>674.606283925317</v>
      </c>
      <c r="U840" s="14" t="n">
        <f aca="false">$B$4-55*($B$5+$B$6)/30-IF($B$11&lt;=55,$B$12,0)+L840+M840+N840</f>
        <v>2329.35013811432</v>
      </c>
      <c r="V840" s="14" t="n">
        <f aca="false">$B$4-69*($B$5+$B$6)/30-IF($B$11&lt;=69,$B$12,0)+L840+M840+N840+O840</f>
        <v>4079.15865087654</v>
      </c>
      <c r="W840" s="14" t="n">
        <f aca="false">$B$4-83*($B$5+$B$6)/30-IF($B$11&lt;=83,$B$12,0)+L840+M840+N840+O840+P840</f>
        <v>5660.81201565463</v>
      </c>
      <c r="X840" s="14" t="n">
        <f aca="false">$B$4-90*($B$5+$B$6)/30-IF($B$11&lt;=90,$B$12,0)+L840+M840+N840+O840+P840+Q840</f>
        <v>8642.79798071919</v>
      </c>
      <c r="AA840" s="14" t="n">
        <f aca="false">MIN(R840:X840)</f>
        <v>674.606283925317</v>
      </c>
    </row>
    <row r="841" customFormat="false" ht="15" hidden="false" customHeight="false" outlineLevel="0" collapsed="false">
      <c r="K841" s="2" t="n">
        <v>836</v>
      </c>
      <c r="L841" s="14" t="n">
        <f aca="true">$B$16+NORMINV(RAND(),0,SQRT($B$13*($B$7+$B$8^2))*$B$9*(1-$B$10))</f>
        <v>3795.04542156949</v>
      </c>
      <c r="M841" s="14" t="n">
        <f aca="true">$B$16+NORMINV(RAND(),0,SQRT($B$13*($B$7+$B$8^2))*$B$9*(1-$B$10))</f>
        <v>4278.06465178953</v>
      </c>
      <c r="N841" s="14" t="n">
        <f aca="true">$B$16+NORMINV(RAND(),0,SQRT($B$13*($B$7+$B$8^2))*$B$9*(1-$B$10))</f>
        <v>3959.00479020417</v>
      </c>
      <c r="O841" s="14" t="n">
        <f aca="true">$B$16+NORMINV(RAND(),0,SQRT($B$13*($B$7+$B$8^2))*$B$9*(1-$B$10))</f>
        <v>3670.63953744298</v>
      </c>
      <c r="P841" s="14" t="n">
        <f aca="true">$B$16+NORMINV(RAND(),0,SQRT($B$13*($B$7+$B$8^2))*$B$9*(1-$B$10))</f>
        <v>4074.82731415728</v>
      </c>
      <c r="Q841" s="14" t="n">
        <f aca="true">$B$16+NORMINV(RAND(),0,SQRT($B$13*($B$7+$B$8^2))*$B$9*(1-$B$10))</f>
        <v>3750.67268904025</v>
      </c>
      <c r="R841" s="14" t="n">
        <f aca="false">$B$4-13*($B$5+$B$6)/30-IF($B$11&lt;=13,$B$12,0)+0</f>
        <v>8876.66666666667</v>
      </c>
      <c r="S841" s="14" t="n">
        <f aca="false">$B$4-27*($B$5+$B$6)/30-IF($B$11&lt;=27,$B$12,0)+L841</f>
        <v>10385.0454215695</v>
      </c>
      <c r="T841" s="14" t="n">
        <f aca="false">$B$4-41*($B$5+$B$6)/30-IF($B$11&lt;=41,$B$12,0)+L841+M841</f>
        <v>1191.64340669236</v>
      </c>
      <c r="U841" s="14" t="n">
        <f aca="false">$B$4-55*($B$5+$B$6)/30-IF($B$11&lt;=55,$B$12,0)+L841+M841+N841</f>
        <v>2863.98153022987</v>
      </c>
      <c r="V841" s="14" t="n">
        <f aca="false">$B$4-69*($B$5+$B$6)/30-IF($B$11&lt;=69,$B$12,0)+L841+M841+N841+O841</f>
        <v>4247.95440100618</v>
      </c>
      <c r="W841" s="14" t="n">
        <f aca="false">$B$4-83*($B$5+$B$6)/30-IF($B$11&lt;=83,$B$12,0)+L841+M841+N841+O841+P841</f>
        <v>6036.11504849679</v>
      </c>
      <c r="X841" s="14" t="n">
        <f aca="false">$B$4-90*($B$5+$B$6)/30-IF($B$11&lt;=90,$B$12,0)+L841+M841+N841+O841+P841+Q841</f>
        <v>8643.45440420371</v>
      </c>
      <c r="AA841" s="14" t="n">
        <f aca="false">MIN(R841:X841)</f>
        <v>1191.64340669236</v>
      </c>
    </row>
    <row r="842" customFormat="false" ht="15" hidden="false" customHeight="false" outlineLevel="0" collapsed="false">
      <c r="K842" s="2" t="n">
        <v>837</v>
      </c>
      <c r="L842" s="14" t="n">
        <f aca="true">$B$16+NORMINV(RAND(),0,SQRT($B$13*($B$7+$B$8^2))*$B$9*(1-$B$10))</f>
        <v>3886.12622455846</v>
      </c>
      <c r="M842" s="14" t="n">
        <f aca="true">$B$16+NORMINV(RAND(),0,SQRT($B$13*($B$7+$B$8^2))*$B$9*(1-$B$10))</f>
        <v>3856.35500932024</v>
      </c>
      <c r="N842" s="14" t="n">
        <f aca="true">$B$16+NORMINV(RAND(),0,SQRT($B$13*($B$7+$B$8^2))*$B$9*(1-$B$10))</f>
        <v>4392.31495342338</v>
      </c>
      <c r="O842" s="14" t="n">
        <f aca="true">$B$16+NORMINV(RAND(),0,SQRT($B$13*($B$7+$B$8^2))*$B$9*(1-$B$10))</f>
        <v>3904.49365527692</v>
      </c>
      <c r="P842" s="14" t="n">
        <f aca="true">$B$16+NORMINV(RAND(),0,SQRT($B$13*($B$7+$B$8^2))*$B$9*(1-$B$10))</f>
        <v>4203.78987751262</v>
      </c>
      <c r="Q842" s="14" t="n">
        <f aca="true">$B$16+NORMINV(RAND(),0,SQRT($B$13*($B$7+$B$8^2))*$B$9*(1-$B$10))</f>
        <v>4440.96582363928</v>
      </c>
      <c r="R842" s="14" t="n">
        <f aca="false">$B$4-13*($B$5+$B$6)/30-IF($B$11&lt;=13,$B$12,0)+0</f>
        <v>8876.66666666667</v>
      </c>
      <c r="S842" s="14" t="n">
        <f aca="false">$B$4-27*($B$5+$B$6)/30-IF($B$11&lt;=27,$B$12,0)+L842</f>
        <v>10476.1262245585</v>
      </c>
      <c r="T842" s="14" t="n">
        <f aca="false">$B$4-41*($B$5+$B$6)/30-IF($B$11&lt;=41,$B$12,0)+L842+M842</f>
        <v>861.014567212039</v>
      </c>
      <c r="U842" s="14" t="n">
        <f aca="false">$B$4-55*($B$5+$B$6)/30-IF($B$11&lt;=55,$B$12,0)+L842+M842+N842</f>
        <v>2966.66285396875</v>
      </c>
      <c r="V842" s="14" t="n">
        <f aca="false">$B$4-69*($B$5+$B$6)/30-IF($B$11&lt;=69,$B$12,0)+L842+M842+N842+O842</f>
        <v>4584.48984257901</v>
      </c>
      <c r="W842" s="14" t="n">
        <f aca="false">$B$4-83*($B$5+$B$6)/30-IF($B$11&lt;=83,$B$12,0)+L842+M842+N842+O842+P842</f>
        <v>6501.61305342496</v>
      </c>
      <c r="X842" s="14" t="n">
        <f aca="false">$B$4-90*($B$5+$B$6)/30-IF($B$11&lt;=90,$B$12,0)+L842+M842+N842+O842+P842+Q842</f>
        <v>9799.24554373091</v>
      </c>
      <c r="AA842" s="14" t="n">
        <f aca="false">MIN(R842:X842)</f>
        <v>861.014567212039</v>
      </c>
    </row>
    <row r="843" customFormat="false" ht="15" hidden="false" customHeight="false" outlineLevel="0" collapsed="false">
      <c r="K843" s="2" t="n">
        <v>838</v>
      </c>
      <c r="L843" s="14" t="n">
        <f aca="true">$B$16+NORMINV(RAND(),0,SQRT($B$13*($B$7+$B$8^2))*$B$9*(1-$B$10))</f>
        <v>4659.6594543837</v>
      </c>
      <c r="M843" s="14" t="n">
        <f aca="true">$B$16+NORMINV(RAND(),0,SQRT($B$13*($B$7+$B$8^2))*$B$9*(1-$B$10))</f>
        <v>4120.56460910648</v>
      </c>
      <c r="N843" s="14" t="n">
        <f aca="true">$B$16+NORMINV(RAND(),0,SQRT($B$13*($B$7+$B$8^2))*$B$9*(1-$B$10))</f>
        <v>3909.25637990621</v>
      </c>
      <c r="O843" s="14" t="n">
        <f aca="true">$B$16+NORMINV(RAND(),0,SQRT($B$13*($B$7+$B$8^2))*$B$9*(1-$B$10))</f>
        <v>3654.91254669185</v>
      </c>
      <c r="P843" s="14" t="n">
        <f aca="true">$B$16+NORMINV(RAND(),0,SQRT($B$13*($B$7+$B$8^2))*$B$9*(1-$B$10))</f>
        <v>4085.99648155174</v>
      </c>
      <c r="Q843" s="14" t="n">
        <f aca="true">$B$16+NORMINV(RAND(),0,SQRT($B$13*($B$7+$B$8^2))*$B$9*(1-$B$10))</f>
        <v>4292.28332038224</v>
      </c>
      <c r="R843" s="14" t="n">
        <f aca="false">$B$4-13*($B$5+$B$6)/30-IF($B$11&lt;=13,$B$12,0)+0</f>
        <v>8876.66666666667</v>
      </c>
      <c r="S843" s="14" t="n">
        <f aca="false">$B$4-27*($B$5+$B$6)/30-IF($B$11&lt;=27,$B$12,0)+L843</f>
        <v>11249.6594543837</v>
      </c>
      <c r="T843" s="14" t="n">
        <f aca="false">$B$4-41*($B$5+$B$6)/30-IF($B$11&lt;=41,$B$12,0)+L843+M843</f>
        <v>1898.75739682352</v>
      </c>
      <c r="U843" s="14" t="n">
        <f aca="false">$B$4-55*($B$5+$B$6)/30-IF($B$11&lt;=55,$B$12,0)+L843+M843+N843</f>
        <v>3521.34711006306</v>
      </c>
      <c r="V843" s="14" t="n">
        <f aca="false">$B$4-69*($B$5+$B$6)/30-IF($B$11&lt;=69,$B$12,0)+L843+M843+N843+O843</f>
        <v>4889.59299008824</v>
      </c>
      <c r="W843" s="14" t="n">
        <f aca="false">$B$4-83*($B$5+$B$6)/30-IF($B$11&lt;=83,$B$12,0)+L843+M843+N843+O843+P843</f>
        <v>6688.92280497332</v>
      </c>
      <c r="X843" s="14" t="n">
        <f aca="false">$B$4-90*($B$5+$B$6)/30-IF($B$11&lt;=90,$B$12,0)+L843+M843+N843+O843+P843+Q843</f>
        <v>9837.87279202222</v>
      </c>
      <c r="AA843" s="14" t="n">
        <f aca="false">MIN(R843:X843)</f>
        <v>1898.75739682352</v>
      </c>
    </row>
    <row r="844" customFormat="false" ht="15" hidden="false" customHeight="false" outlineLevel="0" collapsed="false">
      <c r="K844" s="2" t="n">
        <v>839</v>
      </c>
      <c r="L844" s="14" t="n">
        <f aca="true">$B$16+NORMINV(RAND(),0,SQRT($B$13*($B$7+$B$8^2))*$B$9*(1-$B$10))</f>
        <v>4296.48116105124</v>
      </c>
      <c r="M844" s="14" t="n">
        <f aca="true">$B$16+NORMINV(RAND(),0,SQRT($B$13*($B$7+$B$8^2))*$B$9*(1-$B$10))</f>
        <v>4213.82527217049</v>
      </c>
      <c r="N844" s="14" t="n">
        <f aca="true">$B$16+NORMINV(RAND(),0,SQRT($B$13*($B$7+$B$8^2))*$B$9*(1-$B$10))</f>
        <v>4389.2403036879</v>
      </c>
      <c r="O844" s="14" t="n">
        <f aca="true">$B$16+NORMINV(RAND(),0,SQRT($B$13*($B$7+$B$8^2))*$B$9*(1-$B$10))</f>
        <v>4778.68341848373</v>
      </c>
      <c r="P844" s="14" t="n">
        <f aca="true">$B$16+NORMINV(RAND(),0,SQRT($B$13*($B$7+$B$8^2))*$B$9*(1-$B$10))</f>
        <v>3826.19382864737</v>
      </c>
      <c r="Q844" s="14" t="n">
        <f aca="true">$B$16+NORMINV(RAND(),0,SQRT($B$13*($B$7+$B$8^2))*$B$9*(1-$B$10))</f>
        <v>3755.4350552147</v>
      </c>
      <c r="R844" s="14" t="n">
        <f aca="false">$B$4-13*($B$5+$B$6)/30-IF($B$11&lt;=13,$B$12,0)+0</f>
        <v>8876.66666666667</v>
      </c>
      <c r="S844" s="14" t="n">
        <f aca="false">$B$4-27*($B$5+$B$6)/30-IF($B$11&lt;=27,$B$12,0)+L844</f>
        <v>10886.4811610512</v>
      </c>
      <c r="T844" s="14" t="n">
        <f aca="false">$B$4-41*($B$5+$B$6)/30-IF($B$11&lt;=41,$B$12,0)+L844+M844</f>
        <v>1628.83976655506</v>
      </c>
      <c r="U844" s="14" t="n">
        <f aca="false">$B$4-55*($B$5+$B$6)/30-IF($B$11&lt;=55,$B$12,0)+L844+M844+N844</f>
        <v>3731.41340357629</v>
      </c>
      <c r="V844" s="14" t="n">
        <f aca="false">$B$4-69*($B$5+$B$6)/30-IF($B$11&lt;=69,$B$12,0)+L844+M844+N844+O844</f>
        <v>6223.43015539336</v>
      </c>
      <c r="W844" s="14" t="n">
        <f aca="false">$B$4-83*($B$5+$B$6)/30-IF($B$11&lt;=83,$B$12,0)+L844+M844+N844+O844+P844</f>
        <v>7762.95731737406</v>
      </c>
      <c r="X844" s="14" t="n">
        <f aca="false">$B$4-90*($B$5+$B$6)/30-IF($B$11&lt;=90,$B$12,0)+L844+M844+N844+O844+P844+Q844</f>
        <v>10375.0590392554</v>
      </c>
      <c r="AA844" s="14" t="n">
        <f aca="false">MIN(R844:X844)</f>
        <v>1628.83976655506</v>
      </c>
    </row>
    <row r="845" customFormat="false" ht="15" hidden="false" customHeight="false" outlineLevel="0" collapsed="false">
      <c r="K845" s="2" t="n">
        <v>840</v>
      </c>
      <c r="L845" s="14" t="n">
        <f aca="true">$B$16+NORMINV(RAND(),0,SQRT($B$13*($B$7+$B$8^2))*$B$9*(1-$B$10))</f>
        <v>3959.38212463402</v>
      </c>
      <c r="M845" s="14" t="n">
        <f aca="true">$B$16+NORMINV(RAND(),0,SQRT($B$13*($B$7+$B$8^2))*$B$9*(1-$B$10))</f>
        <v>3767.1471805291</v>
      </c>
      <c r="N845" s="14" t="n">
        <f aca="true">$B$16+NORMINV(RAND(),0,SQRT($B$13*($B$7+$B$8^2))*$B$9*(1-$B$10))</f>
        <v>4074.12201258249</v>
      </c>
      <c r="O845" s="14" t="n">
        <f aca="true">$B$16+NORMINV(RAND(),0,SQRT($B$13*($B$7+$B$8^2))*$B$9*(1-$B$10))</f>
        <v>4168.16611389239</v>
      </c>
      <c r="P845" s="14" t="n">
        <f aca="true">$B$16+NORMINV(RAND(),0,SQRT($B$13*($B$7+$B$8^2))*$B$9*(1-$B$10))</f>
        <v>3963.24989536975</v>
      </c>
      <c r="Q845" s="14" t="n">
        <f aca="true">$B$16+NORMINV(RAND(),0,SQRT($B$13*($B$7+$B$8^2))*$B$9*(1-$B$10))</f>
        <v>4074.82847149116</v>
      </c>
      <c r="R845" s="14" t="n">
        <f aca="false">$B$4-13*($B$5+$B$6)/30-IF($B$11&lt;=13,$B$12,0)+0</f>
        <v>8876.66666666667</v>
      </c>
      <c r="S845" s="14" t="n">
        <f aca="false">$B$4-27*($B$5+$B$6)/30-IF($B$11&lt;=27,$B$12,0)+L845</f>
        <v>10549.382124634</v>
      </c>
      <c r="T845" s="14" t="n">
        <f aca="false">$B$4-41*($B$5+$B$6)/30-IF($B$11&lt;=41,$B$12,0)+L845+M845</f>
        <v>845.062638496449</v>
      </c>
      <c r="U845" s="14" t="n">
        <f aca="false">$B$4-55*($B$5+$B$6)/30-IF($B$11&lt;=55,$B$12,0)+L845+M845+N845</f>
        <v>2632.51798441227</v>
      </c>
      <c r="V845" s="14" t="n">
        <f aca="false">$B$4-69*($B$5+$B$6)/30-IF($B$11&lt;=69,$B$12,0)+L845+M845+N845+O845</f>
        <v>4514.01743163799</v>
      </c>
      <c r="W845" s="14" t="n">
        <f aca="false">$B$4-83*($B$5+$B$6)/30-IF($B$11&lt;=83,$B$12,0)+L845+M845+N845+O845+P845</f>
        <v>6190.60066034108</v>
      </c>
      <c r="X845" s="14" t="n">
        <f aca="false">$B$4-90*($B$5+$B$6)/30-IF($B$11&lt;=90,$B$12,0)+L845+M845+N845+O845+P845+Q845</f>
        <v>9122.09579849891</v>
      </c>
      <c r="AA845" s="14" t="n">
        <f aca="false">MIN(R845:X845)</f>
        <v>845.062638496449</v>
      </c>
    </row>
    <row r="846" customFormat="false" ht="15" hidden="false" customHeight="false" outlineLevel="0" collapsed="false">
      <c r="K846" s="2" t="n">
        <v>841</v>
      </c>
      <c r="L846" s="14" t="n">
        <f aca="true">$B$16+NORMINV(RAND(),0,SQRT($B$13*($B$7+$B$8^2))*$B$9*(1-$B$10))</f>
        <v>4020.73172330007</v>
      </c>
      <c r="M846" s="14" t="n">
        <f aca="true">$B$16+NORMINV(RAND(),0,SQRT($B$13*($B$7+$B$8^2))*$B$9*(1-$B$10))</f>
        <v>3804.06694865317</v>
      </c>
      <c r="N846" s="14" t="n">
        <f aca="true">$B$16+NORMINV(RAND(),0,SQRT($B$13*($B$7+$B$8^2))*$B$9*(1-$B$10))</f>
        <v>4263.0560318424</v>
      </c>
      <c r="O846" s="14" t="n">
        <f aca="true">$B$16+NORMINV(RAND(),0,SQRT($B$13*($B$7+$B$8^2))*$B$9*(1-$B$10))</f>
        <v>4231.52732338381</v>
      </c>
      <c r="P846" s="14" t="n">
        <f aca="true">$B$16+NORMINV(RAND(),0,SQRT($B$13*($B$7+$B$8^2))*$B$9*(1-$B$10))</f>
        <v>3974.88935141995</v>
      </c>
      <c r="Q846" s="14" t="n">
        <f aca="true">$B$16+NORMINV(RAND(),0,SQRT($B$13*($B$7+$B$8^2))*$B$9*(1-$B$10))</f>
        <v>4030.43508584325</v>
      </c>
      <c r="R846" s="14" t="n">
        <f aca="false">$B$4-13*($B$5+$B$6)/30-IF($B$11&lt;=13,$B$12,0)+0</f>
        <v>8876.66666666667</v>
      </c>
      <c r="S846" s="14" t="n">
        <f aca="false">$B$4-27*($B$5+$B$6)/30-IF($B$11&lt;=27,$B$12,0)+L846</f>
        <v>10610.7317233001</v>
      </c>
      <c r="T846" s="14" t="n">
        <f aca="false">$B$4-41*($B$5+$B$6)/30-IF($B$11&lt;=41,$B$12,0)+L846+M846</f>
        <v>943.332005286571</v>
      </c>
      <c r="U846" s="14" t="n">
        <f aca="false">$B$4-55*($B$5+$B$6)/30-IF($B$11&lt;=55,$B$12,0)+L846+M846+N846</f>
        <v>2919.7213704623</v>
      </c>
      <c r="V846" s="14" t="n">
        <f aca="false">$B$4-69*($B$5+$B$6)/30-IF($B$11&lt;=69,$B$12,0)+L846+M846+N846+O846</f>
        <v>4864.58202717945</v>
      </c>
      <c r="W846" s="14" t="n">
        <f aca="false">$B$4-83*($B$5+$B$6)/30-IF($B$11&lt;=83,$B$12,0)+L846+M846+N846+O846+P846</f>
        <v>6552.80471193273</v>
      </c>
      <c r="X846" s="14" t="n">
        <f aca="false">$B$4-90*($B$5+$B$6)/30-IF($B$11&lt;=90,$B$12,0)+L846+M846+N846+O846+P846+Q846</f>
        <v>9439.90646444264</v>
      </c>
      <c r="AA846" s="14" t="n">
        <f aca="false">MIN(R846:X846)</f>
        <v>943.332005286571</v>
      </c>
    </row>
    <row r="847" customFormat="false" ht="15" hidden="false" customHeight="false" outlineLevel="0" collapsed="false">
      <c r="K847" s="2" t="n">
        <v>842</v>
      </c>
      <c r="L847" s="14" t="n">
        <f aca="true">$B$16+NORMINV(RAND(),0,SQRT($B$13*($B$7+$B$8^2))*$B$9*(1-$B$10))</f>
        <v>4096.72194198091</v>
      </c>
      <c r="M847" s="14" t="n">
        <f aca="true">$B$16+NORMINV(RAND(),0,SQRT($B$13*($B$7+$B$8^2))*$B$9*(1-$B$10))</f>
        <v>4657.53868187222</v>
      </c>
      <c r="N847" s="14" t="n">
        <f aca="true">$B$16+NORMINV(RAND(),0,SQRT($B$13*($B$7+$B$8^2))*$B$9*(1-$B$10))</f>
        <v>3978.14296559429</v>
      </c>
      <c r="O847" s="14" t="n">
        <f aca="true">$B$16+NORMINV(RAND(),0,SQRT($B$13*($B$7+$B$8^2))*$B$9*(1-$B$10))</f>
        <v>4230.32030607092</v>
      </c>
      <c r="P847" s="14" t="n">
        <f aca="true">$B$16+NORMINV(RAND(),0,SQRT($B$13*($B$7+$B$8^2))*$B$9*(1-$B$10))</f>
        <v>3795.06109267437</v>
      </c>
      <c r="Q847" s="14" t="n">
        <f aca="true">$B$16+NORMINV(RAND(),0,SQRT($B$13*($B$7+$B$8^2))*$B$9*(1-$B$10))</f>
        <v>3530.39703196548</v>
      </c>
      <c r="R847" s="14" t="n">
        <f aca="false">$B$4-13*($B$5+$B$6)/30-IF($B$11&lt;=13,$B$12,0)+0</f>
        <v>8876.66666666667</v>
      </c>
      <c r="S847" s="14" t="n">
        <f aca="false">$B$4-27*($B$5+$B$6)/30-IF($B$11&lt;=27,$B$12,0)+L847</f>
        <v>10686.7219419809</v>
      </c>
      <c r="T847" s="14" t="n">
        <f aca="false">$B$4-41*($B$5+$B$6)/30-IF($B$11&lt;=41,$B$12,0)+L847+M847</f>
        <v>1872.79395718646</v>
      </c>
      <c r="U847" s="14" t="n">
        <f aca="false">$B$4-55*($B$5+$B$6)/30-IF($B$11&lt;=55,$B$12,0)+L847+M847+N847</f>
        <v>3564.27025611408</v>
      </c>
      <c r="V847" s="14" t="n">
        <f aca="false">$B$4-69*($B$5+$B$6)/30-IF($B$11&lt;=69,$B$12,0)+L847+M847+N847+O847</f>
        <v>5507.92389551834</v>
      </c>
      <c r="W847" s="14" t="n">
        <f aca="false">$B$4-83*($B$5+$B$6)/30-IF($B$11&lt;=83,$B$12,0)+L847+M847+N847+O847+P847</f>
        <v>7016.31832152604</v>
      </c>
      <c r="X847" s="14" t="n">
        <f aca="false">$B$4-90*($B$5+$B$6)/30-IF($B$11&lt;=90,$B$12,0)+L847+M847+N847+O847+P847+Q847</f>
        <v>9403.38202015818</v>
      </c>
      <c r="AA847" s="14" t="n">
        <f aca="false">MIN(R847:X847)</f>
        <v>1872.79395718646</v>
      </c>
    </row>
    <row r="848" customFormat="false" ht="15" hidden="false" customHeight="false" outlineLevel="0" collapsed="false">
      <c r="K848" s="2" t="n">
        <v>843</v>
      </c>
      <c r="L848" s="14" t="n">
        <f aca="true">$B$16+NORMINV(RAND(),0,SQRT($B$13*($B$7+$B$8^2))*$B$9*(1-$B$10))</f>
        <v>4485.60686739154</v>
      </c>
      <c r="M848" s="14" t="n">
        <f aca="true">$B$16+NORMINV(RAND(),0,SQRT($B$13*($B$7+$B$8^2))*$B$9*(1-$B$10))</f>
        <v>4384.3047742968</v>
      </c>
      <c r="N848" s="14" t="n">
        <f aca="true">$B$16+NORMINV(RAND(),0,SQRT($B$13*($B$7+$B$8^2))*$B$9*(1-$B$10))</f>
        <v>4145.19149747803</v>
      </c>
      <c r="O848" s="14" t="n">
        <f aca="true">$B$16+NORMINV(RAND(),0,SQRT($B$13*($B$7+$B$8^2))*$B$9*(1-$B$10))</f>
        <v>4347.16200776767</v>
      </c>
      <c r="P848" s="14" t="n">
        <f aca="true">$B$16+NORMINV(RAND(),0,SQRT($B$13*($B$7+$B$8^2))*$B$9*(1-$B$10))</f>
        <v>4026.67613527848</v>
      </c>
      <c r="Q848" s="14" t="n">
        <f aca="true">$B$16+NORMINV(RAND(),0,SQRT($B$13*($B$7+$B$8^2))*$B$9*(1-$B$10))</f>
        <v>3892.31051748763</v>
      </c>
      <c r="R848" s="14" t="n">
        <f aca="false">$B$4-13*($B$5+$B$6)/30-IF($B$11&lt;=13,$B$12,0)+0</f>
        <v>8876.66666666667</v>
      </c>
      <c r="S848" s="14" t="n">
        <f aca="false">$B$4-27*($B$5+$B$6)/30-IF($B$11&lt;=27,$B$12,0)+L848</f>
        <v>11075.6068673915</v>
      </c>
      <c r="T848" s="14" t="n">
        <f aca="false">$B$4-41*($B$5+$B$6)/30-IF($B$11&lt;=41,$B$12,0)+L848+M848</f>
        <v>1988.44497502166</v>
      </c>
      <c r="U848" s="14" t="n">
        <f aca="false">$B$4-55*($B$5+$B$6)/30-IF($B$11&lt;=55,$B$12,0)+L848+M848+N848</f>
        <v>3846.96980583302</v>
      </c>
      <c r="V848" s="14" t="n">
        <f aca="false">$B$4-69*($B$5+$B$6)/30-IF($B$11&lt;=69,$B$12,0)+L848+M848+N848+O848</f>
        <v>5907.46514693403</v>
      </c>
      <c r="W848" s="14" t="n">
        <f aca="false">$B$4-83*($B$5+$B$6)/30-IF($B$11&lt;=83,$B$12,0)+L848+M848+N848+O848+P848</f>
        <v>7647.47461554584</v>
      </c>
      <c r="X848" s="14" t="n">
        <f aca="false">$B$4-90*($B$5+$B$6)/30-IF($B$11&lt;=90,$B$12,0)+L848+M848+N848+O848+P848+Q848</f>
        <v>10396.4517997001</v>
      </c>
      <c r="AA848" s="14" t="n">
        <f aca="false">MIN(R848:X848)</f>
        <v>1988.44497502166</v>
      </c>
    </row>
    <row r="849" customFormat="false" ht="15" hidden="false" customHeight="false" outlineLevel="0" collapsed="false">
      <c r="K849" s="2" t="n">
        <v>844</v>
      </c>
      <c r="L849" s="14" t="n">
        <f aca="true">$B$16+NORMINV(RAND(),0,SQRT($B$13*($B$7+$B$8^2))*$B$9*(1-$B$10))</f>
        <v>3956.77520375748</v>
      </c>
      <c r="M849" s="14" t="n">
        <f aca="true">$B$16+NORMINV(RAND(),0,SQRT($B$13*($B$7+$B$8^2))*$B$9*(1-$B$10))</f>
        <v>3978.03694628178</v>
      </c>
      <c r="N849" s="14" t="n">
        <f aca="true">$B$16+NORMINV(RAND(),0,SQRT($B$13*($B$7+$B$8^2))*$B$9*(1-$B$10))</f>
        <v>4133.71093621707</v>
      </c>
      <c r="O849" s="14" t="n">
        <f aca="true">$B$16+NORMINV(RAND(),0,SQRT($B$13*($B$7+$B$8^2))*$B$9*(1-$B$10))</f>
        <v>4115.73069895237</v>
      </c>
      <c r="P849" s="14" t="n">
        <f aca="true">$B$16+NORMINV(RAND(),0,SQRT($B$13*($B$7+$B$8^2))*$B$9*(1-$B$10))</f>
        <v>4245.96678722459</v>
      </c>
      <c r="Q849" s="14" t="n">
        <f aca="true">$B$16+NORMINV(RAND(),0,SQRT($B$13*($B$7+$B$8^2))*$B$9*(1-$B$10))</f>
        <v>4348.91391109709</v>
      </c>
      <c r="R849" s="14" t="n">
        <f aca="false">$B$4-13*($B$5+$B$6)/30-IF($B$11&lt;=13,$B$12,0)+0</f>
        <v>8876.66666666667</v>
      </c>
      <c r="S849" s="14" t="n">
        <f aca="false">$B$4-27*($B$5+$B$6)/30-IF($B$11&lt;=27,$B$12,0)+L849</f>
        <v>10546.7752037575</v>
      </c>
      <c r="T849" s="14" t="n">
        <f aca="false">$B$4-41*($B$5+$B$6)/30-IF($B$11&lt;=41,$B$12,0)+L849+M849</f>
        <v>1053.34548337259</v>
      </c>
      <c r="U849" s="14" t="n">
        <f aca="false">$B$4-55*($B$5+$B$6)/30-IF($B$11&lt;=55,$B$12,0)+L849+M849+N849</f>
        <v>2900.38975292299</v>
      </c>
      <c r="V849" s="14" t="n">
        <f aca="false">$B$4-69*($B$5+$B$6)/30-IF($B$11&lt;=69,$B$12,0)+L849+M849+N849+O849</f>
        <v>4729.45378520869</v>
      </c>
      <c r="W849" s="14" t="n">
        <f aca="false">$B$4-83*($B$5+$B$6)/30-IF($B$11&lt;=83,$B$12,0)+L849+M849+N849+O849+P849</f>
        <v>6688.75390576661</v>
      </c>
      <c r="X849" s="14" t="n">
        <f aca="false">$B$4-90*($B$5+$B$6)/30-IF($B$11&lt;=90,$B$12,0)+L849+M849+N849+O849+P849+Q849</f>
        <v>9894.33448353037</v>
      </c>
      <c r="AA849" s="14" t="n">
        <f aca="false">MIN(R849:X849)</f>
        <v>1053.34548337259</v>
      </c>
    </row>
    <row r="850" customFormat="false" ht="15" hidden="false" customHeight="false" outlineLevel="0" collapsed="false">
      <c r="K850" s="2" t="n">
        <v>845</v>
      </c>
      <c r="L850" s="14" t="n">
        <f aca="true">$B$16+NORMINV(RAND(),0,SQRT($B$13*($B$7+$B$8^2))*$B$9*(1-$B$10))</f>
        <v>4090.79846536645</v>
      </c>
      <c r="M850" s="14" t="n">
        <f aca="true">$B$16+NORMINV(RAND(),0,SQRT($B$13*($B$7+$B$8^2))*$B$9*(1-$B$10))</f>
        <v>3984.63905458122</v>
      </c>
      <c r="N850" s="14" t="n">
        <f aca="true">$B$16+NORMINV(RAND(),0,SQRT($B$13*($B$7+$B$8^2))*$B$9*(1-$B$10))</f>
        <v>3603.53010193253</v>
      </c>
      <c r="O850" s="14" t="n">
        <f aca="true">$B$16+NORMINV(RAND(),0,SQRT($B$13*($B$7+$B$8^2))*$B$9*(1-$B$10))</f>
        <v>3913.85637126352</v>
      </c>
      <c r="P850" s="14" t="n">
        <f aca="true">$B$16+NORMINV(RAND(),0,SQRT($B$13*($B$7+$B$8^2))*$B$9*(1-$B$10))</f>
        <v>3997.80225537826</v>
      </c>
      <c r="Q850" s="14" t="n">
        <f aca="true">$B$16+NORMINV(RAND(),0,SQRT($B$13*($B$7+$B$8^2))*$B$9*(1-$B$10))</f>
        <v>4505.79395028409</v>
      </c>
      <c r="R850" s="14" t="n">
        <f aca="false">$B$4-13*($B$5+$B$6)/30-IF($B$11&lt;=13,$B$12,0)+0</f>
        <v>8876.66666666667</v>
      </c>
      <c r="S850" s="14" t="n">
        <f aca="false">$B$4-27*($B$5+$B$6)/30-IF($B$11&lt;=27,$B$12,0)+L850</f>
        <v>10680.7984653665</v>
      </c>
      <c r="T850" s="14" t="n">
        <f aca="false">$B$4-41*($B$5+$B$6)/30-IF($B$11&lt;=41,$B$12,0)+L850+M850</f>
        <v>1193.970853281</v>
      </c>
      <c r="U850" s="14" t="n">
        <f aca="false">$B$4-55*($B$5+$B$6)/30-IF($B$11&lt;=55,$B$12,0)+L850+M850+N850</f>
        <v>2510.83428854686</v>
      </c>
      <c r="V850" s="14" t="n">
        <f aca="false">$B$4-69*($B$5+$B$6)/30-IF($B$11&lt;=69,$B$12,0)+L850+M850+N850+O850</f>
        <v>4138.02399314372</v>
      </c>
      <c r="W850" s="14" t="n">
        <f aca="false">$B$4-83*($B$5+$B$6)/30-IF($B$11&lt;=83,$B$12,0)+L850+M850+N850+O850+P850</f>
        <v>5849.15958185531</v>
      </c>
      <c r="X850" s="14" t="n">
        <f aca="false">$B$4-90*($B$5+$B$6)/30-IF($B$11&lt;=90,$B$12,0)+L850+M850+N850+O850+P850+Q850</f>
        <v>9211.62019880606</v>
      </c>
      <c r="AA850" s="14" t="n">
        <f aca="false">MIN(R850:X850)</f>
        <v>1193.970853281</v>
      </c>
    </row>
    <row r="851" customFormat="false" ht="15" hidden="false" customHeight="false" outlineLevel="0" collapsed="false">
      <c r="K851" s="2" t="n">
        <v>846</v>
      </c>
      <c r="L851" s="14" t="n">
        <f aca="true">$B$16+NORMINV(RAND(),0,SQRT($B$13*($B$7+$B$8^2))*$B$9*(1-$B$10))</f>
        <v>4332.68262767601</v>
      </c>
      <c r="M851" s="14" t="n">
        <f aca="true">$B$16+NORMINV(RAND(),0,SQRT($B$13*($B$7+$B$8^2))*$B$9*(1-$B$10))</f>
        <v>4224.76068208105</v>
      </c>
      <c r="N851" s="14" t="n">
        <f aca="true">$B$16+NORMINV(RAND(),0,SQRT($B$13*($B$7+$B$8^2))*$B$9*(1-$B$10))</f>
        <v>3768.90231050811</v>
      </c>
      <c r="O851" s="14" t="n">
        <f aca="true">$B$16+NORMINV(RAND(),0,SQRT($B$13*($B$7+$B$8^2))*$B$9*(1-$B$10))</f>
        <v>3871.94741513756</v>
      </c>
      <c r="P851" s="14" t="n">
        <f aca="true">$B$16+NORMINV(RAND(),0,SQRT($B$13*($B$7+$B$8^2))*$B$9*(1-$B$10))</f>
        <v>4283.42984145485</v>
      </c>
      <c r="Q851" s="14" t="n">
        <f aca="true">$B$16+NORMINV(RAND(),0,SQRT($B$13*($B$7+$B$8^2))*$B$9*(1-$B$10))</f>
        <v>4517.7978742398</v>
      </c>
      <c r="R851" s="14" t="n">
        <f aca="false">$B$4-13*($B$5+$B$6)/30-IF($B$11&lt;=13,$B$12,0)+0</f>
        <v>8876.66666666667</v>
      </c>
      <c r="S851" s="14" t="n">
        <f aca="false">$B$4-27*($B$5+$B$6)/30-IF($B$11&lt;=27,$B$12,0)+L851</f>
        <v>10922.682627676</v>
      </c>
      <c r="T851" s="14" t="n">
        <f aca="false">$B$4-41*($B$5+$B$6)/30-IF($B$11&lt;=41,$B$12,0)+L851+M851</f>
        <v>1675.97664309039</v>
      </c>
      <c r="U851" s="14" t="n">
        <f aca="false">$B$4-55*($B$5+$B$6)/30-IF($B$11&lt;=55,$B$12,0)+L851+M851+N851</f>
        <v>3158.21228693183</v>
      </c>
      <c r="V851" s="14" t="n">
        <f aca="false">$B$4-69*($B$5+$B$6)/30-IF($B$11&lt;=69,$B$12,0)+L851+M851+N851+O851</f>
        <v>4743.49303540272</v>
      </c>
      <c r="W851" s="14" t="n">
        <f aca="false">$B$4-83*($B$5+$B$6)/30-IF($B$11&lt;=83,$B$12,0)+L851+M851+N851+O851+P851</f>
        <v>6740.25621019091</v>
      </c>
      <c r="X851" s="14" t="n">
        <f aca="false">$B$4-90*($B$5+$B$6)/30-IF($B$11&lt;=90,$B$12,0)+L851+M851+N851+O851+P851+Q851</f>
        <v>10114.7207510974</v>
      </c>
      <c r="AA851" s="14" t="n">
        <f aca="false">MIN(R851:X851)</f>
        <v>1675.97664309039</v>
      </c>
    </row>
    <row r="852" customFormat="false" ht="15" hidden="false" customHeight="false" outlineLevel="0" collapsed="false">
      <c r="K852" s="2" t="n">
        <v>847</v>
      </c>
      <c r="L852" s="14" t="n">
        <f aca="true">$B$16+NORMINV(RAND(),0,SQRT($B$13*($B$7+$B$8^2))*$B$9*(1-$B$10))</f>
        <v>4220.17898956727</v>
      </c>
      <c r="M852" s="14" t="n">
        <f aca="true">$B$16+NORMINV(RAND(),0,SQRT($B$13*($B$7+$B$8^2))*$B$9*(1-$B$10))</f>
        <v>3990.85946769256</v>
      </c>
      <c r="N852" s="14" t="n">
        <f aca="true">$B$16+NORMINV(RAND(),0,SQRT($B$13*($B$7+$B$8^2))*$B$9*(1-$B$10))</f>
        <v>3960.59944822267</v>
      </c>
      <c r="O852" s="14" t="n">
        <f aca="true">$B$16+NORMINV(RAND(),0,SQRT($B$13*($B$7+$B$8^2))*$B$9*(1-$B$10))</f>
        <v>4383.13671084053</v>
      </c>
      <c r="P852" s="14" t="n">
        <f aca="true">$B$16+NORMINV(RAND(),0,SQRT($B$13*($B$7+$B$8^2))*$B$9*(1-$B$10))</f>
        <v>4074.57271468832</v>
      </c>
      <c r="Q852" s="14" t="n">
        <f aca="true">$B$16+NORMINV(RAND(),0,SQRT($B$13*($B$7+$B$8^2))*$B$9*(1-$B$10))</f>
        <v>4509.2183369718</v>
      </c>
      <c r="R852" s="14" t="n">
        <f aca="false">$B$4-13*($B$5+$B$6)/30-IF($B$11&lt;=13,$B$12,0)+0</f>
        <v>8876.66666666667</v>
      </c>
      <c r="S852" s="14" t="n">
        <f aca="false">$B$4-27*($B$5+$B$6)/30-IF($B$11&lt;=27,$B$12,0)+L852</f>
        <v>10810.1789895673</v>
      </c>
      <c r="T852" s="14" t="n">
        <f aca="false">$B$4-41*($B$5+$B$6)/30-IF($B$11&lt;=41,$B$12,0)+L852+M852</f>
        <v>1329.57179059316</v>
      </c>
      <c r="U852" s="14" t="n">
        <f aca="false">$B$4-55*($B$5+$B$6)/30-IF($B$11&lt;=55,$B$12,0)+L852+M852+N852</f>
        <v>3003.50457214917</v>
      </c>
      <c r="V852" s="14" t="n">
        <f aca="false">$B$4-69*($B$5+$B$6)/30-IF($B$11&lt;=69,$B$12,0)+L852+M852+N852+O852</f>
        <v>5099.97461632303</v>
      </c>
      <c r="W852" s="14" t="n">
        <f aca="false">$B$4-83*($B$5+$B$6)/30-IF($B$11&lt;=83,$B$12,0)+L852+M852+N852+O852+P852</f>
        <v>6887.88066434469</v>
      </c>
      <c r="X852" s="14" t="n">
        <f aca="false">$B$4-90*($B$5+$B$6)/30-IF($B$11&lt;=90,$B$12,0)+L852+M852+N852+O852+P852+Q852</f>
        <v>10253.7656679832</v>
      </c>
      <c r="AA852" s="14" t="n">
        <f aca="false">MIN(R852:X852)</f>
        <v>1329.57179059316</v>
      </c>
    </row>
    <row r="853" customFormat="false" ht="15" hidden="false" customHeight="false" outlineLevel="0" collapsed="false">
      <c r="K853" s="2" t="n">
        <v>848</v>
      </c>
      <c r="L853" s="14" t="n">
        <f aca="true">$B$16+NORMINV(RAND(),0,SQRT($B$13*($B$7+$B$8^2))*$B$9*(1-$B$10))</f>
        <v>4021.54283754621</v>
      </c>
      <c r="M853" s="14" t="n">
        <f aca="true">$B$16+NORMINV(RAND(),0,SQRT($B$13*($B$7+$B$8^2))*$B$9*(1-$B$10))</f>
        <v>4532.05368011151</v>
      </c>
      <c r="N853" s="14" t="n">
        <f aca="true">$B$16+NORMINV(RAND(),0,SQRT($B$13*($B$7+$B$8^2))*$B$9*(1-$B$10))</f>
        <v>4156.6295210006</v>
      </c>
      <c r="O853" s="14" t="n">
        <f aca="true">$B$16+NORMINV(RAND(),0,SQRT($B$13*($B$7+$B$8^2))*$B$9*(1-$B$10))</f>
        <v>4015.34046048482</v>
      </c>
      <c r="P853" s="14" t="n">
        <f aca="true">$B$16+NORMINV(RAND(),0,SQRT($B$13*($B$7+$B$8^2))*$B$9*(1-$B$10))</f>
        <v>3335.54398073017</v>
      </c>
      <c r="Q853" s="14" t="n">
        <f aca="true">$B$16+NORMINV(RAND(),0,SQRT($B$13*($B$7+$B$8^2))*$B$9*(1-$B$10))</f>
        <v>4577.28665597218</v>
      </c>
      <c r="R853" s="14" t="n">
        <f aca="false">$B$4-13*($B$5+$B$6)/30-IF($B$11&lt;=13,$B$12,0)+0</f>
        <v>8876.66666666667</v>
      </c>
      <c r="S853" s="14" t="n">
        <f aca="false">$B$4-27*($B$5+$B$6)/30-IF($B$11&lt;=27,$B$12,0)+L853</f>
        <v>10611.5428375462</v>
      </c>
      <c r="T853" s="14" t="n">
        <f aca="false">$B$4-41*($B$5+$B$6)/30-IF($B$11&lt;=41,$B$12,0)+L853+M853</f>
        <v>1672.12985099105</v>
      </c>
      <c r="U853" s="14" t="n">
        <f aca="false">$B$4-55*($B$5+$B$6)/30-IF($B$11&lt;=55,$B$12,0)+L853+M853+N853</f>
        <v>3542.09270532498</v>
      </c>
      <c r="V853" s="14" t="n">
        <f aca="false">$B$4-69*($B$5+$B$6)/30-IF($B$11&lt;=69,$B$12,0)+L853+M853+N853+O853</f>
        <v>5270.76649914313</v>
      </c>
      <c r="W853" s="14" t="n">
        <f aca="false">$B$4-83*($B$5+$B$6)/30-IF($B$11&lt;=83,$B$12,0)+L853+M853+N853+O853+P853</f>
        <v>6319.64381320664</v>
      </c>
      <c r="X853" s="14" t="n">
        <f aca="false">$B$4-90*($B$5+$B$6)/30-IF($B$11&lt;=90,$B$12,0)+L853+M853+N853+O853+P853+Q853</f>
        <v>9753.59713584548</v>
      </c>
      <c r="AA853" s="14" t="n">
        <f aca="false">MIN(R853:X853)</f>
        <v>1672.12985099105</v>
      </c>
    </row>
    <row r="854" customFormat="false" ht="15" hidden="false" customHeight="false" outlineLevel="0" collapsed="false">
      <c r="K854" s="2" t="n">
        <v>849</v>
      </c>
      <c r="L854" s="14" t="n">
        <f aca="true">$B$16+NORMINV(RAND(),0,SQRT($B$13*($B$7+$B$8^2))*$B$9*(1-$B$10))</f>
        <v>3927.05823063268</v>
      </c>
      <c r="M854" s="14" t="n">
        <f aca="true">$B$16+NORMINV(RAND(),0,SQRT($B$13*($B$7+$B$8^2))*$B$9*(1-$B$10))</f>
        <v>4041.36108997373</v>
      </c>
      <c r="N854" s="14" t="n">
        <f aca="true">$B$16+NORMINV(RAND(),0,SQRT($B$13*($B$7+$B$8^2))*$B$9*(1-$B$10))</f>
        <v>4302.14560972113</v>
      </c>
      <c r="O854" s="14" t="n">
        <f aca="true">$B$16+NORMINV(RAND(),0,SQRT($B$13*($B$7+$B$8^2))*$B$9*(1-$B$10))</f>
        <v>3954.64973179564</v>
      </c>
      <c r="P854" s="14" t="n">
        <f aca="true">$B$16+NORMINV(RAND(),0,SQRT($B$13*($B$7+$B$8^2))*$B$9*(1-$B$10))</f>
        <v>4065.88725911621</v>
      </c>
      <c r="Q854" s="14" t="n">
        <f aca="true">$B$16+NORMINV(RAND(),0,SQRT($B$13*($B$7+$B$8^2))*$B$9*(1-$B$10))</f>
        <v>4280.52675210796</v>
      </c>
      <c r="R854" s="14" t="n">
        <f aca="false">$B$4-13*($B$5+$B$6)/30-IF($B$11&lt;=13,$B$12,0)+0</f>
        <v>8876.66666666667</v>
      </c>
      <c r="S854" s="14" t="n">
        <f aca="false">$B$4-27*($B$5+$B$6)/30-IF($B$11&lt;=27,$B$12,0)+L854</f>
        <v>10517.0582306327</v>
      </c>
      <c r="T854" s="14" t="n">
        <f aca="false">$B$4-41*($B$5+$B$6)/30-IF($B$11&lt;=41,$B$12,0)+L854+M854</f>
        <v>1086.95265393975</v>
      </c>
      <c r="U854" s="14" t="n">
        <f aca="false">$B$4-55*($B$5+$B$6)/30-IF($B$11&lt;=55,$B$12,0)+L854+M854+N854</f>
        <v>3102.43159699421</v>
      </c>
      <c r="V854" s="14" t="n">
        <f aca="false">$B$4-69*($B$5+$B$6)/30-IF($B$11&lt;=69,$B$12,0)+L854+M854+N854+O854</f>
        <v>4770.41466212319</v>
      </c>
      <c r="W854" s="14" t="n">
        <f aca="false">$B$4-83*($B$5+$B$6)/30-IF($B$11&lt;=83,$B$12,0)+L854+M854+N854+O854+P854</f>
        <v>6549.63525457273</v>
      </c>
      <c r="X854" s="14" t="n">
        <f aca="false">$B$4-90*($B$5+$B$6)/30-IF($B$11&lt;=90,$B$12,0)+L854+M854+N854+O854+P854+Q854</f>
        <v>9686.82867334736</v>
      </c>
      <c r="AA854" s="14" t="n">
        <f aca="false">MIN(R854:X854)</f>
        <v>1086.95265393975</v>
      </c>
    </row>
    <row r="855" customFormat="false" ht="15" hidden="false" customHeight="false" outlineLevel="0" collapsed="false">
      <c r="K855" s="2" t="n">
        <v>850</v>
      </c>
      <c r="L855" s="14" t="n">
        <f aca="true">$B$16+NORMINV(RAND(),0,SQRT($B$13*($B$7+$B$8^2))*$B$9*(1-$B$10))</f>
        <v>4332.91173380381</v>
      </c>
      <c r="M855" s="14" t="n">
        <f aca="true">$B$16+NORMINV(RAND(),0,SQRT($B$13*($B$7+$B$8^2))*$B$9*(1-$B$10))</f>
        <v>3592.21110030242</v>
      </c>
      <c r="N855" s="14" t="n">
        <f aca="true">$B$16+NORMINV(RAND(),0,SQRT($B$13*($B$7+$B$8^2))*$B$9*(1-$B$10))</f>
        <v>4358.45964937218</v>
      </c>
      <c r="O855" s="14" t="n">
        <f aca="true">$B$16+NORMINV(RAND(),0,SQRT($B$13*($B$7+$B$8^2))*$B$9*(1-$B$10))</f>
        <v>3934.73263874409</v>
      </c>
      <c r="P855" s="14" t="n">
        <f aca="true">$B$16+NORMINV(RAND(),0,SQRT($B$13*($B$7+$B$8^2))*$B$9*(1-$B$10))</f>
        <v>4230.28823256777</v>
      </c>
      <c r="Q855" s="14" t="n">
        <f aca="true">$B$16+NORMINV(RAND(),0,SQRT($B$13*($B$7+$B$8^2))*$B$9*(1-$B$10))</f>
        <v>4206.53391785035</v>
      </c>
      <c r="R855" s="14" t="n">
        <f aca="false">$B$4-13*($B$5+$B$6)/30-IF($B$11&lt;=13,$B$12,0)+0</f>
        <v>8876.66666666667</v>
      </c>
      <c r="S855" s="14" t="n">
        <f aca="false">$B$4-27*($B$5+$B$6)/30-IF($B$11&lt;=27,$B$12,0)+L855</f>
        <v>10922.9117338038</v>
      </c>
      <c r="T855" s="14" t="n">
        <f aca="false">$B$4-41*($B$5+$B$6)/30-IF($B$11&lt;=41,$B$12,0)+L855+M855</f>
        <v>1043.65616743956</v>
      </c>
      <c r="U855" s="14" t="n">
        <f aca="false">$B$4-55*($B$5+$B$6)/30-IF($B$11&lt;=55,$B$12,0)+L855+M855+N855</f>
        <v>3115.44915014507</v>
      </c>
      <c r="V855" s="14" t="n">
        <f aca="false">$B$4-69*($B$5+$B$6)/30-IF($B$11&lt;=69,$B$12,0)+L855+M855+N855+O855</f>
        <v>4763.51512222249</v>
      </c>
      <c r="W855" s="14" t="n">
        <f aca="false">$B$4-83*($B$5+$B$6)/30-IF($B$11&lt;=83,$B$12,0)+L855+M855+N855+O855+P855</f>
        <v>6707.13668812359</v>
      </c>
      <c r="X855" s="14" t="n">
        <f aca="false">$B$4-90*($B$5+$B$6)/30-IF($B$11&lt;=90,$B$12,0)+L855+M855+N855+O855+P855+Q855</f>
        <v>9770.33727264061</v>
      </c>
      <c r="AA855" s="14" t="n">
        <f aca="false">MIN(R855:X855)</f>
        <v>1043.65616743956</v>
      </c>
    </row>
    <row r="856" customFormat="false" ht="15" hidden="false" customHeight="false" outlineLevel="0" collapsed="false">
      <c r="K856" s="2" t="n">
        <v>851</v>
      </c>
      <c r="L856" s="14" t="n">
        <f aca="true">$B$16+NORMINV(RAND(),0,SQRT($B$13*($B$7+$B$8^2))*$B$9*(1-$B$10))</f>
        <v>3476.46374990228</v>
      </c>
      <c r="M856" s="14" t="n">
        <f aca="true">$B$16+NORMINV(RAND(),0,SQRT($B$13*($B$7+$B$8^2))*$B$9*(1-$B$10))</f>
        <v>3972.02229837838</v>
      </c>
      <c r="N856" s="14" t="n">
        <f aca="true">$B$16+NORMINV(RAND(),0,SQRT($B$13*($B$7+$B$8^2))*$B$9*(1-$B$10))</f>
        <v>4103.88247516182</v>
      </c>
      <c r="O856" s="14" t="n">
        <f aca="true">$B$16+NORMINV(RAND(),0,SQRT($B$13*($B$7+$B$8^2))*$B$9*(1-$B$10))</f>
        <v>4278.08747097954</v>
      </c>
      <c r="P856" s="14" t="n">
        <f aca="true">$B$16+NORMINV(RAND(),0,SQRT($B$13*($B$7+$B$8^2))*$B$9*(1-$B$10))</f>
        <v>4209.14650040912</v>
      </c>
      <c r="Q856" s="14" t="n">
        <f aca="true">$B$16+NORMINV(RAND(),0,SQRT($B$13*($B$7+$B$8^2))*$B$9*(1-$B$10))</f>
        <v>4150.37112515937</v>
      </c>
      <c r="R856" s="14" t="n">
        <f aca="false">$B$4-13*($B$5+$B$6)/30-IF($B$11&lt;=13,$B$12,0)+0</f>
        <v>8876.66666666667</v>
      </c>
      <c r="S856" s="14" t="n">
        <f aca="false">$B$4-27*($B$5+$B$6)/30-IF($B$11&lt;=27,$B$12,0)+L856</f>
        <v>10066.4637499023</v>
      </c>
      <c r="T856" s="14" t="n">
        <f aca="false">$B$4-41*($B$5+$B$6)/30-IF($B$11&lt;=41,$B$12,0)+L856+M856</f>
        <v>567.019381613991</v>
      </c>
      <c r="U856" s="14" t="n">
        <f aca="false">$B$4-55*($B$5+$B$6)/30-IF($B$11&lt;=55,$B$12,0)+L856+M856+N856</f>
        <v>2384.23519010915</v>
      </c>
      <c r="V856" s="14" t="n">
        <f aca="false">$B$4-69*($B$5+$B$6)/30-IF($B$11&lt;=69,$B$12,0)+L856+M856+N856+O856</f>
        <v>4375.65599442202</v>
      </c>
      <c r="W856" s="14" t="n">
        <f aca="false">$B$4-83*($B$5+$B$6)/30-IF($B$11&lt;=83,$B$12,0)+L856+M856+N856+O856+P856</f>
        <v>6298.13582816447</v>
      </c>
      <c r="X856" s="14" t="n">
        <f aca="false">$B$4-90*($B$5+$B$6)/30-IF($B$11&lt;=90,$B$12,0)+L856+M856+N856+O856+P856+Q856</f>
        <v>9305.17361999051</v>
      </c>
      <c r="AA856" s="14" t="n">
        <f aca="false">MIN(R856:X856)</f>
        <v>567.019381613991</v>
      </c>
    </row>
    <row r="857" customFormat="false" ht="15" hidden="false" customHeight="false" outlineLevel="0" collapsed="false">
      <c r="K857" s="2" t="n">
        <v>852</v>
      </c>
      <c r="L857" s="14" t="n">
        <f aca="true">$B$16+NORMINV(RAND(),0,SQRT($B$13*($B$7+$B$8^2))*$B$9*(1-$B$10))</f>
        <v>4204.12263048051</v>
      </c>
      <c r="M857" s="14" t="n">
        <f aca="true">$B$16+NORMINV(RAND(),0,SQRT($B$13*($B$7+$B$8^2))*$B$9*(1-$B$10))</f>
        <v>4019.14788221281</v>
      </c>
      <c r="N857" s="14" t="n">
        <f aca="true">$B$16+NORMINV(RAND(),0,SQRT($B$13*($B$7+$B$8^2))*$B$9*(1-$B$10))</f>
        <v>4089.43298449616</v>
      </c>
      <c r="O857" s="14" t="n">
        <f aca="true">$B$16+NORMINV(RAND(),0,SQRT($B$13*($B$7+$B$8^2))*$B$9*(1-$B$10))</f>
        <v>4077.46388462381</v>
      </c>
      <c r="P857" s="14" t="n">
        <f aca="true">$B$16+NORMINV(RAND(),0,SQRT($B$13*($B$7+$B$8^2))*$B$9*(1-$B$10))</f>
        <v>3666.16994498399</v>
      </c>
      <c r="Q857" s="14" t="n">
        <f aca="true">$B$16+NORMINV(RAND(),0,SQRT($B$13*($B$7+$B$8^2))*$B$9*(1-$B$10))</f>
        <v>3794.79049066146</v>
      </c>
      <c r="R857" s="14" t="n">
        <f aca="false">$B$4-13*($B$5+$B$6)/30-IF($B$11&lt;=13,$B$12,0)+0</f>
        <v>8876.66666666667</v>
      </c>
      <c r="S857" s="14" t="n">
        <f aca="false">$B$4-27*($B$5+$B$6)/30-IF($B$11&lt;=27,$B$12,0)+L857</f>
        <v>10794.1226304805</v>
      </c>
      <c r="T857" s="14" t="n">
        <f aca="false">$B$4-41*($B$5+$B$6)/30-IF($B$11&lt;=41,$B$12,0)+L857+M857</f>
        <v>1341.80384602665</v>
      </c>
      <c r="U857" s="14" t="n">
        <f aca="false">$B$4-55*($B$5+$B$6)/30-IF($B$11&lt;=55,$B$12,0)+L857+M857+N857</f>
        <v>3144.57016385615</v>
      </c>
      <c r="V857" s="14" t="n">
        <f aca="false">$B$4-69*($B$5+$B$6)/30-IF($B$11&lt;=69,$B$12,0)+L857+M857+N857+O857</f>
        <v>4935.36738181329</v>
      </c>
      <c r="W857" s="14" t="n">
        <f aca="false">$B$4-83*($B$5+$B$6)/30-IF($B$11&lt;=83,$B$12,0)+L857+M857+N857+O857+P857</f>
        <v>6314.87066013062</v>
      </c>
      <c r="X857" s="14" t="n">
        <f aca="false">$B$4-90*($B$5+$B$6)/30-IF($B$11&lt;=90,$B$12,0)+L857+M857+N857+O857+P857+Q857</f>
        <v>8966.32781745874</v>
      </c>
      <c r="AA857" s="14" t="n">
        <f aca="false">MIN(R857:X857)</f>
        <v>1341.80384602665</v>
      </c>
    </row>
    <row r="858" customFormat="false" ht="15" hidden="false" customHeight="false" outlineLevel="0" collapsed="false">
      <c r="K858" s="2" t="n">
        <v>853</v>
      </c>
      <c r="L858" s="14" t="n">
        <f aca="true">$B$16+NORMINV(RAND(),0,SQRT($B$13*($B$7+$B$8^2))*$B$9*(1-$B$10))</f>
        <v>4013.35376674302</v>
      </c>
      <c r="M858" s="14" t="n">
        <f aca="true">$B$16+NORMINV(RAND(),0,SQRT($B$13*($B$7+$B$8^2))*$B$9*(1-$B$10))</f>
        <v>3533.85166017308</v>
      </c>
      <c r="N858" s="14" t="n">
        <f aca="true">$B$16+NORMINV(RAND(),0,SQRT($B$13*($B$7+$B$8^2))*$B$9*(1-$B$10))</f>
        <v>4128.66574125384</v>
      </c>
      <c r="O858" s="14" t="n">
        <f aca="true">$B$16+NORMINV(RAND(),0,SQRT($B$13*($B$7+$B$8^2))*$B$9*(1-$B$10))</f>
        <v>4043.28254558901</v>
      </c>
      <c r="P858" s="14" t="n">
        <f aca="true">$B$16+NORMINV(RAND(),0,SQRT($B$13*($B$7+$B$8^2))*$B$9*(1-$B$10))</f>
        <v>3948.75480596388</v>
      </c>
      <c r="Q858" s="14" t="n">
        <f aca="true">$B$16+NORMINV(RAND(),0,SQRT($B$13*($B$7+$B$8^2))*$B$9*(1-$B$10))</f>
        <v>3867.27401274381</v>
      </c>
      <c r="R858" s="14" t="n">
        <f aca="false">$B$4-13*($B$5+$B$6)/30-IF($B$11&lt;=13,$B$12,0)+0</f>
        <v>8876.66666666667</v>
      </c>
      <c r="S858" s="14" t="n">
        <f aca="false">$B$4-27*($B$5+$B$6)/30-IF($B$11&lt;=27,$B$12,0)+L858</f>
        <v>10603.353766743</v>
      </c>
      <c r="T858" s="14" t="n">
        <f aca="false">$B$4-41*($B$5+$B$6)/30-IF($B$11&lt;=41,$B$12,0)+L858+M858</f>
        <v>665.73876024944</v>
      </c>
      <c r="U858" s="14" t="n">
        <f aca="false">$B$4-55*($B$5+$B$6)/30-IF($B$11&lt;=55,$B$12,0)+L858+M858+N858</f>
        <v>2507.73783483662</v>
      </c>
      <c r="V858" s="14" t="n">
        <f aca="false">$B$4-69*($B$5+$B$6)/30-IF($B$11&lt;=69,$B$12,0)+L858+M858+N858+O858</f>
        <v>4264.35371375896</v>
      </c>
      <c r="W858" s="14" t="n">
        <f aca="false">$B$4-83*($B$5+$B$6)/30-IF($B$11&lt;=83,$B$12,0)+L858+M858+N858+O858+P858</f>
        <v>5926.44185305617</v>
      </c>
      <c r="X858" s="14" t="n">
        <f aca="false">$B$4-90*($B$5+$B$6)/30-IF($B$11&lt;=90,$B$12,0)+L858+M858+N858+O858+P858+Q858</f>
        <v>8650.38253246664</v>
      </c>
      <c r="AA858" s="14" t="n">
        <f aca="false">MIN(R858:X858)</f>
        <v>665.73876024944</v>
      </c>
    </row>
    <row r="859" customFormat="false" ht="15" hidden="false" customHeight="false" outlineLevel="0" collapsed="false">
      <c r="K859" s="2" t="n">
        <v>854</v>
      </c>
      <c r="L859" s="14" t="n">
        <f aca="true">$B$16+NORMINV(RAND(),0,SQRT($B$13*($B$7+$B$8^2))*$B$9*(1-$B$10))</f>
        <v>4157.95092493096</v>
      </c>
      <c r="M859" s="14" t="n">
        <f aca="true">$B$16+NORMINV(RAND(),0,SQRT($B$13*($B$7+$B$8^2))*$B$9*(1-$B$10))</f>
        <v>3969.90326189572</v>
      </c>
      <c r="N859" s="14" t="n">
        <f aca="true">$B$16+NORMINV(RAND(),0,SQRT($B$13*($B$7+$B$8^2))*$B$9*(1-$B$10))</f>
        <v>3947.41425773385</v>
      </c>
      <c r="O859" s="14" t="n">
        <f aca="true">$B$16+NORMINV(RAND(),0,SQRT($B$13*($B$7+$B$8^2))*$B$9*(1-$B$10))</f>
        <v>3678.22169032413</v>
      </c>
      <c r="P859" s="14" t="n">
        <f aca="true">$B$16+NORMINV(RAND(),0,SQRT($B$13*($B$7+$B$8^2))*$B$9*(1-$B$10))</f>
        <v>3803.29444692472</v>
      </c>
      <c r="Q859" s="14" t="n">
        <f aca="true">$B$16+NORMINV(RAND(),0,SQRT($B$13*($B$7+$B$8^2))*$B$9*(1-$B$10))</f>
        <v>3396.40558423357</v>
      </c>
      <c r="R859" s="14" t="n">
        <f aca="false">$B$4-13*($B$5+$B$6)/30-IF($B$11&lt;=13,$B$12,0)+0</f>
        <v>8876.66666666667</v>
      </c>
      <c r="S859" s="14" t="n">
        <f aca="false">$B$4-27*($B$5+$B$6)/30-IF($B$11&lt;=27,$B$12,0)+L859</f>
        <v>10747.950924931</v>
      </c>
      <c r="T859" s="14" t="n">
        <f aca="false">$B$4-41*($B$5+$B$6)/30-IF($B$11&lt;=41,$B$12,0)+L859+M859</f>
        <v>1246.38752016001</v>
      </c>
      <c r="U859" s="14" t="n">
        <f aca="false">$B$4-55*($B$5+$B$6)/30-IF($B$11&lt;=55,$B$12,0)+L859+M859+N859</f>
        <v>2907.1351112272</v>
      </c>
      <c r="V859" s="14" t="n">
        <f aca="false">$B$4-69*($B$5+$B$6)/30-IF($B$11&lt;=69,$B$12,0)+L859+M859+N859+O859</f>
        <v>4298.69013488466</v>
      </c>
      <c r="W859" s="14" t="n">
        <f aca="false">$B$4-83*($B$5+$B$6)/30-IF($B$11&lt;=83,$B$12,0)+L859+M859+N859+O859+P859</f>
        <v>5815.31791514272</v>
      </c>
      <c r="X859" s="14" t="n">
        <f aca="false">$B$4-90*($B$5+$B$6)/30-IF($B$11&lt;=90,$B$12,0)+L859+M859+N859+O859+P859+Q859</f>
        <v>8068.39016604296</v>
      </c>
      <c r="AA859" s="14" t="n">
        <f aca="false">MIN(R859:X859)</f>
        <v>1246.38752016001</v>
      </c>
    </row>
    <row r="860" customFormat="false" ht="15" hidden="false" customHeight="false" outlineLevel="0" collapsed="false">
      <c r="K860" s="2" t="n">
        <v>855</v>
      </c>
      <c r="L860" s="14" t="n">
        <f aca="true">$B$16+NORMINV(RAND(),0,SQRT($B$13*($B$7+$B$8^2))*$B$9*(1-$B$10))</f>
        <v>4331.53490796887</v>
      </c>
      <c r="M860" s="14" t="n">
        <f aca="true">$B$16+NORMINV(RAND(),0,SQRT($B$13*($B$7+$B$8^2))*$B$9*(1-$B$10))</f>
        <v>4421.86925738891</v>
      </c>
      <c r="N860" s="14" t="n">
        <f aca="true">$B$16+NORMINV(RAND(),0,SQRT($B$13*($B$7+$B$8^2))*$B$9*(1-$B$10))</f>
        <v>4222.5702211056</v>
      </c>
      <c r="O860" s="14" t="n">
        <f aca="true">$B$16+NORMINV(RAND(),0,SQRT($B$13*($B$7+$B$8^2))*$B$9*(1-$B$10))</f>
        <v>4256.97364107879</v>
      </c>
      <c r="P860" s="14" t="n">
        <f aca="true">$B$16+NORMINV(RAND(),0,SQRT($B$13*($B$7+$B$8^2))*$B$9*(1-$B$10))</f>
        <v>3541.54036904165</v>
      </c>
      <c r="Q860" s="14" t="n">
        <f aca="true">$B$16+NORMINV(RAND(),0,SQRT($B$13*($B$7+$B$8^2))*$B$9*(1-$B$10))</f>
        <v>3880.50592962992</v>
      </c>
      <c r="R860" s="14" t="n">
        <f aca="false">$B$4-13*($B$5+$B$6)/30-IF($B$11&lt;=13,$B$12,0)+0</f>
        <v>8876.66666666667</v>
      </c>
      <c r="S860" s="14" t="n">
        <f aca="false">$B$4-27*($B$5+$B$6)/30-IF($B$11&lt;=27,$B$12,0)+L860</f>
        <v>10921.5349079689</v>
      </c>
      <c r="T860" s="14" t="n">
        <f aca="false">$B$4-41*($B$5+$B$6)/30-IF($B$11&lt;=41,$B$12,0)+L860+M860</f>
        <v>1871.93749869111</v>
      </c>
      <c r="U860" s="14" t="n">
        <f aca="false">$B$4-55*($B$5+$B$6)/30-IF($B$11&lt;=55,$B$12,0)+L860+M860+N860</f>
        <v>3807.84105313004</v>
      </c>
      <c r="V860" s="14" t="n">
        <f aca="false">$B$4-69*($B$5+$B$6)/30-IF($B$11&lt;=69,$B$12,0)+L860+M860+N860+O860</f>
        <v>5778.14802754216</v>
      </c>
      <c r="W860" s="14" t="n">
        <f aca="false">$B$4-83*($B$5+$B$6)/30-IF($B$11&lt;=83,$B$12,0)+L860+M860+N860+O860+P860</f>
        <v>7033.02172991714</v>
      </c>
      <c r="X860" s="14" t="n">
        <f aca="false">$B$4-90*($B$5+$B$6)/30-IF($B$11&lt;=90,$B$12,0)+L860+M860+N860+O860+P860+Q860</f>
        <v>9770.19432621373</v>
      </c>
      <c r="AA860" s="14" t="n">
        <f aca="false">MIN(R860:X860)</f>
        <v>1871.93749869111</v>
      </c>
    </row>
    <row r="861" customFormat="false" ht="15" hidden="false" customHeight="false" outlineLevel="0" collapsed="false">
      <c r="K861" s="2" t="n">
        <v>856</v>
      </c>
      <c r="L861" s="14" t="n">
        <f aca="true">$B$16+NORMINV(RAND(),0,SQRT($B$13*($B$7+$B$8^2))*$B$9*(1-$B$10))</f>
        <v>3716.15809091459</v>
      </c>
      <c r="M861" s="14" t="n">
        <f aca="true">$B$16+NORMINV(RAND(),0,SQRT($B$13*($B$7+$B$8^2))*$B$9*(1-$B$10))</f>
        <v>4255.85867425341</v>
      </c>
      <c r="N861" s="14" t="n">
        <f aca="true">$B$16+NORMINV(RAND(),0,SQRT($B$13*($B$7+$B$8^2))*$B$9*(1-$B$10))</f>
        <v>3677.39912739816</v>
      </c>
      <c r="O861" s="14" t="n">
        <f aca="true">$B$16+NORMINV(RAND(),0,SQRT($B$13*($B$7+$B$8^2))*$B$9*(1-$B$10))</f>
        <v>3926.36282234735</v>
      </c>
      <c r="P861" s="14" t="n">
        <f aca="true">$B$16+NORMINV(RAND(),0,SQRT($B$13*($B$7+$B$8^2))*$B$9*(1-$B$10))</f>
        <v>4031.11894556266</v>
      </c>
      <c r="Q861" s="14" t="n">
        <f aca="true">$B$16+NORMINV(RAND(),0,SQRT($B$13*($B$7+$B$8^2))*$B$9*(1-$B$10))</f>
        <v>4391.87341706061</v>
      </c>
      <c r="R861" s="14" t="n">
        <f aca="false">$B$4-13*($B$5+$B$6)/30-IF($B$11&lt;=13,$B$12,0)+0</f>
        <v>8876.66666666667</v>
      </c>
      <c r="S861" s="14" t="n">
        <f aca="false">$B$4-27*($B$5+$B$6)/30-IF($B$11&lt;=27,$B$12,0)+L861</f>
        <v>10306.1580909146</v>
      </c>
      <c r="T861" s="14" t="n">
        <f aca="false">$B$4-41*($B$5+$B$6)/30-IF($B$11&lt;=41,$B$12,0)+L861+M861</f>
        <v>1090.55009850134</v>
      </c>
      <c r="U861" s="14" t="n">
        <f aca="false">$B$4-55*($B$5+$B$6)/30-IF($B$11&lt;=55,$B$12,0)+L861+M861+N861</f>
        <v>2481.28255923283</v>
      </c>
      <c r="V861" s="14" t="n">
        <f aca="false">$B$4-69*($B$5+$B$6)/30-IF($B$11&lt;=69,$B$12,0)+L861+M861+N861+O861</f>
        <v>4120.97871491351</v>
      </c>
      <c r="W861" s="14" t="n">
        <f aca="false">$B$4-83*($B$5+$B$6)/30-IF($B$11&lt;=83,$B$12,0)+L861+M861+N861+O861+P861</f>
        <v>5865.4309938095</v>
      </c>
      <c r="X861" s="14" t="n">
        <f aca="false">$B$4-90*($B$5+$B$6)/30-IF($B$11&lt;=90,$B$12,0)+L861+M861+N861+O861+P861+Q861</f>
        <v>9113.97107753678</v>
      </c>
      <c r="AA861" s="14" t="n">
        <f aca="false">MIN(R861:X861)</f>
        <v>1090.55009850134</v>
      </c>
    </row>
    <row r="862" customFormat="false" ht="15" hidden="false" customHeight="false" outlineLevel="0" collapsed="false">
      <c r="K862" s="2" t="n">
        <v>857</v>
      </c>
      <c r="L862" s="14" t="n">
        <f aca="true">$B$16+NORMINV(RAND(),0,SQRT($B$13*($B$7+$B$8^2))*$B$9*(1-$B$10))</f>
        <v>3981.10022356374</v>
      </c>
      <c r="M862" s="14" t="n">
        <f aca="true">$B$16+NORMINV(RAND(),0,SQRT($B$13*($B$7+$B$8^2))*$B$9*(1-$B$10))</f>
        <v>4003.05332041244</v>
      </c>
      <c r="N862" s="14" t="n">
        <f aca="true">$B$16+NORMINV(RAND(),0,SQRT($B$13*($B$7+$B$8^2))*$B$9*(1-$B$10))</f>
        <v>3965.06628401448</v>
      </c>
      <c r="O862" s="14" t="n">
        <f aca="true">$B$16+NORMINV(RAND(),0,SQRT($B$13*($B$7+$B$8^2))*$B$9*(1-$B$10))</f>
        <v>4262.35845251795</v>
      </c>
      <c r="P862" s="14" t="n">
        <f aca="true">$B$16+NORMINV(RAND(),0,SQRT($B$13*($B$7+$B$8^2))*$B$9*(1-$B$10))</f>
        <v>3716.82442572018</v>
      </c>
      <c r="Q862" s="14" t="n">
        <f aca="true">$B$16+NORMINV(RAND(),0,SQRT($B$13*($B$7+$B$8^2))*$B$9*(1-$B$10))</f>
        <v>4361.05401636862</v>
      </c>
      <c r="R862" s="14" t="n">
        <f aca="false">$B$4-13*($B$5+$B$6)/30-IF($B$11&lt;=13,$B$12,0)+0</f>
        <v>8876.66666666667</v>
      </c>
      <c r="S862" s="14" t="n">
        <f aca="false">$B$4-27*($B$5+$B$6)/30-IF($B$11&lt;=27,$B$12,0)+L862</f>
        <v>10571.1002235637</v>
      </c>
      <c r="T862" s="14" t="n">
        <f aca="false">$B$4-41*($B$5+$B$6)/30-IF($B$11&lt;=41,$B$12,0)+L862+M862</f>
        <v>1102.68687730951</v>
      </c>
      <c r="U862" s="14" t="n">
        <f aca="false">$B$4-55*($B$5+$B$6)/30-IF($B$11&lt;=55,$B$12,0)+L862+M862+N862</f>
        <v>2781.08649465733</v>
      </c>
      <c r="V862" s="14" t="n">
        <f aca="false">$B$4-69*($B$5+$B$6)/30-IF($B$11&lt;=69,$B$12,0)+L862+M862+N862+O862</f>
        <v>4756.77828050861</v>
      </c>
      <c r="W862" s="14" t="n">
        <f aca="false">$B$4-83*($B$5+$B$6)/30-IF($B$11&lt;=83,$B$12,0)+L862+M862+N862+O862+P862</f>
        <v>6186.93603956212</v>
      </c>
      <c r="X862" s="14" t="n">
        <f aca="false">$B$4-90*($B$5+$B$6)/30-IF($B$11&lt;=90,$B$12,0)+L862+M862+N862+O862+P862+Q862</f>
        <v>9404.65672259741</v>
      </c>
      <c r="AA862" s="14" t="n">
        <f aca="false">MIN(R862:X862)</f>
        <v>1102.68687730951</v>
      </c>
    </row>
    <row r="863" customFormat="false" ht="15" hidden="false" customHeight="false" outlineLevel="0" collapsed="false">
      <c r="K863" s="2" t="n">
        <v>858</v>
      </c>
      <c r="L863" s="14" t="n">
        <f aca="true">$B$16+NORMINV(RAND(),0,SQRT($B$13*($B$7+$B$8^2))*$B$9*(1-$B$10))</f>
        <v>4277.58899187761</v>
      </c>
      <c r="M863" s="14" t="n">
        <f aca="true">$B$16+NORMINV(RAND(),0,SQRT($B$13*($B$7+$B$8^2))*$B$9*(1-$B$10))</f>
        <v>2797.6066166193</v>
      </c>
      <c r="N863" s="14" t="n">
        <f aca="true">$B$16+NORMINV(RAND(),0,SQRT($B$13*($B$7+$B$8^2))*$B$9*(1-$B$10))</f>
        <v>3913.67488021689</v>
      </c>
      <c r="O863" s="14" t="n">
        <f aca="true">$B$16+NORMINV(RAND(),0,SQRT($B$13*($B$7+$B$8^2))*$B$9*(1-$B$10))</f>
        <v>3759.79978590901</v>
      </c>
      <c r="P863" s="14" t="n">
        <f aca="true">$B$16+NORMINV(RAND(),0,SQRT($B$13*($B$7+$B$8^2))*$B$9*(1-$B$10))</f>
        <v>3600.2747971341</v>
      </c>
      <c r="Q863" s="14" t="n">
        <f aca="true">$B$16+NORMINV(RAND(),0,SQRT($B$13*($B$7+$B$8^2))*$B$9*(1-$B$10))</f>
        <v>3746.50362733067</v>
      </c>
      <c r="R863" s="14" t="n">
        <f aca="false">$B$4-13*($B$5+$B$6)/30-IF($B$11&lt;=13,$B$12,0)+0</f>
        <v>8876.66666666667</v>
      </c>
      <c r="S863" s="14" t="n">
        <f aca="false">$B$4-27*($B$5+$B$6)/30-IF($B$11&lt;=27,$B$12,0)+L863</f>
        <v>10867.5889918776</v>
      </c>
      <c r="T863" s="14" t="n">
        <f aca="false">$B$4-41*($B$5+$B$6)/30-IF($B$11&lt;=41,$B$12,0)+L863+M863</f>
        <v>193.728941830239</v>
      </c>
      <c r="U863" s="14" t="n">
        <f aca="false">$B$4-55*($B$5+$B$6)/30-IF($B$11&lt;=55,$B$12,0)+L863+M863+N863</f>
        <v>1820.73715538046</v>
      </c>
      <c r="V863" s="14" t="n">
        <f aca="false">$B$4-69*($B$5+$B$6)/30-IF($B$11&lt;=69,$B$12,0)+L863+M863+N863+O863</f>
        <v>3293.8702746228</v>
      </c>
      <c r="W863" s="14" t="n">
        <f aca="false">$B$4-83*($B$5+$B$6)/30-IF($B$11&lt;=83,$B$12,0)+L863+M863+N863+O863+P863</f>
        <v>4607.47840509023</v>
      </c>
      <c r="X863" s="14" t="n">
        <f aca="false">$B$4-90*($B$5+$B$6)/30-IF($B$11&lt;=90,$B$12,0)+L863+M863+N863+O863+P863+Q863</f>
        <v>7210.64869908756</v>
      </c>
      <c r="AA863" s="14" t="n">
        <f aca="false">MIN(R863:X863)</f>
        <v>193.728941830239</v>
      </c>
    </row>
    <row r="864" customFormat="false" ht="15" hidden="false" customHeight="false" outlineLevel="0" collapsed="false">
      <c r="K864" s="2" t="n">
        <v>859</v>
      </c>
      <c r="L864" s="14" t="n">
        <f aca="true">$B$16+NORMINV(RAND(),0,SQRT($B$13*($B$7+$B$8^2))*$B$9*(1-$B$10))</f>
        <v>4519.43287459083</v>
      </c>
      <c r="M864" s="14" t="n">
        <f aca="true">$B$16+NORMINV(RAND(),0,SQRT($B$13*($B$7+$B$8^2))*$B$9*(1-$B$10))</f>
        <v>3116.58168897317</v>
      </c>
      <c r="N864" s="14" t="n">
        <f aca="true">$B$16+NORMINV(RAND(),0,SQRT($B$13*($B$7+$B$8^2))*$B$9*(1-$B$10))</f>
        <v>3954.66387256676</v>
      </c>
      <c r="O864" s="14" t="n">
        <f aca="true">$B$16+NORMINV(RAND(),0,SQRT($B$13*($B$7+$B$8^2))*$B$9*(1-$B$10))</f>
        <v>4082.64865278991</v>
      </c>
      <c r="P864" s="14" t="n">
        <f aca="true">$B$16+NORMINV(RAND(),0,SQRT($B$13*($B$7+$B$8^2))*$B$9*(1-$B$10))</f>
        <v>4152.58840768833</v>
      </c>
      <c r="Q864" s="14" t="n">
        <f aca="true">$B$16+NORMINV(RAND(),0,SQRT($B$13*($B$7+$B$8^2))*$B$9*(1-$B$10))</f>
        <v>3894.78085658277</v>
      </c>
      <c r="R864" s="14" t="n">
        <f aca="false">$B$4-13*($B$5+$B$6)/30-IF($B$11&lt;=13,$B$12,0)+0</f>
        <v>8876.66666666667</v>
      </c>
      <c r="S864" s="14" t="n">
        <f aca="false">$B$4-27*($B$5+$B$6)/30-IF($B$11&lt;=27,$B$12,0)+L864</f>
        <v>11109.4328745908</v>
      </c>
      <c r="T864" s="14" t="n">
        <f aca="false">$B$4-41*($B$5+$B$6)/30-IF($B$11&lt;=41,$B$12,0)+L864+M864</f>
        <v>754.547896897338</v>
      </c>
      <c r="U864" s="14" t="n">
        <f aca="false">$B$4-55*($B$5+$B$6)/30-IF($B$11&lt;=55,$B$12,0)+L864+M864+N864</f>
        <v>2422.54510279743</v>
      </c>
      <c r="V864" s="14" t="n">
        <f aca="false">$B$4-69*($B$5+$B$6)/30-IF($B$11&lt;=69,$B$12,0)+L864+M864+N864+O864</f>
        <v>4218.52708892067</v>
      </c>
      <c r="W864" s="14" t="n">
        <f aca="false">$B$4-83*($B$5+$B$6)/30-IF($B$11&lt;=83,$B$12,0)+L864+M864+N864+O864+P864</f>
        <v>6084.44882994234</v>
      </c>
      <c r="X864" s="14" t="n">
        <f aca="false">$B$4-90*($B$5+$B$6)/30-IF($B$11&lt;=90,$B$12,0)+L864+M864+N864+O864+P864+Q864</f>
        <v>8835.89635319177</v>
      </c>
      <c r="AA864" s="14" t="n">
        <f aca="false">MIN(R864:X864)</f>
        <v>754.547896897338</v>
      </c>
    </row>
    <row r="865" customFormat="false" ht="15" hidden="false" customHeight="false" outlineLevel="0" collapsed="false">
      <c r="K865" s="2" t="n">
        <v>860</v>
      </c>
      <c r="L865" s="14" t="n">
        <f aca="true">$B$16+NORMINV(RAND(),0,SQRT($B$13*($B$7+$B$8^2))*$B$9*(1-$B$10))</f>
        <v>4182.28376212258</v>
      </c>
      <c r="M865" s="14" t="n">
        <f aca="true">$B$16+NORMINV(RAND(),0,SQRT($B$13*($B$7+$B$8^2))*$B$9*(1-$B$10))</f>
        <v>4164.25444548809</v>
      </c>
      <c r="N865" s="14" t="n">
        <f aca="true">$B$16+NORMINV(RAND(),0,SQRT($B$13*($B$7+$B$8^2))*$B$9*(1-$B$10))</f>
        <v>4607.21199331934</v>
      </c>
      <c r="O865" s="14" t="n">
        <f aca="true">$B$16+NORMINV(RAND(),0,SQRT($B$13*($B$7+$B$8^2))*$B$9*(1-$B$10))</f>
        <v>4098.28003622498</v>
      </c>
      <c r="P865" s="14" t="n">
        <f aca="true">$B$16+NORMINV(RAND(),0,SQRT($B$13*($B$7+$B$8^2))*$B$9*(1-$B$10))</f>
        <v>4000.50868519925</v>
      </c>
      <c r="Q865" s="14" t="n">
        <f aca="true">$B$16+NORMINV(RAND(),0,SQRT($B$13*($B$7+$B$8^2))*$B$9*(1-$B$10))</f>
        <v>4250.27111057703</v>
      </c>
      <c r="R865" s="14" t="n">
        <f aca="false">$B$4-13*($B$5+$B$6)/30-IF($B$11&lt;=13,$B$12,0)+0</f>
        <v>8876.66666666667</v>
      </c>
      <c r="S865" s="14" t="n">
        <f aca="false">$B$4-27*($B$5+$B$6)/30-IF($B$11&lt;=27,$B$12,0)+L865</f>
        <v>10772.2837621226</v>
      </c>
      <c r="T865" s="14" t="n">
        <f aca="false">$B$4-41*($B$5+$B$6)/30-IF($B$11&lt;=41,$B$12,0)+L865+M865</f>
        <v>1465.071540944</v>
      </c>
      <c r="U865" s="14" t="n">
        <f aca="false">$B$4-55*($B$5+$B$6)/30-IF($B$11&lt;=55,$B$12,0)+L865+M865+N865</f>
        <v>3785.61686759668</v>
      </c>
      <c r="V865" s="14" t="n">
        <f aca="false">$B$4-69*($B$5+$B$6)/30-IF($B$11&lt;=69,$B$12,0)+L865+M865+N865+O865</f>
        <v>5597.23023715499</v>
      </c>
      <c r="W865" s="14" t="n">
        <f aca="false">$B$4-83*($B$5+$B$6)/30-IF($B$11&lt;=83,$B$12,0)+L865+M865+N865+O865+P865</f>
        <v>7311.07225568757</v>
      </c>
      <c r="X865" s="14" t="n">
        <f aca="false">$B$4-90*($B$5+$B$6)/30-IF($B$11&lt;=90,$B$12,0)+L865+M865+N865+O865+P865+Q865</f>
        <v>10418.0100329313</v>
      </c>
      <c r="AA865" s="14" t="n">
        <f aca="false">MIN(R865:X865)</f>
        <v>1465.071540944</v>
      </c>
    </row>
    <row r="866" customFormat="false" ht="15" hidden="false" customHeight="false" outlineLevel="0" collapsed="false">
      <c r="K866" s="2" t="n">
        <v>861</v>
      </c>
      <c r="L866" s="14" t="n">
        <f aca="true">$B$16+NORMINV(RAND(),0,SQRT($B$13*($B$7+$B$8^2))*$B$9*(1-$B$10))</f>
        <v>4573.34776622441</v>
      </c>
      <c r="M866" s="14" t="n">
        <f aca="true">$B$16+NORMINV(RAND(),0,SQRT($B$13*($B$7+$B$8^2))*$B$9*(1-$B$10))</f>
        <v>3786.69182118649</v>
      </c>
      <c r="N866" s="14" t="n">
        <f aca="true">$B$16+NORMINV(RAND(),0,SQRT($B$13*($B$7+$B$8^2))*$B$9*(1-$B$10))</f>
        <v>4011.97246515339</v>
      </c>
      <c r="O866" s="14" t="n">
        <f aca="true">$B$16+NORMINV(RAND(),0,SQRT($B$13*($B$7+$B$8^2))*$B$9*(1-$B$10))</f>
        <v>4388.03849310844</v>
      </c>
      <c r="P866" s="14" t="n">
        <f aca="true">$B$16+NORMINV(RAND(),0,SQRT($B$13*($B$7+$B$8^2))*$B$9*(1-$B$10))</f>
        <v>3832.41095670488</v>
      </c>
      <c r="Q866" s="14" t="n">
        <f aca="true">$B$16+NORMINV(RAND(),0,SQRT($B$13*($B$7+$B$8^2))*$B$9*(1-$B$10))</f>
        <v>3824.93066108205</v>
      </c>
      <c r="R866" s="14" t="n">
        <f aca="false">$B$4-13*($B$5+$B$6)/30-IF($B$11&lt;=13,$B$12,0)+0</f>
        <v>8876.66666666667</v>
      </c>
      <c r="S866" s="14" t="n">
        <f aca="false">$B$4-27*($B$5+$B$6)/30-IF($B$11&lt;=27,$B$12,0)+L866</f>
        <v>11163.3477662244</v>
      </c>
      <c r="T866" s="14" t="n">
        <f aca="false">$B$4-41*($B$5+$B$6)/30-IF($B$11&lt;=41,$B$12,0)+L866+M866</f>
        <v>1478.57292074423</v>
      </c>
      <c r="U866" s="14" t="n">
        <f aca="false">$B$4-55*($B$5+$B$6)/30-IF($B$11&lt;=55,$B$12,0)+L866+M866+N866</f>
        <v>3203.87871923095</v>
      </c>
      <c r="V866" s="14" t="n">
        <f aca="false">$B$4-69*($B$5+$B$6)/30-IF($B$11&lt;=69,$B$12,0)+L866+M866+N866+O866</f>
        <v>5305.25054567273</v>
      </c>
      <c r="W866" s="14" t="n">
        <f aca="false">$B$4-83*($B$5+$B$6)/30-IF($B$11&lt;=83,$B$12,0)+L866+M866+N866+O866+P866</f>
        <v>6850.99483571094</v>
      </c>
      <c r="X866" s="14" t="n">
        <f aca="false">$B$4-90*($B$5+$B$6)/30-IF($B$11&lt;=90,$B$12,0)+L866+M866+N866+O866+P866+Q866</f>
        <v>9532.59216345966</v>
      </c>
      <c r="AA866" s="14" t="n">
        <f aca="false">MIN(R866:X866)</f>
        <v>1478.57292074423</v>
      </c>
    </row>
    <row r="867" customFormat="false" ht="15" hidden="false" customHeight="false" outlineLevel="0" collapsed="false">
      <c r="K867" s="2" t="n">
        <v>862</v>
      </c>
      <c r="L867" s="14" t="n">
        <f aca="true">$B$16+NORMINV(RAND(),0,SQRT($B$13*($B$7+$B$8^2))*$B$9*(1-$B$10))</f>
        <v>4158.05735785238</v>
      </c>
      <c r="M867" s="14" t="n">
        <f aca="true">$B$16+NORMINV(RAND(),0,SQRT($B$13*($B$7+$B$8^2))*$B$9*(1-$B$10))</f>
        <v>4019.31735391043</v>
      </c>
      <c r="N867" s="14" t="n">
        <f aca="true">$B$16+NORMINV(RAND(),0,SQRT($B$13*($B$7+$B$8^2))*$B$9*(1-$B$10))</f>
        <v>4298.55785727083</v>
      </c>
      <c r="O867" s="14" t="n">
        <f aca="true">$B$16+NORMINV(RAND(),0,SQRT($B$13*($B$7+$B$8^2))*$B$9*(1-$B$10))</f>
        <v>4050.33014201773</v>
      </c>
      <c r="P867" s="14" t="n">
        <f aca="true">$B$16+NORMINV(RAND(),0,SQRT($B$13*($B$7+$B$8^2))*$B$9*(1-$B$10))</f>
        <v>4071.92877595545</v>
      </c>
      <c r="Q867" s="14" t="n">
        <f aca="true">$B$16+NORMINV(RAND(),0,SQRT($B$13*($B$7+$B$8^2))*$B$9*(1-$B$10))</f>
        <v>3835.16702328743</v>
      </c>
      <c r="R867" s="14" t="n">
        <f aca="false">$B$4-13*($B$5+$B$6)/30-IF($B$11&lt;=13,$B$12,0)+0</f>
        <v>8876.66666666667</v>
      </c>
      <c r="S867" s="14" t="n">
        <f aca="false">$B$4-27*($B$5+$B$6)/30-IF($B$11&lt;=27,$B$12,0)+L867</f>
        <v>10748.0573578524</v>
      </c>
      <c r="T867" s="14" t="n">
        <f aca="false">$B$4-41*($B$5+$B$6)/30-IF($B$11&lt;=41,$B$12,0)+L867+M867</f>
        <v>1295.90804509613</v>
      </c>
      <c r="U867" s="14" t="n">
        <f aca="false">$B$4-55*($B$5+$B$6)/30-IF($B$11&lt;=55,$B$12,0)+L867+M867+N867</f>
        <v>3307.7992357003</v>
      </c>
      <c r="V867" s="14" t="n">
        <f aca="false">$B$4-69*($B$5+$B$6)/30-IF($B$11&lt;=69,$B$12,0)+L867+M867+N867+O867</f>
        <v>5071.46271105136</v>
      </c>
      <c r="W867" s="14" t="n">
        <f aca="false">$B$4-83*($B$5+$B$6)/30-IF($B$11&lt;=83,$B$12,0)+L867+M867+N867+O867+P867</f>
        <v>6856.72482034015</v>
      </c>
      <c r="X867" s="14" t="n">
        <f aca="false">$B$4-90*($B$5+$B$6)/30-IF($B$11&lt;=90,$B$12,0)+L867+M867+N867+O867+P867+Q867</f>
        <v>9548.55851029424</v>
      </c>
      <c r="AA867" s="14" t="n">
        <f aca="false">MIN(R867:X867)</f>
        <v>1295.90804509613</v>
      </c>
    </row>
    <row r="868" customFormat="false" ht="15" hidden="false" customHeight="false" outlineLevel="0" collapsed="false">
      <c r="K868" s="2" t="n">
        <v>863</v>
      </c>
      <c r="L868" s="14" t="n">
        <f aca="true">$B$16+NORMINV(RAND(),0,SQRT($B$13*($B$7+$B$8^2))*$B$9*(1-$B$10))</f>
        <v>3567.6506995192</v>
      </c>
      <c r="M868" s="14" t="n">
        <f aca="true">$B$16+NORMINV(RAND(),0,SQRT($B$13*($B$7+$B$8^2))*$B$9*(1-$B$10))</f>
        <v>3728.12137778123</v>
      </c>
      <c r="N868" s="14" t="n">
        <f aca="true">$B$16+NORMINV(RAND(),0,SQRT($B$13*($B$7+$B$8^2))*$B$9*(1-$B$10))</f>
        <v>4441.30888430038</v>
      </c>
      <c r="O868" s="14" t="n">
        <f aca="true">$B$16+NORMINV(RAND(),0,SQRT($B$13*($B$7+$B$8^2))*$B$9*(1-$B$10))</f>
        <v>4122.26341656965</v>
      </c>
      <c r="P868" s="14" t="n">
        <f aca="true">$B$16+NORMINV(RAND(),0,SQRT($B$13*($B$7+$B$8^2))*$B$9*(1-$B$10))</f>
        <v>3600.60743271676</v>
      </c>
      <c r="Q868" s="14" t="n">
        <f aca="true">$B$16+NORMINV(RAND(),0,SQRT($B$13*($B$7+$B$8^2))*$B$9*(1-$B$10))</f>
        <v>3977.61022676152</v>
      </c>
      <c r="R868" s="14" t="n">
        <f aca="false">$B$4-13*($B$5+$B$6)/30-IF($B$11&lt;=13,$B$12,0)+0</f>
        <v>8876.66666666667</v>
      </c>
      <c r="S868" s="14" t="n">
        <f aca="false">$B$4-27*($B$5+$B$6)/30-IF($B$11&lt;=27,$B$12,0)+L868</f>
        <v>10157.6506995192</v>
      </c>
      <c r="T868" s="14" t="n">
        <f aca="false">$B$4-41*($B$5+$B$6)/30-IF($B$11&lt;=41,$B$12,0)+L868+M868</f>
        <v>414.305410633758</v>
      </c>
      <c r="U868" s="14" t="n">
        <f aca="false">$B$4-55*($B$5+$B$6)/30-IF($B$11&lt;=55,$B$12,0)+L868+M868+N868</f>
        <v>2568.94762826747</v>
      </c>
      <c r="V868" s="14" t="n">
        <f aca="false">$B$4-69*($B$5+$B$6)/30-IF($B$11&lt;=69,$B$12,0)+L868+M868+N868+O868</f>
        <v>4404.54437817045</v>
      </c>
      <c r="W868" s="14" t="n">
        <f aca="false">$B$4-83*($B$5+$B$6)/30-IF($B$11&lt;=83,$B$12,0)+L868+M868+N868+O868+P868</f>
        <v>5718.48514422054</v>
      </c>
      <c r="X868" s="14" t="n">
        <f aca="false">$B$4-90*($B$5+$B$6)/30-IF($B$11&lt;=90,$B$12,0)+L868+M868+N868+O868+P868+Q868</f>
        <v>8552.76203764874</v>
      </c>
      <c r="AA868" s="14" t="n">
        <f aca="false">MIN(R868:X868)</f>
        <v>414.305410633758</v>
      </c>
    </row>
    <row r="869" customFormat="false" ht="15" hidden="false" customHeight="false" outlineLevel="0" collapsed="false">
      <c r="K869" s="2" t="n">
        <v>864</v>
      </c>
      <c r="L869" s="14" t="n">
        <f aca="true">$B$16+NORMINV(RAND(),0,SQRT($B$13*($B$7+$B$8^2))*$B$9*(1-$B$10))</f>
        <v>3819.94616160467</v>
      </c>
      <c r="M869" s="14" t="n">
        <f aca="true">$B$16+NORMINV(RAND(),0,SQRT($B$13*($B$7+$B$8^2))*$B$9*(1-$B$10))</f>
        <v>4401.42531767415</v>
      </c>
      <c r="N869" s="14" t="n">
        <f aca="true">$B$16+NORMINV(RAND(),0,SQRT($B$13*($B$7+$B$8^2))*$B$9*(1-$B$10))</f>
        <v>3379.64031860967</v>
      </c>
      <c r="O869" s="14" t="n">
        <f aca="true">$B$16+NORMINV(RAND(),0,SQRT($B$13*($B$7+$B$8^2))*$B$9*(1-$B$10))</f>
        <v>3790.92623606447</v>
      </c>
      <c r="P869" s="14" t="n">
        <f aca="true">$B$16+NORMINV(RAND(),0,SQRT($B$13*($B$7+$B$8^2))*$B$9*(1-$B$10))</f>
        <v>4823.27890377435</v>
      </c>
      <c r="Q869" s="14" t="n">
        <f aca="true">$B$16+NORMINV(RAND(),0,SQRT($B$13*($B$7+$B$8^2))*$B$9*(1-$B$10))</f>
        <v>4802.16223680384</v>
      </c>
      <c r="R869" s="14" t="n">
        <f aca="false">$B$4-13*($B$5+$B$6)/30-IF($B$11&lt;=13,$B$12,0)+0</f>
        <v>8876.66666666667</v>
      </c>
      <c r="S869" s="14" t="n">
        <f aca="false">$B$4-27*($B$5+$B$6)/30-IF($B$11&lt;=27,$B$12,0)+L869</f>
        <v>10409.9461616047</v>
      </c>
      <c r="T869" s="14" t="n">
        <f aca="false">$B$4-41*($B$5+$B$6)/30-IF($B$11&lt;=41,$B$12,0)+L869+M869</f>
        <v>1339.90481261215</v>
      </c>
      <c r="U869" s="14" t="n">
        <f aca="false">$B$4-55*($B$5+$B$6)/30-IF($B$11&lt;=55,$B$12,0)+L869+M869+N869</f>
        <v>2432.87846455515</v>
      </c>
      <c r="V869" s="14" t="n">
        <f aca="false">$B$4-69*($B$5+$B$6)/30-IF($B$11&lt;=69,$B$12,0)+L869+M869+N869+O869</f>
        <v>3937.13803395295</v>
      </c>
      <c r="W869" s="14" t="n">
        <f aca="false">$B$4-83*($B$5+$B$6)/30-IF($B$11&lt;=83,$B$12,0)+L869+M869+N869+O869+P869</f>
        <v>6473.75027106063</v>
      </c>
      <c r="X869" s="14" t="n">
        <f aca="false">$B$4-90*($B$5+$B$6)/30-IF($B$11&lt;=90,$B$12,0)+L869+M869+N869+O869+P869+Q869</f>
        <v>10132.5791745311</v>
      </c>
      <c r="AA869" s="14" t="n">
        <f aca="false">MIN(R869:X869)</f>
        <v>1339.90481261215</v>
      </c>
    </row>
    <row r="870" customFormat="false" ht="15" hidden="false" customHeight="false" outlineLevel="0" collapsed="false">
      <c r="K870" s="2" t="n">
        <v>865</v>
      </c>
      <c r="L870" s="14" t="n">
        <f aca="true">$B$16+NORMINV(RAND(),0,SQRT($B$13*($B$7+$B$8^2))*$B$9*(1-$B$10))</f>
        <v>3814.57841136552</v>
      </c>
      <c r="M870" s="14" t="n">
        <f aca="true">$B$16+NORMINV(RAND(),0,SQRT($B$13*($B$7+$B$8^2))*$B$9*(1-$B$10))</f>
        <v>4142.71542624747</v>
      </c>
      <c r="N870" s="14" t="n">
        <f aca="true">$B$16+NORMINV(RAND(),0,SQRT($B$13*($B$7+$B$8^2))*$B$9*(1-$B$10))</f>
        <v>3648.73439699801</v>
      </c>
      <c r="O870" s="14" t="n">
        <f aca="true">$B$16+NORMINV(RAND(),0,SQRT($B$13*($B$7+$B$8^2))*$B$9*(1-$B$10))</f>
        <v>4213.35665260333</v>
      </c>
      <c r="P870" s="14" t="n">
        <f aca="true">$B$16+NORMINV(RAND(),0,SQRT($B$13*($B$7+$B$8^2))*$B$9*(1-$B$10))</f>
        <v>4281.71442098693</v>
      </c>
      <c r="Q870" s="14" t="n">
        <f aca="true">$B$16+NORMINV(RAND(),0,SQRT($B$13*($B$7+$B$8^2))*$B$9*(1-$B$10))</f>
        <v>3377.83172344061</v>
      </c>
      <c r="R870" s="14" t="n">
        <f aca="false">$B$4-13*($B$5+$B$6)/30-IF($B$11&lt;=13,$B$12,0)+0</f>
        <v>8876.66666666667</v>
      </c>
      <c r="S870" s="14" t="n">
        <f aca="false">$B$4-27*($B$5+$B$6)/30-IF($B$11&lt;=27,$B$12,0)+L870</f>
        <v>10404.5784113655</v>
      </c>
      <c r="T870" s="14" t="n">
        <f aca="false">$B$4-41*($B$5+$B$6)/30-IF($B$11&lt;=41,$B$12,0)+L870+M870</f>
        <v>1075.82717094632</v>
      </c>
      <c r="U870" s="14" t="n">
        <f aca="false">$B$4-55*($B$5+$B$6)/30-IF($B$11&lt;=55,$B$12,0)+L870+M870+N870</f>
        <v>2437.89490127767</v>
      </c>
      <c r="V870" s="14" t="n">
        <f aca="false">$B$4-69*($B$5+$B$6)/30-IF($B$11&lt;=69,$B$12,0)+L870+M870+N870+O870</f>
        <v>4364.58488721433</v>
      </c>
      <c r="W870" s="14" t="n">
        <f aca="false">$B$4-83*($B$5+$B$6)/30-IF($B$11&lt;=83,$B$12,0)+L870+M870+N870+O870+P870</f>
        <v>6359.63264153459</v>
      </c>
      <c r="X870" s="14" t="n">
        <f aca="false">$B$4-90*($B$5+$B$6)/30-IF($B$11&lt;=90,$B$12,0)+L870+M870+N870+O870+P870+Q870</f>
        <v>8594.13103164187</v>
      </c>
      <c r="AA870" s="14" t="n">
        <f aca="false">MIN(R870:X870)</f>
        <v>1075.82717094632</v>
      </c>
    </row>
    <row r="871" customFormat="false" ht="15" hidden="false" customHeight="false" outlineLevel="0" collapsed="false">
      <c r="K871" s="2" t="n">
        <v>866</v>
      </c>
      <c r="L871" s="14" t="n">
        <f aca="true">$B$16+NORMINV(RAND(),0,SQRT($B$13*($B$7+$B$8^2))*$B$9*(1-$B$10))</f>
        <v>4048.3909946655</v>
      </c>
      <c r="M871" s="14" t="n">
        <f aca="true">$B$16+NORMINV(RAND(),0,SQRT($B$13*($B$7+$B$8^2))*$B$9*(1-$B$10))</f>
        <v>3876.97120456279</v>
      </c>
      <c r="N871" s="14" t="n">
        <f aca="true">$B$16+NORMINV(RAND(),0,SQRT($B$13*($B$7+$B$8^2))*$B$9*(1-$B$10))</f>
        <v>4125.96136805576</v>
      </c>
      <c r="O871" s="14" t="n">
        <f aca="true">$B$16+NORMINV(RAND(),0,SQRT($B$13*($B$7+$B$8^2))*$B$9*(1-$B$10))</f>
        <v>4510.26874613932</v>
      </c>
      <c r="P871" s="14" t="n">
        <f aca="true">$B$16+NORMINV(RAND(),0,SQRT($B$13*($B$7+$B$8^2))*$B$9*(1-$B$10))</f>
        <v>3961.42867188094</v>
      </c>
      <c r="Q871" s="14" t="n">
        <f aca="true">$B$16+NORMINV(RAND(),0,SQRT($B$13*($B$7+$B$8^2))*$B$9*(1-$B$10))</f>
        <v>3949.30078788668</v>
      </c>
      <c r="R871" s="14" t="n">
        <f aca="false">$B$4-13*($B$5+$B$6)/30-IF($B$11&lt;=13,$B$12,0)+0</f>
        <v>8876.66666666667</v>
      </c>
      <c r="S871" s="14" t="n">
        <f aca="false">$B$4-27*($B$5+$B$6)/30-IF($B$11&lt;=27,$B$12,0)+L871</f>
        <v>10638.3909946655</v>
      </c>
      <c r="T871" s="14" t="n">
        <f aca="false">$B$4-41*($B$5+$B$6)/30-IF($B$11&lt;=41,$B$12,0)+L871+M871</f>
        <v>1043.89553256162</v>
      </c>
      <c r="U871" s="14" t="n">
        <f aca="false">$B$4-55*($B$5+$B$6)/30-IF($B$11&lt;=55,$B$12,0)+L871+M871+N871</f>
        <v>2883.19023395071</v>
      </c>
      <c r="V871" s="14" t="n">
        <f aca="false">$B$4-69*($B$5+$B$6)/30-IF($B$11&lt;=69,$B$12,0)+L871+M871+N871+O871</f>
        <v>5106.79231342336</v>
      </c>
      <c r="W871" s="14" t="n">
        <f aca="false">$B$4-83*($B$5+$B$6)/30-IF($B$11&lt;=83,$B$12,0)+L871+M871+N871+O871+P871</f>
        <v>6781.55431863763</v>
      </c>
      <c r="X871" s="14" t="n">
        <f aca="false">$B$4-90*($B$5+$B$6)/30-IF($B$11&lt;=90,$B$12,0)+L871+M871+N871+O871+P871+Q871</f>
        <v>9587.52177319098</v>
      </c>
      <c r="AA871" s="14" t="n">
        <f aca="false">MIN(R871:X871)</f>
        <v>1043.89553256162</v>
      </c>
    </row>
    <row r="872" customFormat="false" ht="15" hidden="false" customHeight="false" outlineLevel="0" collapsed="false">
      <c r="K872" s="2" t="n">
        <v>867</v>
      </c>
      <c r="L872" s="14" t="n">
        <f aca="true">$B$16+NORMINV(RAND(),0,SQRT($B$13*($B$7+$B$8^2))*$B$9*(1-$B$10))</f>
        <v>3566.63925142822</v>
      </c>
      <c r="M872" s="14" t="n">
        <f aca="true">$B$16+NORMINV(RAND(),0,SQRT($B$13*($B$7+$B$8^2))*$B$9*(1-$B$10))</f>
        <v>3822.62494532489</v>
      </c>
      <c r="N872" s="14" t="n">
        <f aca="true">$B$16+NORMINV(RAND(),0,SQRT($B$13*($B$7+$B$8^2))*$B$9*(1-$B$10))</f>
        <v>3654.34212038474</v>
      </c>
      <c r="O872" s="14" t="n">
        <f aca="true">$B$16+NORMINV(RAND(),0,SQRT($B$13*($B$7+$B$8^2))*$B$9*(1-$B$10))</f>
        <v>4301.51584649905</v>
      </c>
      <c r="P872" s="14" t="n">
        <f aca="true">$B$16+NORMINV(RAND(),0,SQRT($B$13*($B$7+$B$8^2))*$B$9*(1-$B$10))</f>
        <v>4287.18982027224</v>
      </c>
      <c r="Q872" s="14" t="n">
        <f aca="true">$B$16+NORMINV(RAND(),0,SQRT($B$13*($B$7+$B$8^2))*$B$9*(1-$B$10))</f>
        <v>4301.87703799429</v>
      </c>
      <c r="R872" s="14" t="n">
        <f aca="false">$B$4-13*($B$5+$B$6)/30-IF($B$11&lt;=13,$B$12,0)+0</f>
        <v>8876.66666666667</v>
      </c>
      <c r="S872" s="14" t="n">
        <f aca="false">$B$4-27*($B$5+$B$6)/30-IF($B$11&lt;=27,$B$12,0)+L872</f>
        <v>10156.6392514282</v>
      </c>
      <c r="T872" s="14" t="n">
        <f aca="false">$B$4-41*($B$5+$B$6)/30-IF($B$11&lt;=41,$B$12,0)+L872+M872</f>
        <v>507.797530086447</v>
      </c>
      <c r="U872" s="14" t="n">
        <f aca="false">$B$4-55*($B$5+$B$6)/30-IF($B$11&lt;=55,$B$12,0)+L872+M872+N872</f>
        <v>1875.47298380452</v>
      </c>
      <c r="V872" s="14" t="n">
        <f aca="false">$B$4-69*($B$5+$B$6)/30-IF($B$11&lt;=69,$B$12,0)+L872+M872+N872+O872</f>
        <v>3890.3221636369</v>
      </c>
      <c r="W872" s="14" t="n">
        <f aca="false">$B$4-83*($B$5+$B$6)/30-IF($B$11&lt;=83,$B$12,0)+L872+M872+N872+O872+P872</f>
        <v>5890.84531724247</v>
      </c>
      <c r="X872" s="14" t="n">
        <f aca="false">$B$4-90*($B$5+$B$6)/30-IF($B$11&lt;=90,$B$12,0)+L872+M872+N872+O872+P872+Q872</f>
        <v>9049.38902190343</v>
      </c>
      <c r="AA872" s="14" t="n">
        <f aca="false">MIN(R872:X872)</f>
        <v>507.797530086447</v>
      </c>
    </row>
    <row r="873" customFormat="false" ht="15" hidden="false" customHeight="false" outlineLevel="0" collapsed="false">
      <c r="K873" s="2" t="n">
        <v>868</v>
      </c>
      <c r="L873" s="14" t="n">
        <f aca="true">$B$16+NORMINV(RAND(),0,SQRT($B$13*($B$7+$B$8^2))*$B$9*(1-$B$10))</f>
        <v>4196.29630433875</v>
      </c>
      <c r="M873" s="14" t="n">
        <f aca="true">$B$16+NORMINV(RAND(),0,SQRT($B$13*($B$7+$B$8^2))*$B$9*(1-$B$10))</f>
        <v>4106.27579491563</v>
      </c>
      <c r="N873" s="14" t="n">
        <f aca="true">$B$16+NORMINV(RAND(),0,SQRT($B$13*($B$7+$B$8^2))*$B$9*(1-$B$10))</f>
        <v>3477.07853084872</v>
      </c>
      <c r="O873" s="14" t="n">
        <f aca="true">$B$16+NORMINV(RAND(),0,SQRT($B$13*($B$7+$B$8^2))*$B$9*(1-$B$10))</f>
        <v>3810.24731722594</v>
      </c>
      <c r="P873" s="14" t="n">
        <f aca="true">$B$16+NORMINV(RAND(),0,SQRT($B$13*($B$7+$B$8^2))*$B$9*(1-$B$10))</f>
        <v>4024.64261250461</v>
      </c>
      <c r="Q873" s="14" t="n">
        <f aca="true">$B$16+NORMINV(RAND(),0,SQRT($B$13*($B$7+$B$8^2))*$B$9*(1-$B$10))</f>
        <v>4134.03700577236</v>
      </c>
      <c r="R873" s="14" t="n">
        <f aca="false">$B$4-13*($B$5+$B$6)/30-IF($B$11&lt;=13,$B$12,0)+0</f>
        <v>8876.66666666667</v>
      </c>
      <c r="S873" s="14" t="n">
        <f aca="false">$B$4-27*($B$5+$B$6)/30-IF($B$11&lt;=27,$B$12,0)+L873</f>
        <v>10786.2963043387</v>
      </c>
      <c r="T873" s="14" t="n">
        <f aca="false">$B$4-41*($B$5+$B$6)/30-IF($B$11&lt;=41,$B$12,0)+L873+M873</f>
        <v>1421.10543258771</v>
      </c>
      <c r="U873" s="14" t="n">
        <f aca="false">$B$4-55*($B$5+$B$6)/30-IF($B$11&lt;=55,$B$12,0)+L873+M873+N873</f>
        <v>2611.51729676977</v>
      </c>
      <c r="V873" s="14" t="n">
        <f aca="false">$B$4-69*($B$5+$B$6)/30-IF($B$11&lt;=69,$B$12,0)+L873+M873+N873+O873</f>
        <v>4135.09794732904</v>
      </c>
      <c r="W873" s="14" t="n">
        <f aca="false">$B$4-83*($B$5+$B$6)/30-IF($B$11&lt;=83,$B$12,0)+L873+M873+N873+O873+P873</f>
        <v>5873.07389316699</v>
      </c>
      <c r="X873" s="14" t="n">
        <f aca="false">$B$4-90*($B$5+$B$6)/30-IF($B$11&lt;=90,$B$12,0)+L873+M873+N873+O873+P873+Q873</f>
        <v>8863.77756560601</v>
      </c>
      <c r="AA873" s="14" t="n">
        <f aca="false">MIN(R873:X873)</f>
        <v>1421.10543258771</v>
      </c>
    </row>
    <row r="874" customFormat="false" ht="15" hidden="false" customHeight="false" outlineLevel="0" collapsed="false">
      <c r="K874" s="2" t="n">
        <v>869</v>
      </c>
      <c r="L874" s="14" t="n">
        <f aca="true">$B$16+NORMINV(RAND(),0,SQRT($B$13*($B$7+$B$8^2))*$B$9*(1-$B$10))</f>
        <v>4226.83647885462</v>
      </c>
      <c r="M874" s="14" t="n">
        <f aca="true">$B$16+NORMINV(RAND(),0,SQRT($B$13*($B$7+$B$8^2))*$B$9*(1-$B$10))</f>
        <v>4398.22936308254</v>
      </c>
      <c r="N874" s="14" t="n">
        <f aca="true">$B$16+NORMINV(RAND(),0,SQRT($B$13*($B$7+$B$8^2))*$B$9*(1-$B$10))</f>
        <v>4334.69012614516</v>
      </c>
      <c r="O874" s="14" t="n">
        <f aca="true">$B$16+NORMINV(RAND(),0,SQRT($B$13*($B$7+$B$8^2))*$B$9*(1-$B$10))</f>
        <v>3664.69882472975</v>
      </c>
      <c r="P874" s="14" t="n">
        <f aca="true">$B$16+NORMINV(RAND(),0,SQRT($B$13*($B$7+$B$8^2))*$B$9*(1-$B$10))</f>
        <v>4193.38095346996</v>
      </c>
      <c r="Q874" s="14" t="n">
        <f aca="true">$B$16+NORMINV(RAND(),0,SQRT($B$13*($B$7+$B$8^2))*$B$9*(1-$B$10))</f>
        <v>3957.15117295013</v>
      </c>
      <c r="R874" s="14" t="n">
        <f aca="false">$B$4-13*($B$5+$B$6)/30-IF($B$11&lt;=13,$B$12,0)+0</f>
        <v>8876.66666666667</v>
      </c>
      <c r="S874" s="14" t="n">
        <f aca="false">$B$4-27*($B$5+$B$6)/30-IF($B$11&lt;=27,$B$12,0)+L874</f>
        <v>10816.8364788546</v>
      </c>
      <c r="T874" s="14" t="n">
        <f aca="false">$B$4-41*($B$5+$B$6)/30-IF($B$11&lt;=41,$B$12,0)+L874+M874</f>
        <v>1743.59917527049</v>
      </c>
      <c r="U874" s="14" t="n">
        <f aca="false">$B$4-55*($B$5+$B$6)/30-IF($B$11&lt;=55,$B$12,0)+L874+M874+N874</f>
        <v>3791.62263474898</v>
      </c>
      <c r="V874" s="14" t="n">
        <f aca="false">$B$4-69*($B$5+$B$6)/30-IF($B$11&lt;=69,$B$12,0)+L874+M874+N874+O874</f>
        <v>5169.65479281206</v>
      </c>
      <c r="W874" s="14" t="n">
        <f aca="false">$B$4-83*($B$5+$B$6)/30-IF($B$11&lt;=83,$B$12,0)+L874+M874+N874+O874+P874</f>
        <v>7076.36907961535</v>
      </c>
      <c r="X874" s="14" t="n">
        <f aca="false">$B$4-90*($B$5+$B$6)/30-IF($B$11&lt;=90,$B$12,0)+L874+M874+N874+O874+P874+Q874</f>
        <v>9890.18691923214</v>
      </c>
      <c r="AA874" s="14" t="n">
        <f aca="false">MIN(R874:X874)</f>
        <v>1743.59917527049</v>
      </c>
    </row>
    <row r="875" customFormat="false" ht="15" hidden="false" customHeight="false" outlineLevel="0" collapsed="false">
      <c r="K875" s="2" t="n">
        <v>870</v>
      </c>
      <c r="L875" s="14" t="n">
        <f aca="true">$B$16+NORMINV(RAND(),0,SQRT($B$13*($B$7+$B$8^2))*$B$9*(1-$B$10))</f>
        <v>3808.21975981579</v>
      </c>
      <c r="M875" s="14" t="n">
        <f aca="true">$B$16+NORMINV(RAND(),0,SQRT($B$13*($B$7+$B$8^2))*$B$9*(1-$B$10))</f>
        <v>4641.27808013605</v>
      </c>
      <c r="N875" s="14" t="n">
        <f aca="true">$B$16+NORMINV(RAND(),0,SQRT($B$13*($B$7+$B$8^2))*$B$9*(1-$B$10))</f>
        <v>4138.28300904651</v>
      </c>
      <c r="O875" s="14" t="n">
        <f aca="true">$B$16+NORMINV(RAND(),0,SQRT($B$13*($B$7+$B$8^2))*$B$9*(1-$B$10))</f>
        <v>4256.82534480172</v>
      </c>
      <c r="P875" s="14" t="n">
        <f aca="true">$B$16+NORMINV(RAND(),0,SQRT($B$13*($B$7+$B$8^2))*$B$9*(1-$B$10))</f>
        <v>3763.99119345583</v>
      </c>
      <c r="Q875" s="14" t="n">
        <f aca="true">$B$16+NORMINV(RAND(),0,SQRT($B$13*($B$7+$B$8^2))*$B$9*(1-$B$10))</f>
        <v>4174.93466299616</v>
      </c>
      <c r="R875" s="14" t="n">
        <f aca="false">$B$4-13*($B$5+$B$6)/30-IF($B$11&lt;=13,$B$12,0)+0</f>
        <v>8876.66666666667</v>
      </c>
      <c r="S875" s="14" t="n">
        <f aca="false">$B$4-27*($B$5+$B$6)/30-IF($B$11&lt;=27,$B$12,0)+L875</f>
        <v>10398.2197598158</v>
      </c>
      <c r="T875" s="14" t="n">
        <f aca="false">$B$4-41*($B$5+$B$6)/30-IF($B$11&lt;=41,$B$12,0)+L875+M875</f>
        <v>1568.03117328516</v>
      </c>
      <c r="U875" s="14" t="n">
        <f aca="false">$B$4-55*($B$5+$B$6)/30-IF($B$11&lt;=55,$B$12,0)+L875+M875+N875</f>
        <v>3419.64751566501</v>
      </c>
      <c r="V875" s="14" t="n">
        <f aca="false">$B$4-69*($B$5+$B$6)/30-IF($B$11&lt;=69,$B$12,0)+L875+M875+N875+O875</f>
        <v>5389.80619380006</v>
      </c>
      <c r="W875" s="14" t="n">
        <f aca="false">$B$4-83*($B$5+$B$6)/30-IF($B$11&lt;=83,$B$12,0)+L875+M875+N875+O875+P875</f>
        <v>6867.13072058922</v>
      </c>
      <c r="X875" s="14" t="n">
        <f aca="false">$B$4-90*($B$5+$B$6)/30-IF($B$11&lt;=90,$B$12,0)+L875+M875+N875+O875+P875+Q875</f>
        <v>9898.73205025205</v>
      </c>
      <c r="AA875" s="14" t="n">
        <f aca="false">MIN(R875:X875)</f>
        <v>1568.03117328516</v>
      </c>
    </row>
    <row r="876" customFormat="false" ht="15" hidden="false" customHeight="false" outlineLevel="0" collapsed="false">
      <c r="K876" s="2" t="n">
        <v>871</v>
      </c>
      <c r="L876" s="14" t="n">
        <f aca="true">$B$16+NORMINV(RAND(),0,SQRT($B$13*($B$7+$B$8^2))*$B$9*(1-$B$10))</f>
        <v>4409.06708459073</v>
      </c>
      <c r="M876" s="14" t="n">
        <f aca="true">$B$16+NORMINV(RAND(),0,SQRT($B$13*($B$7+$B$8^2))*$B$9*(1-$B$10))</f>
        <v>4461.85893705759</v>
      </c>
      <c r="N876" s="14" t="n">
        <f aca="true">$B$16+NORMINV(RAND(),0,SQRT($B$13*($B$7+$B$8^2))*$B$9*(1-$B$10))</f>
        <v>4259.87561991232</v>
      </c>
      <c r="O876" s="14" t="n">
        <f aca="true">$B$16+NORMINV(RAND(),0,SQRT($B$13*($B$7+$B$8^2))*$B$9*(1-$B$10))</f>
        <v>4177.17070959977</v>
      </c>
      <c r="P876" s="14" t="n">
        <f aca="true">$B$16+NORMINV(RAND(),0,SQRT($B$13*($B$7+$B$8^2))*$B$9*(1-$B$10))</f>
        <v>3689.76422599492</v>
      </c>
      <c r="Q876" s="14" t="n">
        <f aca="true">$B$16+NORMINV(RAND(),0,SQRT($B$13*($B$7+$B$8^2))*$B$9*(1-$B$10))</f>
        <v>4346.11038581619</v>
      </c>
      <c r="R876" s="14" t="n">
        <f aca="false">$B$4-13*($B$5+$B$6)/30-IF($B$11&lt;=13,$B$12,0)+0</f>
        <v>8876.66666666667</v>
      </c>
      <c r="S876" s="14" t="n">
        <f aca="false">$B$4-27*($B$5+$B$6)/30-IF($B$11&lt;=27,$B$12,0)+L876</f>
        <v>10999.0670845907</v>
      </c>
      <c r="T876" s="14" t="n">
        <f aca="false">$B$4-41*($B$5+$B$6)/30-IF($B$11&lt;=41,$B$12,0)+L876+M876</f>
        <v>1989.45935498165</v>
      </c>
      <c r="U876" s="14" t="n">
        <f aca="false">$B$4-55*($B$5+$B$6)/30-IF($B$11&lt;=55,$B$12,0)+L876+M876+N876</f>
        <v>3962.6683082273</v>
      </c>
      <c r="V876" s="14" t="n">
        <f aca="false">$B$4-69*($B$5+$B$6)/30-IF($B$11&lt;=69,$B$12,0)+L876+M876+N876+O876</f>
        <v>5853.1723511604</v>
      </c>
      <c r="W876" s="14" t="n">
        <f aca="false">$B$4-83*($B$5+$B$6)/30-IF($B$11&lt;=83,$B$12,0)+L876+M876+N876+O876+P876</f>
        <v>7256.26991048865</v>
      </c>
      <c r="X876" s="14" t="n">
        <f aca="false">$B$4-90*($B$5+$B$6)/30-IF($B$11&lt;=90,$B$12,0)+L876+M876+N876+O876+P876+Q876</f>
        <v>10459.0469629715</v>
      </c>
      <c r="AA876" s="14" t="n">
        <f aca="false">MIN(R876:X876)</f>
        <v>1989.45935498165</v>
      </c>
    </row>
    <row r="877" customFormat="false" ht="15" hidden="false" customHeight="false" outlineLevel="0" collapsed="false">
      <c r="K877" s="2" t="n">
        <v>872</v>
      </c>
      <c r="L877" s="14" t="n">
        <f aca="true">$B$16+NORMINV(RAND(),0,SQRT($B$13*($B$7+$B$8^2))*$B$9*(1-$B$10))</f>
        <v>3968.05290103918</v>
      </c>
      <c r="M877" s="14" t="n">
        <f aca="true">$B$16+NORMINV(RAND(),0,SQRT($B$13*($B$7+$B$8^2))*$B$9*(1-$B$10))</f>
        <v>4084.36722751518</v>
      </c>
      <c r="N877" s="14" t="n">
        <f aca="true">$B$16+NORMINV(RAND(),0,SQRT($B$13*($B$7+$B$8^2))*$B$9*(1-$B$10))</f>
        <v>3576.21794485344</v>
      </c>
      <c r="O877" s="14" t="n">
        <f aca="true">$B$16+NORMINV(RAND(),0,SQRT($B$13*($B$7+$B$8^2))*$B$9*(1-$B$10))</f>
        <v>3740.6685913187</v>
      </c>
      <c r="P877" s="14" t="n">
        <f aca="true">$B$16+NORMINV(RAND(),0,SQRT($B$13*($B$7+$B$8^2))*$B$9*(1-$B$10))</f>
        <v>4268.67074160939</v>
      </c>
      <c r="Q877" s="14" t="n">
        <f aca="true">$B$16+NORMINV(RAND(),0,SQRT($B$13*($B$7+$B$8^2))*$B$9*(1-$B$10))</f>
        <v>4380.34539739165</v>
      </c>
      <c r="R877" s="14" t="n">
        <f aca="false">$B$4-13*($B$5+$B$6)/30-IF($B$11&lt;=13,$B$12,0)+0</f>
        <v>8876.66666666667</v>
      </c>
      <c r="S877" s="14" t="n">
        <f aca="false">$B$4-27*($B$5+$B$6)/30-IF($B$11&lt;=27,$B$12,0)+L877</f>
        <v>10558.0529010392</v>
      </c>
      <c r="T877" s="14" t="n">
        <f aca="false">$B$4-41*($B$5+$B$6)/30-IF($B$11&lt;=41,$B$12,0)+L877+M877</f>
        <v>1170.9534618877</v>
      </c>
      <c r="U877" s="14" t="n">
        <f aca="false">$B$4-55*($B$5+$B$6)/30-IF($B$11&lt;=55,$B$12,0)+L877+M877+N877</f>
        <v>2460.50474007447</v>
      </c>
      <c r="V877" s="14" t="n">
        <f aca="false">$B$4-69*($B$5+$B$6)/30-IF($B$11&lt;=69,$B$12,0)+L877+M877+N877+O877</f>
        <v>3914.50666472651</v>
      </c>
      <c r="W877" s="14" t="n">
        <f aca="false">$B$4-83*($B$5+$B$6)/30-IF($B$11&lt;=83,$B$12,0)+L877+M877+N877+O877+P877</f>
        <v>5896.51073966923</v>
      </c>
      <c r="X877" s="14" t="n">
        <f aca="false">$B$4-90*($B$5+$B$6)/30-IF($B$11&lt;=90,$B$12,0)+L877+M877+N877+O877+P877+Q877</f>
        <v>9133.52280372755</v>
      </c>
      <c r="AA877" s="14" t="n">
        <f aca="false">MIN(R877:X877)</f>
        <v>1170.9534618877</v>
      </c>
    </row>
    <row r="878" customFormat="false" ht="15" hidden="false" customHeight="false" outlineLevel="0" collapsed="false">
      <c r="K878" s="2" t="n">
        <v>873</v>
      </c>
      <c r="L878" s="14" t="n">
        <f aca="true">$B$16+NORMINV(RAND(),0,SQRT($B$13*($B$7+$B$8^2))*$B$9*(1-$B$10))</f>
        <v>4562.17692237249</v>
      </c>
      <c r="M878" s="14" t="n">
        <f aca="true">$B$16+NORMINV(RAND(),0,SQRT($B$13*($B$7+$B$8^2))*$B$9*(1-$B$10))</f>
        <v>4526.36768595134</v>
      </c>
      <c r="N878" s="14" t="n">
        <f aca="true">$B$16+NORMINV(RAND(),0,SQRT($B$13*($B$7+$B$8^2))*$B$9*(1-$B$10))</f>
        <v>5002.16211747909</v>
      </c>
      <c r="O878" s="14" t="n">
        <f aca="true">$B$16+NORMINV(RAND(),0,SQRT($B$13*($B$7+$B$8^2))*$B$9*(1-$B$10))</f>
        <v>4323.71129678908</v>
      </c>
      <c r="P878" s="14" t="n">
        <f aca="true">$B$16+NORMINV(RAND(),0,SQRT($B$13*($B$7+$B$8^2))*$B$9*(1-$B$10))</f>
        <v>4041.78357214474</v>
      </c>
      <c r="Q878" s="14" t="n">
        <f aca="true">$B$16+NORMINV(RAND(),0,SQRT($B$13*($B$7+$B$8^2))*$B$9*(1-$B$10))</f>
        <v>3955.13422869297</v>
      </c>
      <c r="R878" s="14" t="n">
        <f aca="false">$B$4-13*($B$5+$B$6)/30-IF($B$11&lt;=13,$B$12,0)+0</f>
        <v>8876.66666666667</v>
      </c>
      <c r="S878" s="14" t="n">
        <f aca="false">$B$4-27*($B$5+$B$6)/30-IF($B$11&lt;=27,$B$12,0)+L878</f>
        <v>11152.1769223725</v>
      </c>
      <c r="T878" s="14" t="n">
        <f aca="false">$B$4-41*($B$5+$B$6)/30-IF($B$11&lt;=41,$B$12,0)+L878+M878</f>
        <v>2207.07794165716</v>
      </c>
      <c r="U878" s="14" t="n">
        <f aca="false">$B$4-55*($B$5+$B$6)/30-IF($B$11&lt;=55,$B$12,0)+L878+M878+N878</f>
        <v>4922.57339246958</v>
      </c>
      <c r="V878" s="14" t="n">
        <f aca="false">$B$4-69*($B$5+$B$6)/30-IF($B$11&lt;=69,$B$12,0)+L878+M878+N878+O878</f>
        <v>6959.618022592</v>
      </c>
      <c r="W878" s="14" t="n">
        <f aca="false">$B$4-83*($B$5+$B$6)/30-IF($B$11&lt;=83,$B$12,0)+L878+M878+N878+O878+P878</f>
        <v>8714.73492807007</v>
      </c>
      <c r="X878" s="14" t="n">
        <f aca="false">$B$4-90*($B$5+$B$6)/30-IF($B$11&lt;=90,$B$12,0)+L878+M878+N878+O878+P878+Q878</f>
        <v>11526.5358234297</v>
      </c>
      <c r="AA878" s="14" t="n">
        <f aca="false">MIN(R878:X878)</f>
        <v>2207.07794165716</v>
      </c>
    </row>
    <row r="879" customFormat="false" ht="15" hidden="false" customHeight="false" outlineLevel="0" collapsed="false">
      <c r="K879" s="2" t="n">
        <v>874</v>
      </c>
      <c r="L879" s="14" t="n">
        <f aca="true">$B$16+NORMINV(RAND(),0,SQRT($B$13*($B$7+$B$8^2))*$B$9*(1-$B$10))</f>
        <v>4093.39133644727</v>
      </c>
      <c r="M879" s="14" t="n">
        <f aca="true">$B$16+NORMINV(RAND(),0,SQRT($B$13*($B$7+$B$8^2))*$B$9*(1-$B$10))</f>
        <v>3905.84409760193</v>
      </c>
      <c r="N879" s="14" t="n">
        <f aca="true">$B$16+NORMINV(RAND(),0,SQRT($B$13*($B$7+$B$8^2))*$B$9*(1-$B$10))</f>
        <v>3736.995963347</v>
      </c>
      <c r="O879" s="14" t="n">
        <f aca="true">$B$16+NORMINV(RAND(),0,SQRT($B$13*($B$7+$B$8^2))*$B$9*(1-$B$10))</f>
        <v>4042.43661370225</v>
      </c>
      <c r="P879" s="14" t="n">
        <f aca="true">$B$16+NORMINV(RAND(),0,SQRT($B$13*($B$7+$B$8^2))*$B$9*(1-$B$10))</f>
        <v>3349.16539081944</v>
      </c>
      <c r="Q879" s="14" t="n">
        <f aca="true">$B$16+NORMINV(RAND(),0,SQRT($B$13*($B$7+$B$8^2))*$B$9*(1-$B$10))</f>
        <v>3972.54225377024</v>
      </c>
      <c r="R879" s="14" t="n">
        <f aca="false">$B$4-13*($B$5+$B$6)/30-IF($B$11&lt;=13,$B$12,0)+0</f>
        <v>8876.66666666667</v>
      </c>
      <c r="S879" s="14" t="n">
        <f aca="false">$B$4-27*($B$5+$B$6)/30-IF($B$11&lt;=27,$B$12,0)+L879</f>
        <v>10683.3913364473</v>
      </c>
      <c r="T879" s="14" t="n">
        <f aca="false">$B$4-41*($B$5+$B$6)/30-IF($B$11&lt;=41,$B$12,0)+L879+M879</f>
        <v>1117.76876738254</v>
      </c>
      <c r="U879" s="14" t="n">
        <f aca="false">$B$4-55*($B$5+$B$6)/30-IF($B$11&lt;=55,$B$12,0)+L879+M879+N879</f>
        <v>2568.09806406287</v>
      </c>
      <c r="V879" s="14" t="n">
        <f aca="false">$B$4-69*($B$5+$B$6)/30-IF($B$11&lt;=69,$B$12,0)+L879+M879+N879+O879</f>
        <v>4323.86801109845</v>
      </c>
      <c r="W879" s="14" t="n">
        <f aca="false">$B$4-83*($B$5+$B$6)/30-IF($B$11&lt;=83,$B$12,0)+L879+M879+N879+O879+P879</f>
        <v>5386.36673525122</v>
      </c>
      <c r="X879" s="14" t="n">
        <f aca="false">$B$4-90*($B$5+$B$6)/30-IF($B$11&lt;=90,$B$12,0)+L879+M879+N879+O879+P879+Q879</f>
        <v>8215.57565568812</v>
      </c>
      <c r="AA879" s="14" t="n">
        <f aca="false">MIN(R879:X879)</f>
        <v>1117.76876738254</v>
      </c>
    </row>
    <row r="880" customFormat="false" ht="15" hidden="false" customHeight="false" outlineLevel="0" collapsed="false">
      <c r="K880" s="2" t="n">
        <v>875</v>
      </c>
      <c r="L880" s="14" t="n">
        <f aca="true">$B$16+NORMINV(RAND(),0,SQRT($B$13*($B$7+$B$8^2))*$B$9*(1-$B$10))</f>
        <v>4089.25051413877</v>
      </c>
      <c r="M880" s="14" t="n">
        <f aca="true">$B$16+NORMINV(RAND(),0,SQRT($B$13*($B$7+$B$8^2))*$B$9*(1-$B$10))</f>
        <v>4152.14602278468</v>
      </c>
      <c r="N880" s="14" t="n">
        <f aca="true">$B$16+NORMINV(RAND(),0,SQRT($B$13*($B$7+$B$8^2))*$B$9*(1-$B$10))</f>
        <v>4268.71584524949</v>
      </c>
      <c r="O880" s="14" t="n">
        <f aca="true">$B$16+NORMINV(RAND(),0,SQRT($B$13*($B$7+$B$8^2))*$B$9*(1-$B$10))</f>
        <v>4304.16758734969</v>
      </c>
      <c r="P880" s="14" t="n">
        <f aca="true">$B$16+NORMINV(RAND(),0,SQRT($B$13*($B$7+$B$8^2))*$B$9*(1-$B$10))</f>
        <v>3807.72028903603</v>
      </c>
      <c r="Q880" s="14" t="n">
        <f aca="true">$B$16+NORMINV(RAND(),0,SQRT($B$13*($B$7+$B$8^2))*$B$9*(1-$B$10))</f>
        <v>4014.889177981</v>
      </c>
      <c r="R880" s="14" t="n">
        <f aca="false">$B$4-13*($B$5+$B$6)/30-IF($B$11&lt;=13,$B$12,0)+0</f>
        <v>8876.66666666667</v>
      </c>
      <c r="S880" s="14" t="n">
        <f aca="false">$B$4-27*($B$5+$B$6)/30-IF($B$11&lt;=27,$B$12,0)+L880</f>
        <v>10679.2505141388</v>
      </c>
      <c r="T880" s="14" t="n">
        <f aca="false">$B$4-41*($B$5+$B$6)/30-IF($B$11&lt;=41,$B$12,0)+L880+M880</f>
        <v>1359.92987025679</v>
      </c>
      <c r="U880" s="14" t="n">
        <f aca="false">$B$4-55*($B$5+$B$6)/30-IF($B$11&lt;=55,$B$12,0)+L880+M880+N880</f>
        <v>3341.97904883961</v>
      </c>
      <c r="V880" s="14" t="n">
        <f aca="false">$B$4-69*($B$5+$B$6)/30-IF($B$11&lt;=69,$B$12,0)+L880+M880+N880+O880</f>
        <v>5359.47996952263</v>
      </c>
      <c r="W880" s="14" t="n">
        <f aca="false">$B$4-83*($B$5+$B$6)/30-IF($B$11&lt;=83,$B$12,0)+L880+M880+N880+O880+P880</f>
        <v>6880.533591892</v>
      </c>
      <c r="X880" s="14" t="n">
        <f aca="false">$B$4-90*($B$5+$B$6)/30-IF($B$11&lt;=90,$B$12,0)+L880+M880+N880+O880+P880+Q880</f>
        <v>9752.08943653967</v>
      </c>
      <c r="AA880" s="14" t="n">
        <f aca="false">MIN(R880:X880)</f>
        <v>1359.92987025679</v>
      </c>
    </row>
    <row r="881" customFormat="false" ht="15" hidden="false" customHeight="false" outlineLevel="0" collapsed="false">
      <c r="K881" s="2" t="n">
        <v>876</v>
      </c>
      <c r="L881" s="14" t="n">
        <f aca="true">$B$16+NORMINV(RAND(),0,SQRT($B$13*($B$7+$B$8^2))*$B$9*(1-$B$10))</f>
        <v>4169.75909350474</v>
      </c>
      <c r="M881" s="14" t="n">
        <f aca="true">$B$16+NORMINV(RAND(),0,SQRT($B$13*($B$7+$B$8^2))*$B$9*(1-$B$10))</f>
        <v>4095.85854681273</v>
      </c>
      <c r="N881" s="14" t="n">
        <f aca="true">$B$16+NORMINV(RAND(),0,SQRT($B$13*($B$7+$B$8^2))*$B$9*(1-$B$10))</f>
        <v>3836.98285316854</v>
      </c>
      <c r="O881" s="14" t="n">
        <f aca="true">$B$16+NORMINV(RAND(),0,SQRT($B$13*($B$7+$B$8^2))*$B$9*(1-$B$10))</f>
        <v>4244.26506127446</v>
      </c>
      <c r="P881" s="14" t="n">
        <f aca="true">$B$16+NORMINV(RAND(),0,SQRT($B$13*($B$7+$B$8^2))*$B$9*(1-$B$10))</f>
        <v>3477.77703285946</v>
      </c>
      <c r="Q881" s="14" t="n">
        <f aca="true">$B$16+NORMINV(RAND(),0,SQRT($B$13*($B$7+$B$8^2))*$B$9*(1-$B$10))</f>
        <v>3827.45755109706</v>
      </c>
      <c r="R881" s="14" t="n">
        <f aca="false">$B$4-13*($B$5+$B$6)/30-IF($B$11&lt;=13,$B$12,0)+0</f>
        <v>8876.66666666667</v>
      </c>
      <c r="S881" s="14" t="n">
        <f aca="false">$B$4-27*($B$5+$B$6)/30-IF($B$11&lt;=27,$B$12,0)+L881</f>
        <v>10759.7590935047</v>
      </c>
      <c r="T881" s="14" t="n">
        <f aca="false">$B$4-41*($B$5+$B$6)/30-IF($B$11&lt;=41,$B$12,0)+L881+M881</f>
        <v>1384.15097365079</v>
      </c>
      <c r="U881" s="14" t="n">
        <f aca="false">$B$4-55*($B$5+$B$6)/30-IF($B$11&lt;=55,$B$12,0)+L881+M881+N881</f>
        <v>2934.46716015266</v>
      </c>
      <c r="V881" s="14" t="n">
        <f aca="false">$B$4-69*($B$5+$B$6)/30-IF($B$11&lt;=69,$B$12,0)+L881+M881+N881+O881</f>
        <v>4892.06555476045</v>
      </c>
      <c r="W881" s="14" t="n">
        <f aca="false">$B$4-83*($B$5+$B$6)/30-IF($B$11&lt;=83,$B$12,0)+L881+M881+N881+O881+P881</f>
        <v>6083.17592095325</v>
      </c>
      <c r="X881" s="14" t="n">
        <f aca="false">$B$4-90*($B$5+$B$6)/30-IF($B$11&lt;=90,$B$12,0)+L881+M881+N881+O881+P881+Q881</f>
        <v>8767.30013871698</v>
      </c>
      <c r="AA881" s="14" t="n">
        <f aca="false">MIN(R881:X881)</f>
        <v>1384.15097365079</v>
      </c>
    </row>
    <row r="882" customFormat="false" ht="15" hidden="false" customHeight="false" outlineLevel="0" collapsed="false">
      <c r="K882" s="2" t="n">
        <v>877</v>
      </c>
      <c r="L882" s="14" t="n">
        <f aca="true">$B$16+NORMINV(RAND(),0,SQRT($B$13*($B$7+$B$8^2))*$B$9*(1-$B$10))</f>
        <v>4582.41774203246</v>
      </c>
      <c r="M882" s="14" t="n">
        <f aca="true">$B$16+NORMINV(RAND(),0,SQRT($B$13*($B$7+$B$8^2))*$B$9*(1-$B$10))</f>
        <v>4309.82218166692</v>
      </c>
      <c r="N882" s="14" t="n">
        <f aca="true">$B$16+NORMINV(RAND(),0,SQRT($B$13*($B$7+$B$8^2))*$B$9*(1-$B$10))</f>
        <v>3904.27901822361</v>
      </c>
      <c r="O882" s="14" t="n">
        <f aca="true">$B$16+NORMINV(RAND(),0,SQRT($B$13*($B$7+$B$8^2))*$B$9*(1-$B$10))</f>
        <v>3811.77398595835</v>
      </c>
      <c r="P882" s="14" t="n">
        <f aca="true">$B$16+NORMINV(RAND(),0,SQRT($B$13*($B$7+$B$8^2))*$B$9*(1-$B$10))</f>
        <v>4321.10846939448</v>
      </c>
      <c r="Q882" s="14" t="n">
        <f aca="true">$B$16+NORMINV(RAND(),0,SQRT($B$13*($B$7+$B$8^2))*$B$9*(1-$B$10))</f>
        <v>4259.87443761551</v>
      </c>
      <c r="R882" s="14" t="n">
        <f aca="false">$B$4-13*($B$5+$B$6)/30-IF($B$11&lt;=13,$B$12,0)+0</f>
        <v>8876.66666666667</v>
      </c>
      <c r="S882" s="14" t="n">
        <f aca="false">$B$4-27*($B$5+$B$6)/30-IF($B$11&lt;=27,$B$12,0)+L882</f>
        <v>11172.4177420325</v>
      </c>
      <c r="T882" s="14" t="n">
        <f aca="false">$B$4-41*($B$5+$B$6)/30-IF($B$11&lt;=41,$B$12,0)+L882+M882</f>
        <v>2010.7732570327</v>
      </c>
      <c r="U882" s="14" t="n">
        <f aca="false">$B$4-55*($B$5+$B$6)/30-IF($B$11&lt;=55,$B$12,0)+L882+M882+N882</f>
        <v>3628.38560858965</v>
      </c>
      <c r="V882" s="14" t="n">
        <f aca="false">$B$4-69*($B$5+$B$6)/30-IF($B$11&lt;=69,$B$12,0)+L882+M882+N882+O882</f>
        <v>5153.49292788133</v>
      </c>
      <c r="W882" s="14" t="n">
        <f aca="false">$B$4-83*($B$5+$B$6)/30-IF($B$11&lt;=83,$B$12,0)+L882+M882+N882+O882+P882</f>
        <v>7187.93473060915</v>
      </c>
      <c r="X882" s="14" t="n">
        <f aca="false">$B$4-90*($B$5+$B$6)/30-IF($B$11&lt;=90,$B$12,0)+L882+M882+N882+O882+P882+Q882</f>
        <v>10304.4758348913</v>
      </c>
      <c r="AA882" s="14" t="n">
        <f aca="false">MIN(R882:X882)</f>
        <v>2010.7732570327</v>
      </c>
    </row>
    <row r="883" customFormat="false" ht="15" hidden="false" customHeight="false" outlineLevel="0" collapsed="false">
      <c r="K883" s="2" t="n">
        <v>878</v>
      </c>
      <c r="L883" s="14" t="n">
        <f aca="true">$B$16+NORMINV(RAND(),0,SQRT($B$13*($B$7+$B$8^2))*$B$9*(1-$B$10))</f>
        <v>3936.51399752222</v>
      </c>
      <c r="M883" s="14" t="n">
        <f aca="true">$B$16+NORMINV(RAND(),0,SQRT($B$13*($B$7+$B$8^2))*$B$9*(1-$B$10))</f>
        <v>4563.04243372884</v>
      </c>
      <c r="N883" s="14" t="n">
        <f aca="true">$B$16+NORMINV(RAND(),0,SQRT($B$13*($B$7+$B$8^2))*$B$9*(1-$B$10))</f>
        <v>3682.85120409919</v>
      </c>
      <c r="O883" s="14" t="n">
        <f aca="true">$B$16+NORMINV(RAND(),0,SQRT($B$13*($B$7+$B$8^2))*$B$9*(1-$B$10))</f>
        <v>3872.58560539028</v>
      </c>
      <c r="P883" s="14" t="n">
        <f aca="true">$B$16+NORMINV(RAND(),0,SQRT($B$13*($B$7+$B$8^2))*$B$9*(1-$B$10))</f>
        <v>3796.62391093943</v>
      </c>
      <c r="Q883" s="14" t="n">
        <f aca="true">$B$16+NORMINV(RAND(),0,SQRT($B$13*($B$7+$B$8^2))*$B$9*(1-$B$10))</f>
        <v>3935.84994311481</v>
      </c>
      <c r="R883" s="14" t="n">
        <f aca="false">$B$4-13*($B$5+$B$6)/30-IF($B$11&lt;=13,$B$12,0)+0</f>
        <v>8876.66666666667</v>
      </c>
      <c r="S883" s="14" t="n">
        <f aca="false">$B$4-27*($B$5+$B$6)/30-IF($B$11&lt;=27,$B$12,0)+L883</f>
        <v>10526.5139975222</v>
      </c>
      <c r="T883" s="14" t="n">
        <f aca="false">$B$4-41*($B$5+$B$6)/30-IF($B$11&lt;=41,$B$12,0)+L883+M883</f>
        <v>1618.08976458439</v>
      </c>
      <c r="U883" s="14" t="n">
        <f aca="false">$B$4-55*($B$5+$B$6)/30-IF($B$11&lt;=55,$B$12,0)+L883+M883+N883</f>
        <v>3014.27430201692</v>
      </c>
      <c r="V883" s="14" t="n">
        <f aca="false">$B$4-69*($B$5+$B$6)/30-IF($B$11&lt;=69,$B$12,0)+L883+M883+N883+O883</f>
        <v>4600.19324074053</v>
      </c>
      <c r="W883" s="14" t="n">
        <f aca="false">$B$4-83*($B$5+$B$6)/30-IF($B$11&lt;=83,$B$12,0)+L883+M883+N883+O883+P883</f>
        <v>6110.15048501329</v>
      </c>
      <c r="X883" s="14" t="n">
        <f aca="false">$B$4-90*($B$5+$B$6)/30-IF($B$11&lt;=90,$B$12,0)+L883+M883+N883+O883+P883+Q883</f>
        <v>8902.66709479477</v>
      </c>
      <c r="AA883" s="14" t="n">
        <f aca="false">MIN(R883:X883)</f>
        <v>1618.08976458439</v>
      </c>
    </row>
    <row r="884" customFormat="false" ht="15" hidden="false" customHeight="false" outlineLevel="0" collapsed="false">
      <c r="K884" s="2" t="n">
        <v>879</v>
      </c>
      <c r="L884" s="14" t="n">
        <f aca="true">$B$16+NORMINV(RAND(),0,SQRT($B$13*($B$7+$B$8^2))*$B$9*(1-$B$10))</f>
        <v>4001.75453789976</v>
      </c>
      <c r="M884" s="14" t="n">
        <f aca="true">$B$16+NORMINV(RAND(),0,SQRT($B$13*($B$7+$B$8^2))*$B$9*(1-$B$10))</f>
        <v>3980.31702371117</v>
      </c>
      <c r="N884" s="14" t="n">
        <f aca="true">$B$16+NORMINV(RAND(),0,SQRT($B$13*($B$7+$B$8^2))*$B$9*(1-$B$10))</f>
        <v>3694.14536519884</v>
      </c>
      <c r="O884" s="14" t="n">
        <f aca="true">$B$16+NORMINV(RAND(),0,SQRT($B$13*($B$7+$B$8^2))*$B$9*(1-$B$10))</f>
        <v>4185.51153845914</v>
      </c>
      <c r="P884" s="14" t="n">
        <f aca="true">$B$16+NORMINV(RAND(),0,SQRT($B$13*($B$7+$B$8^2))*$B$9*(1-$B$10))</f>
        <v>4007.8510967682</v>
      </c>
      <c r="Q884" s="14" t="n">
        <f aca="true">$B$16+NORMINV(RAND(),0,SQRT($B$13*($B$7+$B$8^2))*$B$9*(1-$B$10))</f>
        <v>4618.6712441842</v>
      </c>
      <c r="R884" s="14" t="n">
        <f aca="false">$B$4-13*($B$5+$B$6)/30-IF($B$11&lt;=13,$B$12,0)+0</f>
        <v>8876.66666666667</v>
      </c>
      <c r="S884" s="14" t="n">
        <f aca="false">$B$4-27*($B$5+$B$6)/30-IF($B$11&lt;=27,$B$12,0)+L884</f>
        <v>10591.7545378998</v>
      </c>
      <c r="T884" s="14" t="n">
        <f aca="false">$B$4-41*($B$5+$B$6)/30-IF($B$11&lt;=41,$B$12,0)+L884+M884</f>
        <v>1100.60489494427</v>
      </c>
      <c r="U884" s="14" t="n">
        <f aca="false">$B$4-55*($B$5+$B$6)/30-IF($B$11&lt;=55,$B$12,0)+L884+M884+N884</f>
        <v>2508.08359347644</v>
      </c>
      <c r="V884" s="14" t="n">
        <f aca="false">$B$4-69*($B$5+$B$6)/30-IF($B$11&lt;=69,$B$12,0)+L884+M884+N884+O884</f>
        <v>4406.92846526892</v>
      </c>
      <c r="W884" s="14" t="n">
        <f aca="false">$B$4-83*($B$5+$B$6)/30-IF($B$11&lt;=83,$B$12,0)+L884+M884+N884+O884+P884</f>
        <v>6128.11289537045</v>
      </c>
      <c r="X884" s="14" t="n">
        <f aca="false">$B$4-90*($B$5+$B$6)/30-IF($B$11&lt;=90,$B$12,0)+L884+M884+N884+O884+P884+Q884</f>
        <v>9603.45080622132</v>
      </c>
      <c r="AA884" s="14" t="n">
        <f aca="false">MIN(R884:X884)</f>
        <v>1100.60489494427</v>
      </c>
    </row>
    <row r="885" customFormat="false" ht="15" hidden="false" customHeight="false" outlineLevel="0" collapsed="false">
      <c r="K885" s="2" t="n">
        <v>880</v>
      </c>
      <c r="L885" s="14" t="n">
        <f aca="true">$B$16+NORMINV(RAND(),0,SQRT($B$13*($B$7+$B$8^2))*$B$9*(1-$B$10))</f>
        <v>4123.58475856928</v>
      </c>
      <c r="M885" s="14" t="n">
        <f aca="true">$B$16+NORMINV(RAND(),0,SQRT($B$13*($B$7+$B$8^2))*$B$9*(1-$B$10))</f>
        <v>4483.13364306659</v>
      </c>
      <c r="N885" s="14" t="n">
        <f aca="true">$B$16+NORMINV(RAND(),0,SQRT($B$13*($B$7+$B$8^2))*$B$9*(1-$B$10))</f>
        <v>4257.82452493764</v>
      </c>
      <c r="O885" s="14" t="n">
        <f aca="true">$B$16+NORMINV(RAND(),0,SQRT($B$13*($B$7+$B$8^2))*$B$9*(1-$B$10))</f>
        <v>3818.12992001513</v>
      </c>
      <c r="P885" s="14" t="n">
        <f aca="true">$B$16+NORMINV(RAND(),0,SQRT($B$13*($B$7+$B$8^2))*$B$9*(1-$B$10))</f>
        <v>4808.38517003613</v>
      </c>
      <c r="Q885" s="14" t="n">
        <f aca="true">$B$16+NORMINV(RAND(),0,SQRT($B$13*($B$7+$B$8^2))*$B$9*(1-$B$10))</f>
        <v>4032.62340136977</v>
      </c>
      <c r="R885" s="14" t="n">
        <f aca="false">$B$4-13*($B$5+$B$6)/30-IF($B$11&lt;=13,$B$12,0)+0</f>
        <v>8876.66666666667</v>
      </c>
      <c r="S885" s="14" t="n">
        <f aca="false">$B$4-27*($B$5+$B$6)/30-IF($B$11&lt;=27,$B$12,0)+L885</f>
        <v>10713.5847585693</v>
      </c>
      <c r="T885" s="14" t="n">
        <f aca="false">$B$4-41*($B$5+$B$6)/30-IF($B$11&lt;=41,$B$12,0)+L885+M885</f>
        <v>1725.2517349692</v>
      </c>
      <c r="U885" s="14" t="n">
        <f aca="false">$B$4-55*($B$5+$B$6)/30-IF($B$11&lt;=55,$B$12,0)+L885+M885+N885</f>
        <v>3696.40959324018</v>
      </c>
      <c r="V885" s="14" t="n">
        <f aca="false">$B$4-69*($B$5+$B$6)/30-IF($B$11&lt;=69,$B$12,0)+L885+M885+N885+O885</f>
        <v>5227.87284658864</v>
      </c>
      <c r="W885" s="14" t="n">
        <f aca="false">$B$4-83*($B$5+$B$6)/30-IF($B$11&lt;=83,$B$12,0)+L885+M885+N885+O885+P885</f>
        <v>7749.5913499581</v>
      </c>
      <c r="X885" s="14" t="n">
        <f aca="false">$B$4-90*($B$5+$B$6)/30-IF($B$11&lt;=90,$B$12,0)+L885+M885+N885+O885+P885+Q885</f>
        <v>10638.8814179945</v>
      </c>
      <c r="AA885" s="14" t="n">
        <f aca="false">MIN(R885:X885)</f>
        <v>1725.2517349692</v>
      </c>
    </row>
    <row r="886" customFormat="false" ht="15" hidden="false" customHeight="false" outlineLevel="0" collapsed="false">
      <c r="K886" s="2" t="n">
        <v>881</v>
      </c>
      <c r="L886" s="14" t="n">
        <f aca="true">$B$16+NORMINV(RAND(),0,SQRT($B$13*($B$7+$B$8^2))*$B$9*(1-$B$10))</f>
        <v>4330.67425044813</v>
      </c>
      <c r="M886" s="14" t="n">
        <f aca="true">$B$16+NORMINV(RAND(),0,SQRT($B$13*($B$7+$B$8^2))*$B$9*(1-$B$10))</f>
        <v>4430.58043362427</v>
      </c>
      <c r="N886" s="14" t="n">
        <f aca="true">$B$16+NORMINV(RAND(),0,SQRT($B$13*($B$7+$B$8^2))*$B$9*(1-$B$10))</f>
        <v>3134.81018568933</v>
      </c>
      <c r="O886" s="14" t="n">
        <f aca="true">$B$16+NORMINV(RAND(),0,SQRT($B$13*($B$7+$B$8^2))*$B$9*(1-$B$10))</f>
        <v>4381.29316979366</v>
      </c>
      <c r="P886" s="14" t="n">
        <f aca="true">$B$16+NORMINV(RAND(),0,SQRT($B$13*($B$7+$B$8^2))*$B$9*(1-$B$10))</f>
        <v>4091.81541179722</v>
      </c>
      <c r="Q886" s="14" t="n">
        <f aca="true">$B$16+NORMINV(RAND(),0,SQRT($B$13*($B$7+$B$8^2))*$B$9*(1-$B$10))</f>
        <v>4227.52439191293</v>
      </c>
      <c r="R886" s="14" t="n">
        <f aca="false">$B$4-13*($B$5+$B$6)/30-IF($B$11&lt;=13,$B$12,0)+0</f>
        <v>8876.66666666667</v>
      </c>
      <c r="S886" s="14" t="n">
        <f aca="false">$B$4-27*($B$5+$B$6)/30-IF($B$11&lt;=27,$B$12,0)+L886</f>
        <v>10920.6742504481</v>
      </c>
      <c r="T886" s="14" t="n">
        <f aca="false">$B$4-41*($B$5+$B$6)/30-IF($B$11&lt;=41,$B$12,0)+L886+M886</f>
        <v>1879.78801740573</v>
      </c>
      <c r="U886" s="14" t="n">
        <f aca="false">$B$4-55*($B$5+$B$6)/30-IF($B$11&lt;=55,$B$12,0)+L886+M886+N886</f>
        <v>2727.93153642839</v>
      </c>
      <c r="V886" s="14" t="n">
        <f aca="false">$B$4-69*($B$5+$B$6)/30-IF($B$11&lt;=69,$B$12,0)+L886+M886+N886+O886</f>
        <v>4822.55803955538</v>
      </c>
      <c r="W886" s="14" t="n">
        <f aca="false">$B$4-83*($B$5+$B$6)/30-IF($B$11&lt;=83,$B$12,0)+L886+M886+N886+O886+P886</f>
        <v>6627.70678468593</v>
      </c>
      <c r="X886" s="14" t="n">
        <f aca="false">$B$4-90*($B$5+$B$6)/30-IF($B$11&lt;=90,$B$12,0)+L886+M886+N886+O886+P886+Q886</f>
        <v>9711.89784326552</v>
      </c>
      <c r="AA886" s="14" t="n">
        <f aca="false">MIN(R886:X886)</f>
        <v>1879.78801740573</v>
      </c>
    </row>
    <row r="887" customFormat="false" ht="15" hidden="false" customHeight="false" outlineLevel="0" collapsed="false">
      <c r="K887" s="2" t="n">
        <v>882</v>
      </c>
      <c r="L887" s="14" t="n">
        <f aca="true">$B$16+NORMINV(RAND(),0,SQRT($B$13*($B$7+$B$8^2))*$B$9*(1-$B$10))</f>
        <v>4041.06152402104</v>
      </c>
      <c r="M887" s="14" t="n">
        <f aca="true">$B$16+NORMINV(RAND(),0,SQRT($B$13*($B$7+$B$8^2))*$B$9*(1-$B$10))</f>
        <v>3617.61622365911</v>
      </c>
      <c r="N887" s="14" t="n">
        <f aca="true">$B$16+NORMINV(RAND(),0,SQRT($B$13*($B$7+$B$8^2))*$B$9*(1-$B$10))</f>
        <v>3826.01959223429</v>
      </c>
      <c r="O887" s="14" t="n">
        <f aca="true">$B$16+NORMINV(RAND(),0,SQRT($B$13*($B$7+$B$8^2))*$B$9*(1-$B$10))</f>
        <v>3340.24004347349</v>
      </c>
      <c r="P887" s="14" t="n">
        <f aca="true">$B$16+NORMINV(RAND(),0,SQRT($B$13*($B$7+$B$8^2))*$B$9*(1-$B$10))</f>
        <v>4218.41429937993</v>
      </c>
      <c r="Q887" s="14" t="n">
        <f aca="true">$B$16+NORMINV(RAND(),0,SQRT($B$13*($B$7+$B$8^2))*$B$9*(1-$B$10))</f>
        <v>4352.87717372233</v>
      </c>
      <c r="R887" s="14" t="n">
        <f aca="false">$B$4-13*($B$5+$B$6)/30-IF($B$11&lt;=13,$B$12,0)+0</f>
        <v>8876.66666666667</v>
      </c>
      <c r="S887" s="14" t="n">
        <f aca="false">$B$4-27*($B$5+$B$6)/30-IF($B$11&lt;=27,$B$12,0)+L887</f>
        <v>10631.061524021</v>
      </c>
      <c r="T887" s="14" t="n">
        <f aca="false">$B$4-41*($B$5+$B$6)/30-IF($B$11&lt;=41,$B$12,0)+L887+M887</f>
        <v>777.211081013483</v>
      </c>
      <c r="U887" s="14" t="n">
        <f aca="false">$B$4-55*($B$5+$B$6)/30-IF($B$11&lt;=55,$B$12,0)+L887+M887+N887</f>
        <v>2316.5640065811</v>
      </c>
      <c r="V887" s="14" t="n">
        <f aca="false">$B$4-69*($B$5+$B$6)/30-IF($B$11&lt;=69,$B$12,0)+L887+M887+N887+O887</f>
        <v>3370.13738338792</v>
      </c>
      <c r="W887" s="14" t="n">
        <f aca="false">$B$4-83*($B$5+$B$6)/30-IF($B$11&lt;=83,$B$12,0)+L887+M887+N887+O887+P887</f>
        <v>5301.88501610119</v>
      </c>
      <c r="X887" s="14" t="n">
        <f aca="false">$B$4-90*($B$5+$B$6)/30-IF($B$11&lt;=90,$B$12,0)+L887+M887+N887+O887+P887+Q887</f>
        <v>8511.42885649019</v>
      </c>
      <c r="AA887" s="14" t="n">
        <f aca="false">MIN(R887:X887)</f>
        <v>777.211081013483</v>
      </c>
    </row>
    <row r="888" customFormat="false" ht="15" hidden="false" customHeight="false" outlineLevel="0" collapsed="false">
      <c r="K888" s="2" t="n">
        <v>883</v>
      </c>
      <c r="L888" s="14" t="n">
        <f aca="true">$B$16+NORMINV(RAND(),0,SQRT($B$13*($B$7+$B$8^2))*$B$9*(1-$B$10))</f>
        <v>4329.25867328709</v>
      </c>
      <c r="M888" s="14" t="n">
        <f aca="true">$B$16+NORMINV(RAND(),0,SQRT($B$13*($B$7+$B$8^2))*$B$9*(1-$B$10))</f>
        <v>3894.91050107142</v>
      </c>
      <c r="N888" s="14" t="n">
        <f aca="true">$B$16+NORMINV(RAND(),0,SQRT($B$13*($B$7+$B$8^2))*$B$9*(1-$B$10))</f>
        <v>4383.03931200509</v>
      </c>
      <c r="O888" s="14" t="n">
        <f aca="true">$B$16+NORMINV(RAND(),0,SQRT($B$13*($B$7+$B$8^2))*$B$9*(1-$B$10))</f>
        <v>4174.57662913559</v>
      </c>
      <c r="P888" s="14" t="n">
        <f aca="true">$B$16+NORMINV(RAND(),0,SQRT($B$13*($B$7+$B$8^2))*$B$9*(1-$B$10))</f>
        <v>3750.14134809197</v>
      </c>
      <c r="Q888" s="14" t="n">
        <f aca="true">$B$16+NORMINV(RAND(),0,SQRT($B$13*($B$7+$B$8^2))*$B$9*(1-$B$10))</f>
        <v>4358.66924096713</v>
      </c>
      <c r="R888" s="14" t="n">
        <f aca="false">$B$4-13*($B$5+$B$6)/30-IF($B$11&lt;=13,$B$12,0)+0</f>
        <v>8876.66666666667</v>
      </c>
      <c r="S888" s="14" t="n">
        <f aca="false">$B$4-27*($B$5+$B$6)/30-IF($B$11&lt;=27,$B$12,0)+L888</f>
        <v>10919.2586732871</v>
      </c>
      <c r="T888" s="14" t="n">
        <f aca="false">$B$4-41*($B$5+$B$6)/30-IF($B$11&lt;=41,$B$12,0)+L888+M888</f>
        <v>1342.70250769184</v>
      </c>
      <c r="U888" s="14" t="n">
        <f aca="false">$B$4-55*($B$5+$B$6)/30-IF($B$11&lt;=55,$B$12,0)+L888+M888+N888</f>
        <v>3439.07515303026</v>
      </c>
      <c r="V888" s="14" t="n">
        <f aca="false">$B$4-69*($B$5+$B$6)/30-IF($B$11&lt;=69,$B$12,0)+L888+M888+N888+O888</f>
        <v>5326.98511549918</v>
      </c>
      <c r="W888" s="14" t="n">
        <f aca="false">$B$4-83*($B$5+$B$6)/30-IF($B$11&lt;=83,$B$12,0)+L888+M888+N888+O888+P888</f>
        <v>6790.45979692449</v>
      </c>
      <c r="X888" s="14" t="n">
        <f aca="false">$B$4-90*($B$5+$B$6)/30-IF($B$11&lt;=90,$B$12,0)+L888+M888+N888+O888+P888+Q888</f>
        <v>10005.7957045583</v>
      </c>
      <c r="AA888" s="14" t="n">
        <f aca="false">MIN(R888:X888)</f>
        <v>1342.70250769184</v>
      </c>
    </row>
    <row r="889" customFormat="false" ht="15" hidden="false" customHeight="false" outlineLevel="0" collapsed="false">
      <c r="K889" s="2" t="n">
        <v>884</v>
      </c>
      <c r="L889" s="14" t="n">
        <f aca="true">$B$16+NORMINV(RAND(),0,SQRT($B$13*($B$7+$B$8^2))*$B$9*(1-$B$10))</f>
        <v>3521.20479673781</v>
      </c>
      <c r="M889" s="14" t="n">
        <f aca="true">$B$16+NORMINV(RAND(),0,SQRT($B$13*($B$7+$B$8^2))*$B$9*(1-$B$10))</f>
        <v>4317.46355448485</v>
      </c>
      <c r="N889" s="14" t="n">
        <f aca="true">$B$16+NORMINV(RAND(),0,SQRT($B$13*($B$7+$B$8^2))*$B$9*(1-$B$10))</f>
        <v>4665.46572051701</v>
      </c>
      <c r="O889" s="14" t="n">
        <f aca="true">$B$16+NORMINV(RAND(),0,SQRT($B$13*($B$7+$B$8^2))*$B$9*(1-$B$10))</f>
        <v>4153.95548868497</v>
      </c>
      <c r="P889" s="14" t="n">
        <f aca="true">$B$16+NORMINV(RAND(),0,SQRT($B$13*($B$7+$B$8^2))*$B$9*(1-$B$10))</f>
        <v>4173.84599519257</v>
      </c>
      <c r="Q889" s="14" t="n">
        <f aca="true">$B$16+NORMINV(RAND(),0,SQRT($B$13*($B$7+$B$8^2))*$B$9*(1-$B$10))</f>
        <v>4617.47051230971</v>
      </c>
      <c r="R889" s="14" t="n">
        <f aca="false">$B$4-13*($B$5+$B$6)/30-IF($B$11&lt;=13,$B$12,0)+0</f>
        <v>8876.66666666667</v>
      </c>
      <c r="S889" s="14" t="n">
        <f aca="false">$B$4-27*($B$5+$B$6)/30-IF($B$11&lt;=27,$B$12,0)+L889</f>
        <v>10111.2047967378</v>
      </c>
      <c r="T889" s="14" t="n">
        <f aca="false">$B$4-41*($B$5+$B$6)/30-IF($B$11&lt;=41,$B$12,0)+L889+M889</f>
        <v>957.201684555986</v>
      </c>
      <c r="U889" s="14" t="n">
        <f aca="false">$B$4-55*($B$5+$B$6)/30-IF($B$11&lt;=55,$B$12,0)+L889+M889+N889</f>
        <v>3336.00073840633</v>
      </c>
      <c r="V889" s="14" t="n">
        <f aca="false">$B$4-69*($B$5+$B$6)/30-IF($B$11&lt;=69,$B$12,0)+L889+M889+N889+O889</f>
        <v>5203.28956042464</v>
      </c>
      <c r="W889" s="14" t="n">
        <f aca="false">$B$4-83*($B$5+$B$6)/30-IF($B$11&lt;=83,$B$12,0)+L889+M889+N889+O889+P889</f>
        <v>7090.46888895054</v>
      </c>
      <c r="X889" s="14" t="n">
        <f aca="false">$B$4-90*($B$5+$B$6)/30-IF($B$11&lt;=90,$B$12,0)+L889+M889+N889+O889+P889+Q889</f>
        <v>10564.6060679269</v>
      </c>
      <c r="AA889" s="14" t="n">
        <f aca="false">MIN(R889:X889)</f>
        <v>957.201684555986</v>
      </c>
    </row>
    <row r="890" customFormat="false" ht="15" hidden="false" customHeight="false" outlineLevel="0" collapsed="false">
      <c r="K890" s="2" t="n">
        <v>885</v>
      </c>
      <c r="L890" s="14" t="n">
        <f aca="true">$B$16+NORMINV(RAND(),0,SQRT($B$13*($B$7+$B$8^2))*$B$9*(1-$B$10))</f>
        <v>4182.41913398736</v>
      </c>
      <c r="M890" s="14" t="n">
        <f aca="true">$B$16+NORMINV(RAND(),0,SQRT($B$13*($B$7+$B$8^2))*$B$9*(1-$B$10))</f>
        <v>3883.74349656211</v>
      </c>
      <c r="N890" s="14" t="n">
        <f aca="true">$B$16+NORMINV(RAND(),0,SQRT($B$13*($B$7+$B$8^2))*$B$9*(1-$B$10))</f>
        <v>4023.40694816047</v>
      </c>
      <c r="O890" s="14" t="n">
        <f aca="true">$B$16+NORMINV(RAND(),0,SQRT($B$13*($B$7+$B$8^2))*$B$9*(1-$B$10))</f>
        <v>3937.71406067716</v>
      </c>
      <c r="P890" s="14" t="n">
        <f aca="true">$B$16+NORMINV(RAND(),0,SQRT($B$13*($B$7+$B$8^2))*$B$9*(1-$B$10))</f>
        <v>4697.34663104244</v>
      </c>
      <c r="Q890" s="14" t="n">
        <f aca="true">$B$16+NORMINV(RAND(),0,SQRT($B$13*($B$7+$B$8^2))*$B$9*(1-$B$10))</f>
        <v>4213.57741354324</v>
      </c>
      <c r="R890" s="14" t="n">
        <f aca="false">$B$4-13*($B$5+$B$6)/30-IF($B$11&lt;=13,$B$12,0)+0</f>
        <v>8876.66666666667</v>
      </c>
      <c r="S890" s="14" t="n">
        <f aca="false">$B$4-27*($B$5+$B$6)/30-IF($B$11&lt;=27,$B$12,0)+L890</f>
        <v>10772.4191339874</v>
      </c>
      <c r="T890" s="14" t="n">
        <f aca="false">$B$4-41*($B$5+$B$6)/30-IF($B$11&lt;=41,$B$12,0)+L890+M890</f>
        <v>1184.6959638828</v>
      </c>
      <c r="U890" s="14" t="n">
        <f aca="false">$B$4-55*($B$5+$B$6)/30-IF($B$11&lt;=55,$B$12,0)+L890+M890+N890</f>
        <v>2921.4362453766</v>
      </c>
      <c r="V890" s="14" t="n">
        <f aca="false">$B$4-69*($B$5+$B$6)/30-IF($B$11&lt;=69,$B$12,0)+L890+M890+N890+O890</f>
        <v>4572.48363938709</v>
      </c>
      <c r="W890" s="14" t="n">
        <f aca="false">$B$4-83*($B$5+$B$6)/30-IF($B$11&lt;=83,$B$12,0)+L890+M890+N890+O890+P890</f>
        <v>6983.16360376287</v>
      </c>
      <c r="X890" s="14" t="n">
        <f aca="false">$B$4-90*($B$5+$B$6)/30-IF($B$11&lt;=90,$B$12,0)+L890+M890+N890+O890+P890+Q890</f>
        <v>10053.4076839728</v>
      </c>
      <c r="AA890" s="14" t="n">
        <f aca="false">MIN(R890:X890)</f>
        <v>1184.6959638828</v>
      </c>
    </row>
    <row r="891" customFormat="false" ht="15" hidden="false" customHeight="false" outlineLevel="0" collapsed="false">
      <c r="K891" s="2" t="n">
        <v>886</v>
      </c>
      <c r="L891" s="14" t="n">
        <f aca="true">$B$16+NORMINV(RAND(),0,SQRT($B$13*($B$7+$B$8^2))*$B$9*(1-$B$10))</f>
        <v>4448.19079212689</v>
      </c>
      <c r="M891" s="14" t="n">
        <f aca="true">$B$16+NORMINV(RAND(),0,SQRT($B$13*($B$7+$B$8^2))*$B$9*(1-$B$10))</f>
        <v>4314.09235830925</v>
      </c>
      <c r="N891" s="14" t="n">
        <f aca="true">$B$16+NORMINV(RAND(),0,SQRT($B$13*($B$7+$B$8^2))*$B$9*(1-$B$10))</f>
        <v>4043.51623545938</v>
      </c>
      <c r="O891" s="14" t="n">
        <f aca="true">$B$16+NORMINV(RAND(),0,SQRT($B$13*($B$7+$B$8^2))*$B$9*(1-$B$10))</f>
        <v>3905.39684436436</v>
      </c>
      <c r="P891" s="14" t="n">
        <f aca="true">$B$16+NORMINV(RAND(),0,SQRT($B$13*($B$7+$B$8^2))*$B$9*(1-$B$10))</f>
        <v>4235.45364540668</v>
      </c>
      <c r="Q891" s="14" t="n">
        <f aca="true">$B$16+NORMINV(RAND(),0,SQRT($B$13*($B$7+$B$8^2))*$B$9*(1-$B$10))</f>
        <v>3532.16917406602</v>
      </c>
      <c r="R891" s="14" t="n">
        <f aca="false">$B$4-13*($B$5+$B$6)/30-IF($B$11&lt;=13,$B$12,0)+0</f>
        <v>8876.66666666667</v>
      </c>
      <c r="S891" s="14" t="n">
        <f aca="false">$B$4-27*($B$5+$B$6)/30-IF($B$11&lt;=27,$B$12,0)+L891</f>
        <v>11038.1907921269</v>
      </c>
      <c r="T891" s="14" t="n">
        <f aca="false">$B$4-41*($B$5+$B$6)/30-IF($B$11&lt;=41,$B$12,0)+L891+M891</f>
        <v>1880.81648376947</v>
      </c>
      <c r="U891" s="14" t="n">
        <f aca="false">$B$4-55*($B$5+$B$6)/30-IF($B$11&lt;=55,$B$12,0)+L891+M891+N891</f>
        <v>3637.66605256218</v>
      </c>
      <c r="V891" s="14" t="n">
        <f aca="false">$B$4-69*($B$5+$B$6)/30-IF($B$11&lt;=69,$B$12,0)+L891+M891+N891+O891</f>
        <v>5256.39623025988</v>
      </c>
      <c r="W891" s="14" t="n">
        <f aca="false">$B$4-83*($B$5+$B$6)/30-IF($B$11&lt;=83,$B$12,0)+L891+M891+N891+O891+P891</f>
        <v>7205.18320899989</v>
      </c>
      <c r="X891" s="14" t="n">
        <f aca="false">$B$4-90*($B$5+$B$6)/30-IF($B$11&lt;=90,$B$12,0)+L891+M891+N891+O891+P891+Q891</f>
        <v>9594.01904973257</v>
      </c>
      <c r="AA891" s="14" t="n">
        <f aca="false">MIN(R891:X891)</f>
        <v>1880.81648376947</v>
      </c>
    </row>
    <row r="892" customFormat="false" ht="15" hidden="false" customHeight="false" outlineLevel="0" collapsed="false">
      <c r="K892" s="2" t="n">
        <v>887</v>
      </c>
      <c r="L892" s="14" t="n">
        <f aca="true">$B$16+NORMINV(RAND(),0,SQRT($B$13*($B$7+$B$8^2))*$B$9*(1-$B$10))</f>
        <v>3684.86266241003</v>
      </c>
      <c r="M892" s="14" t="n">
        <f aca="true">$B$16+NORMINV(RAND(),0,SQRT($B$13*($B$7+$B$8^2))*$B$9*(1-$B$10))</f>
        <v>3845.52761982392</v>
      </c>
      <c r="N892" s="14" t="n">
        <f aca="true">$B$16+NORMINV(RAND(),0,SQRT($B$13*($B$7+$B$8^2))*$B$9*(1-$B$10))</f>
        <v>4257.71200904312</v>
      </c>
      <c r="O892" s="14" t="n">
        <f aca="true">$B$16+NORMINV(RAND(),0,SQRT($B$13*($B$7+$B$8^2))*$B$9*(1-$B$10))</f>
        <v>4135.00237707747</v>
      </c>
      <c r="P892" s="14" t="n">
        <f aca="true">$B$16+NORMINV(RAND(),0,SQRT($B$13*($B$7+$B$8^2))*$B$9*(1-$B$10))</f>
        <v>3964.92824748095</v>
      </c>
      <c r="Q892" s="14" t="n">
        <f aca="true">$B$16+NORMINV(RAND(),0,SQRT($B$13*($B$7+$B$8^2))*$B$9*(1-$B$10))</f>
        <v>3885.9513410544</v>
      </c>
      <c r="R892" s="14" t="n">
        <f aca="false">$B$4-13*($B$5+$B$6)/30-IF($B$11&lt;=13,$B$12,0)+0</f>
        <v>8876.66666666667</v>
      </c>
      <c r="S892" s="14" t="n">
        <f aca="false">$B$4-27*($B$5+$B$6)/30-IF($B$11&lt;=27,$B$12,0)+L892</f>
        <v>10274.86266241</v>
      </c>
      <c r="T892" s="14" t="n">
        <f aca="false">$B$4-41*($B$5+$B$6)/30-IF($B$11&lt;=41,$B$12,0)+L892+M892</f>
        <v>648.923615567287</v>
      </c>
      <c r="U892" s="14" t="n">
        <f aca="false">$B$4-55*($B$5+$B$6)/30-IF($B$11&lt;=55,$B$12,0)+L892+M892+N892</f>
        <v>2619.96895794374</v>
      </c>
      <c r="V892" s="14" t="n">
        <f aca="false">$B$4-69*($B$5+$B$6)/30-IF($B$11&lt;=69,$B$12,0)+L892+M892+N892+O892</f>
        <v>4468.30466835454</v>
      </c>
      <c r="W892" s="14" t="n">
        <f aca="false">$B$4-83*($B$5+$B$6)/30-IF($B$11&lt;=83,$B$12,0)+L892+M892+N892+O892+P892</f>
        <v>6146.56624916882</v>
      </c>
      <c r="X892" s="14" t="n">
        <f aca="false">$B$4-90*($B$5+$B$6)/30-IF($B$11&lt;=90,$B$12,0)+L892+M892+N892+O892+P892+Q892</f>
        <v>8889.18425688989</v>
      </c>
      <c r="AA892" s="14" t="n">
        <f aca="false">MIN(R892:X892)</f>
        <v>648.923615567287</v>
      </c>
    </row>
    <row r="893" customFormat="false" ht="15" hidden="false" customHeight="false" outlineLevel="0" collapsed="false">
      <c r="K893" s="2" t="n">
        <v>888</v>
      </c>
      <c r="L893" s="14" t="n">
        <f aca="true">$B$16+NORMINV(RAND(),0,SQRT($B$13*($B$7+$B$8^2))*$B$9*(1-$B$10))</f>
        <v>4071.57109284679</v>
      </c>
      <c r="M893" s="14" t="n">
        <f aca="true">$B$16+NORMINV(RAND(),0,SQRT($B$13*($B$7+$B$8^2))*$B$9*(1-$B$10))</f>
        <v>4202.81026276796</v>
      </c>
      <c r="N893" s="14" t="n">
        <f aca="true">$B$16+NORMINV(RAND(),0,SQRT($B$13*($B$7+$B$8^2))*$B$9*(1-$B$10))</f>
        <v>3907.14967806202</v>
      </c>
      <c r="O893" s="14" t="n">
        <f aca="true">$B$16+NORMINV(RAND(),0,SQRT($B$13*($B$7+$B$8^2))*$B$9*(1-$B$10))</f>
        <v>4261.83561815404</v>
      </c>
      <c r="P893" s="14" t="n">
        <f aca="true">$B$16+NORMINV(RAND(),0,SQRT($B$13*($B$7+$B$8^2))*$B$9*(1-$B$10))</f>
        <v>3877.47356471422</v>
      </c>
      <c r="Q893" s="14" t="n">
        <f aca="true">$B$16+NORMINV(RAND(),0,SQRT($B$13*($B$7+$B$8^2))*$B$9*(1-$B$10))</f>
        <v>4672.52570191502</v>
      </c>
      <c r="R893" s="14" t="n">
        <f aca="false">$B$4-13*($B$5+$B$6)/30-IF($B$11&lt;=13,$B$12,0)+0</f>
        <v>8876.66666666667</v>
      </c>
      <c r="S893" s="14" t="n">
        <f aca="false">$B$4-27*($B$5+$B$6)/30-IF($B$11&lt;=27,$B$12,0)+L893</f>
        <v>10661.5710928468</v>
      </c>
      <c r="T893" s="14" t="n">
        <f aca="false">$B$4-41*($B$5+$B$6)/30-IF($B$11&lt;=41,$B$12,0)+L893+M893</f>
        <v>1392.91468894807</v>
      </c>
      <c r="U893" s="14" t="n">
        <f aca="false">$B$4-55*($B$5+$B$6)/30-IF($B$11&lt;=55,$B$12,0)+L893+M893+N893</f>
        <v>3013.39770034343</v>
      </c>
      <c r="V893" s="14" t="n">
        <f aca="false">$B$4-69*($B$5+$B$6)/30-IF($B$11&lt;=69,$B$12,0)+L893+M893+N893+O893</f>
        <v>4988.5666518308</v>
      </c>
      <c r="W893" s="14" t="n">
        <f aca="false">$B$4-83*($B$5+$B$6)/30-IF($B$11&lt;=83,$B$12,0)+L893+M893+N893+O893+P893</f>
        <v>6579.37354987835</v>
      </c>
      <c r="X893" s="14" t="n">
        <f aca="false">$B$4-90*($B$5+$B$6)/30-IF($B$11&lt;=90,$B$12,0)+L893+M893+N893+O893+P893+Q893</f>
        <v>10108.56591846</v>
      </c>
      <c r="AA893" s="14" t="n">
        <f aca="false">MIN(R893:X893)</f>
        <v>1392.91468894807</v>
      </c>
    </row>
    <row r="894" customFormat="false" ht="15" hidden="false" customHeight="false" outlineLevel="0" collapsed="false">
      <c r="K894" s="2" t="n">
        <v>889</v>
      </c>
      <c r="L894" s="14" t="n">
        <f aca="true">$B$16+NORMINV(RAND(),0,SQRT($B$13*($B$7+$B$8^2))*$B$9*(1-$B$10))</f>
        <v>4738.86783248242</v>
      </c>
      <c r="M894" s="14" t="n">
        <f aca="true">$B$16+NORMINV(RAND(),0,SQRT($B$13*($B$7+$B$8^2))*$B$9*(1-$B$10))</f>
        <v>4124.52022776207</v>
      </c>
      <c r="N894" s="14" t="n">
        <f aca="true">$B$16+NORMINV(RAND(),0,SQRT($B$13*($B$7+$B$8^2))*$B$9*(1-$B$10))</f>
        <v>4233.62537243315</v>
      </c>
      <c r="O894" s="14" t="n">
        <f aca="true">$B$16+NORMINV(RAND(),0,SQRT($B$13*($B$7+$B$8^2))*$B$9*(1-$B$10))</f>
        <v>4244.05506023661</v>
      </c>
      <c r="P894" s="14" t="n">
        <f aca="true">$B$16+NORMINV(RAND(),0,SQRT($B$13*($B$7+$B$8^2))*$B$9*(1-$B$10))</f>
        <v>4376.60951390028</v>
      </c>
      <c r="Q894" s="14" t="n">
        <f aca="true">$B$16+NORMINV(RAND(),0,SQRT($B$13*($B$7+$B$8^2))*$B$9*(1-$B$10))</f>
        <v>4403.15722505389</v>
      </c>
      <c r="R894" s="14" t="n">
        <f aca="false">$B$4-13*($B$5+$B$6)/30-IF($B$11&lt;=13,$B$12,0)+0</f>
        <v>8876.66666666667</v>
      </c>
      <c r="S894" s="14" t="n">
        <f aca="false">$B$4-27*($B$5+$B$6)/30-IF($B$11&lt;=27,$B$12,0)+L894</f>
        <v>11328.8678324824</v>
      </c>
      <c r="T894" s="14" t="n">
        <f aca="false">$B$4-41*($B$5+$B$6)/30-IF($B$11&lt;=41,$B$12,0)+L894+M894</f>
        <v>1981.92139357783</v>
      </c>
      <c r="U894" s="14" t="n">
        <f aca="false">$B$4-55*($B$5+$B$6)/30-IF($B$11&lt;=55,$B$12,0)+L894+M894+N894</f>
        <v>3928.88009934431</v>
      </c>
      <c r="V894" s="14" t="n">
        <f aca="false">$B$4-69*($B$5+$B$6)/30-IF($B$11&lt;=69,$B$12,0)+L894+M894+N894+O894</f>
        <v>5886.26849291425</v>
      </c>
      <c r="W894" s="14" t="n">
        <f aca="false">$B$4-83*($B$5+$B$6)/30-IF($B$11&lt;=83,$B$12,0)+L894+M894+N894+O894+P894</f>
        <v>7976.21134014787</v>
      </c>
      <c r="X894" s="14" t="n">
        <f aca="false">$B$4-90*($B$5+$B$6)/30-IF($B$11&lt;=90,$B$12,0)+L894+M894+N894+O894+P894+Q894</f>
        <v>11236.0352318684</v>
      </c>
      <c r="AA894" s="14" t="n">
        <f aca="false">MIN(R894:X894)</f>
        <v>1981.92139357783</v>
      </c>
    </row>
    <row r="895" customFormat="false" ht="15" hidden="false" customHeight="false" outlineLevel="0" collapsed="false">
      <c r="K895" s="2" t="n">
        <v>890</v>
      </c>
      <c r="L895" s="14" t="n">
        <f aca="true">$B$16+NORMINV(RAND(),0,SQRT($B$13*($B$7+$B$8^2))*$B$9*(1-$B$10))</f>
        <v>4467.92895151368</v>
      </c>
      <c r="M895" s="14" t="n">
        <f aca="true">$B$16+NORMINV(RAND(),0,SQRT($B$13*($B$7+$B$8^2))*$B$9*(1-$B$10))</f>
        <v>4225.64207990207</v>
      </c>
      <c r="N895" s="14" t="n">
        <f aca="true">$B$16+NORMINV(RAND(),0,SQRT($B$13*($B$7+$B$8^2))*$B$9*(1-$B$10))</f>
        <v>4303.74173148579</v>
      </c>
      <c r="O895" s="14" t="n">
        <f aca="true">$B$16+NORMINV(RAND(),0,SQRT($B$13*($B$7+$B$8^2))*$B$9*(1-$B$10))</f>
        <v>4714.42596182934</v>
      </c>
      <c r="P895" s="14" t="n">
        <f aca="true">$B$16+NORMINV(RAND(),0,SQRT($B$13*($B$7+$B$8^2))*$B$9*(1-$B$10))</f>
        <v>4399.74273354524</v>
      </c>
      <c r="Q895" s="14" t="n">
        <f aca="true">$B$16+NORMINV(RAND(),0,SQRT($B$13*($B$7+$B$8^2))*$B$9*(1-$B$10))</f>
        <v>4478.50174843124</v>
      </c>
      <c r="R895" s="14" t="n">
        <f aca="false">$B$4-13*($B$5+$B$6)/30-IF($B$11&lt;=13,$B$12,0)+0</f>
        <v>8876.66666666667</v>
      </c>
      <c r="S895" s="14" t="n">
        <f aca="false">$B$4-27*($B$5+$B$6)/30-IF($B$11&lt;=27,$B$12,0)+L895</f>
        <v>11057.9289515137</v>
      </c>
      <c r="T895" s="14" t="n">
        <f aca="false">$B$4-41*($B$5+$B$6)/30-IF($B$11&lt;=41,$B$12,0)+L895+M895</f>
        <v>1812.10436474908</v>
      </c>
      <c r="U895" s="14" t="n">
        <f aca="false">$B$4-55*($B$5+$B$6)/30-IF($B$11&lt;=55,$B$12,0)+L895+M895+N895</f>
        <v>3829.1794295682</v>
      </c>
      <c r="V895" s="14" t="n">
        <f aca="false">$B$4-69*($B$5+$B$6)/30-IF($B$11&lt;=69,$B$12,0)+L895+M895+N895+O895</f>
        <v>6256.93872473088</v>
      </c>
      <c r="W895" s="14" t="n">
        <f aca="false">$B$4-83*($B$5+$B$6)/30-IF($B$11&lt;=83,$B$12,0)+L895+M895+N895+O895+P895</f>
        <v>8370.01479160945</v>
      </c>
      <c r="X895" s="14" t="n">
        <f aca="false">$B$4-90*($B$5+$B$6)/30-IF($B$11&lt;=90,$B$12,0)+L895+M895+N895+O895+P895+Q895</f>
        <v>11705.1832067074</v>
      </c>
      <c r="AA895" s="14" t="n">
        <f aca="false">MIN(R895:X895)</f>
        <v>1812.10436474908</v>
      </c>
    </row>
    <row r="896" customFormat="false" ht="15" hidden="false" customHeight="false" outlineLevel="0" collapsed="false">
      <c r="K896" s="2" t="n">
        <v>891</v>
      </c>
      <c r="L896" s="14" t="n">
        <f aca="true">$B$16+NORMINV(RAND(),0,SQRT($B$13*($B$7+$B$8^2))*$B$9*(1-$B$10))</f>
        <v>4062.26134281376</v>
      </c>
      <c r="M896" s="14" t="n">
        <f aca="true">$B$16+NORMINV(RAND(),0,SQRT($B$13*($B$7+$B$8^2))*$B$9*(1-$B$10))</f>
        <v>4426.59460592702</v>
      </c>
      <c r="N896" s="14" t="n">
        <f aca="true">$B$16+NORMINV(RAND(),0,SQRT($B$13*($B$7+$B$8^2))*$B$9*(1-$B$10))</f>
        <v>4116.31415218166</v>
      </c>
      <c r="O896" s="14" t="n">
        <f aca="true">$B$16+NORMINV(RAND(),0,SQRT($B$13*($B$7+$B$8^2))*$B$9*(1-$B$10))</f>
        <v>4241.57931661911</v>
      </c>
      <c r="P896" s="14" t="n">
        <f aca="true">$B$16+NORMINV(RAND(),0,SQRT($B$13*($B$7+$B$8^2))*$B$9*(1-$B$10))</f>
        <v>4028.98963376012</v>
      </c>
      <c r="Q896" s="14" t="n">
        <f aca="true">$B$16+NORMINV(RAND(),0,SQRT($B$13*($B$7+$B$8^2))*$B$9*(1-$B$10))</f>
        <v>3706.24300836595</v>
      </c>
      <c r="R896" s="14" t="n">
        <f aca="false">$B$4-13*($B$5+$B$6)/30-IF($B$11&lt;=13,$B$12,0)+0</f>
        <v>8876.66666666667</v>
      </c>
      <c r="S896" s="14" t="n">
        <f aca="false">$B$4-27*($B$5+$B$6)/30-IF($B$11&lt;=27,$B$12,0)+L896</f>
        <v>10652.2613428138</v>
      </c>
      <c r="T896" s="14" t="n">
        <f aca="false">$B$4-41*($B$5+$B$6)/30-IF($B$11&lt;=41,$B$12,0)+L896+M896</f>
        <v>1607.38928207412</v>
      </c>
      <c r="U896" s="14" t="n">
        <f aca="false">$B$4-55*($B$5+$B$6)/30-IF($B$11&lt;=55,$B$12,0)+L896+M896+N896</f>
        <v>3437.03676758911</v>
      </c>
      <c r="V896" s="14" t="n">
        <f aca="false">$B$4-69*($B$5+$B$6)/30-IF($B$11&lt;=69,$B$12,0)+L896+M896+N896+O896</f>
        <v>5391.94941754155</v>
      </c>
      <c r="W896" s="14" t="n">
        <f aca="false">$B$4-83*($B$5+$B$6)/30-IF($B$11&lt;=83,$B$12,0)+L896+M896+N896+O896+P896</f>
        <v>7134.272384635</v>
      </c>
      <c r="X896" s="14" t="n">
        <f aca="false">$B$4-90*($B$5+$B$6)/30-IF($B$11&lt;=90,$B$12,0)+L896+M896+N896+O896+P896+Q896</f>
        <v>9697.18205966762</v>
      </c>
      <c r="AA896" s="14" t="n">
        <f aca="false">MIN(R896:X896)</f>
        <v>1607.38928207412</v>
      </c>
    </row>
    <row r="897" customFormat="false" ht="15" hidden="false" customHeight="false" outlineLevel="0" collapsed="false">
      <c r="K897" s="2" t="n">
        <v>892</v>
      </c>
      <c r="L897" s="14" t="n">
        <f aca="true">$B$16+NORMINV(RAND(),0,SQRT($B$13*($B$7+$B$8^2))*$B$9*(1-$B$10))</f>
        <v>4315.93830665764</v>
      </c>
      <c r="M897" s="14" t="n">
        <f aca="true">$B$16+NORMINV(RAND(),0,SQRT($B$13*($B$7+$B$8^2))*$B$9*(1-$B$10))</f>
        <v>4479.10522534235</v>
      </c>
      <c r="N897" s="14" t="n">
        <f aca="true">$B$16+NORMINV(RAND(),0,SQRT($B$13*($B$7+$B$8^2))*$B$9*(1-$B$10))</f>
        <v>4042.66312364194</v>
      </c>
      <c r="O897" s="14" t="n">
        <f aca="true">$B$16+NORMINV(RAND(),0,SQRT($B$13*($B$7+$B$8^2))*$B$9*(1-$B$10))</f>
        <v>4185.54125107519</v>
      </c>
      <c r="P897" s="14" t="n">
        <f aca="true">$B$16+NORMINV(RAND(),0,SQRT($B$13*($B$7+$B$8^2))*$B$9*(1-$B$10))</f>
        <v>4337.93718269088</v>
      </c>
      <c r="Q897" s="14" t="n">
        <f aca="true">$B$16+NORMINV(RAND(),0,SQRT($B$13*($B$7+$B$8^2))*$B$9*(1-$B$10))</f>
        <v>4090.28974169423</v>
      </c>
      <c r="R897" s="14" t="n">
        <f aca="false">$B$4-13*($B$5+$B$6)/30-IF($B$11&lt;=13,$B$12,0)+0</f>
        <v>8876.66666666667</v>
      </c>
      <c r="S897" s="14" t="n">
        <f aca="false">$B$4-27*($B$5+$B$6)/30-IF($B$11&lt;=27,$B$12,0)+L897</f>
        <v>10905.9383066576</v>
      </c>
      <c r="T897" s="14" t="n">
        <f aca="false">$B$4-41*($B$5+$B$6)/30-IF($B$11&lt;=41,$B$12,0)+L897+M897</f>
        <v>1913.57686533332</v>
      </c>
      <c r="U897" s="14" t="n">
        <f aca="false">$B$4-55*($B$5+$B$6)/30-IF($B$11&lt;=55,$B$12,0)+L897+M897+N897</f>
        <v>3669.57332230859</v>
      </c>
      <c r="V897" s="14" t="n">
        <f aca="false">$B$4-69*($B$5+$B$6)/30-IF($B$11&lt;=69,$B$12,0)+L897+M897+N897+O897</f>
        <v>5568.44790671712</v>
      </c>
      <c r="W897" s="14" t="n">
        <f aca="false">$B$4-83*($B$5+$B$6)/30-IF($B$11&lt;=83,$B$12,0)+L897+M897+N897+O897+P897</f>
        <v>7619.71842274133</v>
      </c>
      <c r="X897" s="14" t="n">
        <f aca="false">$B$4-90*($B$5+$B$6)/30-IF($B$11&lt;=90,$B$12,0)+L897+M897+N897+O897+P897+Q897</f>
        <v>10566.6748311022</v>
      </c>
      <c r="AA897" s="14" t="n">
        <f aca="false">MIN(R897:X897)</f>
        <v>1913.57686533332</v>
      </c>
    </row>
    <row r="898" customFormat="false" ht="15" hidden="false" customHeight="false" outlineLevel="0" collapsed="false">
      <c r="K898" s="2" t="n">
        <v>893</v>
      </c>
      <c r="L898" s="14" t="n">
        <f aca="true">$B$16+NORMINV(RAND(),0,SQRT($B$13*($B$7+$B$8^2))*$B$9*(1-$B$10))</f>
        <v>4418.72518367525</v>
      </c>
      <c r="M898" s="14" t="n">
        <f aca="true">$B$16+NORMINV(RAND(),0,SQRT($B$13*($B$7+$B$8^2))*$B$9*(1-$B$10))</f>
        <v>4053.37433536086</v>
      </c>
      <c r="N898" s="14" t="n">
        <f aca="true">$B$16+NORMINV(RAND(),0,SQRT($B$13*($B$7+$B$8^2))*$B$9*(1-$B$10))</f>
        <v>3907.17258559683</v>
      </c>
      <c r="O898" s="14" t="n">
        <f aca="true">$B$16+NORMINV(RAND(),0,SQRT($B$13*($B$7+$B$8^2))*$B$9*(1-$B$10))</f>
        <v>3886.79184110461</v>
      </c>
      <c r="P898" s="14" t="n">
        <f aca="true">$B$16+NORMINV(RAND(),0,SQRT($B$13*($B$7+$B$8^2))*$B$9*(1-$B$10))</f>
        <v>4037.09233399922</v>
      </c>
      <c r="Q898" s="14" t="n">
        <f aca="true">$B$16+NORMINV(RAND(),0,SQRT($B$13*($B$7+$B$8^2))*$B$9*(1-$B$10))</f>
        <v>4197.94688486188</v>
      </c>
      <c r="R898" s="14" t="n">
        <f aca="false">$B$4-13*($B$5+$B$6)/30-IF($B$11&lt;=13,$B$12,0)+0</f>
        <v>8876.66666666667</v>
      </c>
      <c r="S898" s="14" t="n">
        <f aca="false">$B$4-27*($B$5+$B$6)/30-IF($B$11&lt;=27,$B$12,0)+L898</f>
        <v>11008.7251836752</v>
      </c>
      <c r="T898" s="14" t="n">
        <f aca="false">$B$4-41*($B$5+$B$6)/30-IF($B$11&lt;=41,$B$12,0)+L898+M898</f>
        <v>1590.63285236944</v>
      </c>
      <c r="U898" s="14" t="n">
        <f aca="false">$B$4-55*($B$5+$B$6)/30-IF($B$11&lt;=55,$B$12,0)+L898+M898+N898</f>
        <v>3211.13877129961</v>
      </c>
      <c r="V898" s="14" t="n">
        <f aca="false">$B$4-69*($B$5+$B$6)/30-IF($B$11&lt;=69,$B$12,0)+L898+M898+N898+O898</f>
        <v>4811.26394573755</v>
      </c>
      <c r="W898" s="14" t="n">
        <f aca="false">$B$4-83*($B$5+$B$6)/30-IF($B$11&lt;=83,$B$12,0)+L898+M898+N898+O898+P898</f>
        <v>6561.6896130701</v>
      </c>
      <c r="X898" s="14" t="n">
        <f aca="false">$B$4-90*($B$5+$B$6)/30-IF($B$11&lt;=90,$B$12,0)+L898+M898+N898+O898+P898+Q898</f>
        <v>9616.30316459865</v>
      </c>
      <c r="AA898" s="14" t="n">
        <f aca="false">MIN(R898:X898)</f>
        <v>1590.63285236944</v>
      </c>
    </row>
    <row r="899" customFormat="false" ht="15" hidden="false" customHeight="false" outlineLevel="0" collapsed="false">
      <c r="K899" s="2" t="n">
        <v>894</v>
      </c>
      <c r="L899" s="14" t="n">
        <f aca="true">$B$16+NORMINV(RAND(),0,SQRT($B$13*($B$7+$B$8^2))*$B$9*(1-$B$10))</f>
        <v>4275.20116469306</v>
      </c>
      <c r="M899" s="14" t="n">
        <f aca="true">$B$16+NORMINV(RAND(),0,SQRT($B$13*($B$7+$B$8^2))*$B$9*(1-$B$10))</f>
        <v>4416.89214805283</v>
      </c>
      <c r="N899" s="14" t="n">
        <f aca="true">$B$16+NORMINV(RAND(),0,SQRT($B$13*($B$7+$B$8^2))*$B$9*(1-$B$10))</f>
        <v>4373.77954808423</v>
      </c>
      <c r="O899" s="14" t="n">
        <f aca="true">$B$16+NORMINV(RAND(),0,SQRT($B$13*($B$7+$B$8^2))*$B$9*(1-$B$10))</f>
        <v>3837.18263380672</v>
      </c>
      <c r="P899" s="14" t="n">
        <f aca="true">$B$16+NORMINV(RAND(),0,SQRT($B$13*($B$7+$B$8^2))*$B$9*(1-$B$10))</f>
        <v>3906.43970203942</v>
      </c>
      <c r="Q899" s="14" t="n">
        <f aca="true">$B$16+NORMINV(RAND(),0,SQRT($B$13*($B$7+$B$8^2))*$B$9*(1-$B$10))</f>
        <v>3621.20162674426</v>
      </c>
      <c r="R899" s="14" t="n">
        <f aca="false">$B$4-13*($B$5+$B$6)/30-IF($B$11&lt;=13,$B$12,0)+0</f>
        <v>8876.66666666667</v>
      </c>
      <c r="S899" s="14" t="n">
        <f aca="false">$B$4-27*($B$5+$B$6)/30-IF($B$11&lt;=27,$B$12,0)+L899</f>
        <v>10865.2011646931</v>
      </c>
      <c r="T899" s="14" t="n">
        <f aca="false">$B$4-41*($B$5+$B$6)/30-IF($B$11&lt;=41,$B$12,0)+L899+M899</f>
        <v>1810.62664607922</v>
      </c>
      <c r="U899" s="14" t="n">
        <f aca="false">$B$4-55*($B$5+$B$6)/30-IF($B$11&lt;=55,$B$12,0)+L899+M899+N899</f>
        <v>3897.73952749678</v>
      </c>
      <c r="V899" s="14" t="n">
        <f aca="false">$B$4-69*($B$5+$B$6)/30-IF($B$11&lt;=69,$B$12,0)+L899+M899+N899+O899</f>
        <v>5448.25549463684</v>
      </c>
      <c r="W899" s="14" t="n">
        <f aca="false">$B$4-83*($B$5+$B$6)/30-IF($B$11&lt;=83,$B$12,0)+L899+M899+N899+O899+P899</f>
        <v>7068.02853000959</v>
      </c>
      <c r="X899" s="14" t="n">
        <f aca="false">$B$4-90*($B$5+$B$6)/30-IF($B$11&lt;=90,$B$12,0)+L899+M899+N899+O899+P899+Q899</f>
        <v>9545.89682342052</v>
      </c>
      <c r="AA899" s="14" t="n">
        <f aca="false">MIN(R899:X899)</f>
        <v>1810.62664607922</v>
      </c>
    </row>
    <row r="900" customFormat="false" ht="15" hidden="false" customHeight="false" outlineLevel="0" collapsed="false">
      <c r="K900" s="2" t="n">
        <v>895</v>
      </c>
      <c r="L900" s="14" t="n">
        <f aca="true">$B$16+NORMINV(RAND(),0,SQRT($B$13*($B$7+$B$8^2))*$B$9*(1-$B$10))</f>
        <v>4056.46167462169</v>
      </c>
      <c r="M900" s="14" t="n">
        <f aca="true">$B$16+NORMINV(RAND(),0,SQRT($B$13*($B$7+$B$8^2))*$B$9*(1-$B$10))</f>
        <v>3975.48771422017</v>
      </c>
      <c r="N900" s="14" t="n">
        <f aca="true">$B$16+NORMINV(RAND(),0,SQRT($B$13*($B$7+$B$8^2))*$B$9*(1-$B$10))</f>
        <v>3794.92888916391</v>
      </c>
      <c r="O900" s="14" t="n">
        <f aca="true">$B$16+NORMINV(RAND(),0,SQRT($B$13*($B$7+$B$8^2))*$B$9*(1-$B$10))</f>
        <v>4351.69390723849</v>
      </c>
      <c r="P900" s="14" t="n">
        <f aca="true">$B$16+NORMINV(RAND(),0,SQRT($B$13*($B$7+$B$8^2))*$B$9*(1-$B$10))</f>
        <v>3871.00510551221</v>
      </c>
      <c r="Q900" s="14" t="n">
        <f aca="true">$B$16+NORMINV(RAND(),0,SQRT($B$13*($B$7+$B$8^2))*$B$9*(1-$B$10))</f>
        <v>4468.19459645105</v>
      </c>
      <c r="R900" s="14" t="n">
        <f aca="false">$B$4-13*($B$5+$B$6)/30-IF($B$11&lt;=13,$B$12,0)+0</f>
        <v>8876.66666666667</v>
      </c>
      <c r="S900" s="14" t="n">
        <f aca="false">$B$4-27*($B$5+$B$6)/30-IF($B$11&lt;=27,$B$12,0)+L900</f>
        <v>10646.4616746217</v>
      </c>
      <c r="T900" s="14" t="n">
        <f aca="false">$B$4-41*($B$5+$B$6)/30-IF($B$11&lt;=41,$B$12,0)+L900+M900</f>
        <v>1150.48272217519</v>
      </c>
      <c r="U900" s="14" t="n">
        <f aca="false">$B$4-55*($B$5+$B$6)/30-IF($B$11&lt;=55,$B$12,0)+L900+M900+N900</f>
        <v>2658.74494467244</v>
      </c>
      <c r="V900" s="14" t="n">
        <f aca="false">$B$4-69*($B$5+$B$6)/30-IF($B$11&lt;=69,$B$12,0)+L900+M900+N900+O900</f>
        <v>4723.77218524427</v>
      </c>
      <c r="W900" s="14" t="n">
        <f aca="false">$B$4-83*($B$5+$B$6)/30-IF($B$11&lt;=83,$B$12,0)+L900+M900+N900+O900+P900</f>
        <v>6308.11062408981</v>
      </c>
      <c r="X900" s="14" t="n">
        <f aca="false">$B$4-90*($B$5+$B$6)/30-IF($B$11&lt;=90,$B$12,0)+L900+M900+N900+O900+P900+Q900</f>
        <v>9632.97188720753</v>
      </c>
      <c r="AA900" s="14" t="n">
        <f aca="false">MIN(R900:X900)</f>
        <v>1150.48272217519</v>
      </c>
    </row>
    <row r="901" customFormat="false" ht="15" hidden="false" customHeight="false" outlineLevel="0" collapsed="false">
      <c r="K901" s="2" t="n">
        <v>896</v>
      </c>
      <c r="L901" s="14" t="n">
        <f aca="true">$B$16+NORMINV(RAND(),0,SQRT($B$13*($B$7+$B$8^2))*$B$9*(1-$B$10))</f>
        <v>4071.84579059638</v>
      </c>
      <c r="M901" s="14" t="n">
        <f aca="true">$B$16+NORMINV(RAND(),0,SQRT($B$13*($B$7+$B$8^2))*$B$9*(1-$B$10))</f>
        <v>4247.82977684489</v>
      </c>
      <c r="N901" s="14" t="n">
        <f aca="true">$B$16+NORMINV(RAND(),0,SQRT($B$13*($B$7+$B$8^2))*$B$9*(1-$B$10))</f>
        <v>4394.45901044026</v>
      </c>
      <c r="O901" s="14" t="n">
        <f aca="true">$B$16+NORMINV(RAND(),0,SQRT($B$13*($B$7+$B$8^2))*$B$9*(1-$B$10))</f>
        <v>4199.49089025337</v>
      </c>
      <c r="P901" s="14" t="n">
        <f aca="true">$B$16+NORMINV(RAND(),0,SQRT($B$13*($B$7+$B$8^2))*$B$9*(1-$B$10))</f>
        <v>3946.45865677159</v>
      </c>
      <c r="Q901" s="14" t="n">
        <f aca="true">$B$16+NORMINV(RAND(),0,SQRT($B$13*($B$7+$B$8^2))*$B$9*(1-$B$10))</f>
        <v>4157.82346179657</v>
      </c>
      <c r="R901" s="14" t="n">
        <f aca="false">$B$4-13*($B$5+$B$6)/30-IF($B$11&lt;=13,$B$12,0)+0</f>
        <v>8876.66666666667</v>
      </c>
      <c r="S901" s="14" t="n">
        <f aca="false">$B$4-27*($B$5+$B$6)/30-IF($B$11&lt;=27,$B$12,0)+L901</f>
        <v>10661.8457905964</v>
      </c>
      <c r="T901" s="14" t="n">
        <f aca="false">$B$4-41*($B$5+$B$6)/30-IF($B$11&lt;=41,$B$12,0)+L901+M901</f>
        <v>1438.2089007746</v>
      </c>
      <c r="U901" s="14" t="n">
        <f aca="false">$B$4-55*($B$5+$B$6)/30-IF($B$11&lt;=55,$B$12,0)+L901+M901+N901</f>
        <v>3546.00124454819</v>
      </c>
      <c r="V901" s="14" t="n">
        <f aca="false">$B$4-69*($B$5+$B$6)/30-IF($B$11&lt;=69,$B$12,0)+L901+M901+N901+O901</f>
        <v>5458.82546813489</v>
      </c>
      <c r="W901" s="14" t="n">
        <f aca="false">$B$4-83*($B$5+$B$6)/30-IF($B$11&lt;=83,$B$12,0)+L901+M901+N901+O901+P901</f>
        <v>7118.61745823982</v>
      </c>
      <c r="X901" s="14" t="n">
        <f aca="false">$B$4-90*($B$5+$B$6)/30-IF($B$11&lt;=90,$B$12,0)+L901+M901+N901+O901+P901+Q901</f>
        <v>10133.1075867031</v>
      </c>
      <c r="AA901" s="14" t="n">
        <f aca="false">MIN(R901:X901)</f>
        <v>1438.2089007746</v>
      </c>
    </row>
    <row r="902" customFormat="false" ht="15" hidden="false" customHeight="false" outlineLevel="0" collapsed="false">
      <c r="K902" s="2" t="n">
        <v>897</v>
      </c>
      <c r="L902" s="14" t="n">
        <f aca="true">$B$16+NORMINV(RAND(),0,SQRT($B$13*($B$7+$B$8^2))*$B$9*(1-$B$10))</f>
        <v>4042.15651337877</v>
      </c>
      <c r="M902" s="14" t="n">
        <f aca="true">$B$16+NORMINV(RAND(),0,SQRT($B$13*($B$7+$B$8^2))*$B$9*(1-$B$10))</f>
        <v>4149.43667727185</v>
      </c>
      <c r="N902" s="14" t="n">
        <f aca="true">$B$16+NORMINV(RAND(),0,SQRT($B$13*($B$7+$B$8^2))*$B$9*(1-$B$10))</f>
        <v>4096.63702564874</v>
      </c>
      <c r="O902" s="14" t="n">
        <f aca="true">$B$16+NORMINV(RAND(),0,SQRT($B$13*($B$7+$B$8^2))*$B$9*(1-$B$10))</f>
        <v>3853.74947248314</v>
      </c>
      <c r="P902" s="14" t="n">
        <f aca="true">$B$16+NORMINV(RAND(),0,SQRT($B$13*($B$7+$B$8^2))*$B$9*(1-$B$10))</f>
        <v>3849.31294107694</v>
      </c>
      <c r="Q902" s="14" t="n">
        <f aca="true">$B$16+NORMINV(RAND(),0,SQRT($B$13*($B$7+$B$8^2))*$B$9*(1-$B$10))</f>
        <v>4629.48919427522</v>
      </c>
      <c r="R902" s="14" t="n">
        <f aca="false">$B$4-13*($B$5+$B$6)/30-IF($B$11&lt;=13,$B$12,0)+0</f>
        <v>8876.66666666667</v>
      </c>
      <c r="S902" s="14" t="n">
        <f aca="false">$B$4-27*($B$5+$B$6)/30-IF($B$11&lt;=27,$B$12,0)+L902</f>
        <v>10632.1565133788</v>
      </c>
      <c r="T902" s="14" t="n">
        <f aca="false">$B$4-41*($B$5+$B$6)/30-IF($B$11&lt;=41,$B$12,0)+L902+M902</f>
        <v>1310.12652398395</v>
      </c>
      <c r="U902" s="14" t="n">
        <f aca="false">$B$4-55*($B$5+$B$6)/30-IF($B$11&lt;=55,$B$12,0)+L902+M902+N902</f>
        <v>3120.09688296602</v>
      </c>
      <c r="V902" s="14" t="n">
        <f aca="false">$B$4-69*($B$5+$B$6)/30-IF($B$11&lt;=69,$B$12,0)+L902+M902+N902+O902</f>
        <v>4687.1796887825</v>
      </c>
      <c r="W902" s="14" t="n">
        <f aca="false">$B$4-83*($B$5+$B$6)/30-IF($B$11&lt;=83,$B$12,0)+L902+M902+N902+O902+P902</f>
        <v>6249.82596319277</v>
      </c>
      <c r="X902" s="14" t="n">
        <f aca="false">$B$4-90*($B$5+$B$6)/30-IF($B$11&lt;=90,$B$12,0)+L902+M902+N902+O902+P902+Q902</f>
        <v>9735.98182413466</v>
      </c>
      <c r="AA902" s="14" t="n">
        <f aca="false">MIN(R902:X902)</f>
        <v>1310.12652398395</v>
      </c>
    </row>
    <row r="903" customFormat="false" ht="15" hidden="false" customHeight="false" outlineLevel="0" collapsed="false">
      <c r="K903" s="2" t="n">
        <v>898</v>
      </c>
      <c r="L903" s="14" t="n">
        <f aca="true">$B$16+NORMINV(RAND(),0,SQRT($B$13*($B$7+$B$8^2))*$B$9*(1-$B$10))</f>
        <v>4262.05686202613</v>
      </c>
      <c r="M903" s="14" t="n">
        <f aca="true">$B$16+NORMINV(RAND(),0,SQRT($B$13*($B$7+$B$8^2))*$B$9*(1-$B$10))</f>
        <v>3895.33906653553</v>
      </c>
      <c r="N903" s="14" t="n">
        <f aca="true">$B$16+NORMINV(RAND(),0,SQRT($B$13*($B$7+$B$8^2))*$B$9*(1-$B$10))</f>
        <v>3917.73061492018</v>
      </c>
      <c r="O903" s="14" t="n">
        <f aca="true">$B$16+NORMINV(RAND(),0,SQRT($B$13*($B$7+$B$8^2))*$B$9*(1-$B$10))</f>
        <v>4116.95784038038</v>
      </c>
      <c r="P903" s="14" t="n">
        <f aca="true">$B$16+NORMINV(RAND(),0,SQRT($B$13*($B$7+$B$8^2))*$B$9*(1-$B$10))</f>
        <v>4297.50423240507</v>
      </c>
      <c r="Q903" s="14" t="n">
        <f aca="true">$B$16+NORMINV(RAND(),0,SQRT($B$13*($B$7+$B$8^2))*$B$9*(1-$B$10))</f>
        <v>4757.88214595239</v>
      </c>
      <c r="R903" s="14" t="n">
        <f aca="false">$B$4-13*($B$5+$B$6)/30-IF($B$11&lt;=13,$B$12,0)+0</f>
        <v>8876.66666666667</v>
      </c>
      <c r="S903" s="14" t="n">
        <f aca="false">$B$4-27*($B$5+$B$6)/30-IF($B$11&lt;=27,$B$12,0)+L903</f>
        <v>10852.0568620261</v>
      </c>
      <c r="T903" s="14" t="n">
        <f aca="false">$B$4-41*($B$5+$B$6)/30-IF($B$11&lt;=41,$B$12,0)+L903+M903</f>
        <v>1275.92926189499</v>
      </c>
      <c r="U903" s="14" t="n">
        <f aca="false">$B$4-55*($B$5+$B$6)/30-IF($B$11&lt;=55,$B$12,0)+L903+M903+N903</f>
        <v>2906.9932101485</v>
      </c>
      <c r="V903" s="14" t="n">
        <f aca="false">$B$4-69*($B$5+$B$6)/30-IF($B$11&lt;=69,$B$12,0)+L903+M903+N903+O903</f>
        <v>4737.28438386222</v>
      </c>
      <c r="W903" s="14" t="n">
        <f aca="false">$B$4-83*($B$5+$B$6)/30-IF($B$11&lt;=83,$B$12,0)+L903+M903+N903+O903+P903</f>
        <v>6748.12194960062</v>
      </c>
      <c r="X903" s="14" t="n">
        <f aca="false">$B$4-90*($B$5+$B$6)/30-IF($B$11&lt;=90,$B$12,0)+L903+M903+N903+O903+P903+Q903</f>
        <v>10362.6707622197</v>
      </c>
      <c r="AA903" s="14" t="n">
        <f aca="false">MIN(R903:X903)</f>
        <v>1275.92926189499</v>
      </c>
    </row>
    <row r="904" customFormat="false" ht="15" hidden="false" customHeight="false" outlineLevel="0" collapsed="false">
      <c r="K904" s="2" t="n">
        <v>899</v>
      </c>
      <c r="L904" s="14" t="n">
        <f aca="true">$B$16+NORMINV(RAND(),0,SQRT($B$13*($B$7+$B$8^2))*$B$9*(1-$B$10))</f>
        <v>4106.68695702417</v>
      </c>
      <c r="M904" s="14" t="n">
        <f aca="true">$B$16+NORMINV(RAND(),0,SQRT($B$13*($B$7+$B$8^2))*$B$9*(1-$B$10))</f>
        <v>4006.05918819289</v>
      </c>
      <c r="N904" s="14" t="n">
        <f aca="true">$B$16+NORMINV(RAND(),0,SQRT($B$13*($B$7+$B$8^2))*$B$9*(1-$B$10))</f>
        <v>3886.38267893343</v>
      </c>
      <c r="O904" s="14" t="n">
        <f aca="true">$B$16+NORMINV(RAND(),0,SQRT($B$13*($B$7+$B$8^2))*$B$9*(1-$B$10))</f>
        <v>4005.24868482908</v>
      </c>
      <c r="P904" s="14" t="n">
        <f aca="true">$B$16+NORMINV(RAND(),0,SQRT($B$13*($B$7+$B$8^2))*$B$9*(1-$B$10))</f>
        <v>3613.26680436489</v>
      </c>
      <c r="Q904" s="14" t="n">
        <f aca="true">$B$16+NORMINV(RAND(),0,SQRT($B$13*($B$7+$B$8^2))*$B$9*(1-$B$10))</f>
        <v>4018.0226913802</v>
      </c>
      <c r="R904" s="14" t="n">
        <f aca="false">$B$4-13*($B$5+$B$6)/30-IF($B$11&lt;=13,$B$12,0)+0</f>
        <v>8876.66666666667</v>
      </c>
      <c r="S904" s="14" t="n">
        <f aca="false">$B$4-27*($B$5+$B$6)/30-IF($B$11&lt;=27,$B$12,0)+L904</f>
        <v>10696.6869570242</v>
      </c>
      <c r="T904" s="14" t="n">
        <f aca="false">$B$4-41*($B$5+$B$6)/30-IF($B$11&lt;=41,$B$12,0)+L904+M904</f>
        <v>1231.27947855039</v>
      </c>
      <c r="U904" s="14" t="n">
        <f aca="false">$B$4-55*($B$5+$B$6)/30-IF($B$11&lt;=55,$B$12,0)+L904+M904+N904</f>
        <v>2830.99549081715</v>
      </c>
      <c r="V904" s="14" t="n">
        <f aca="false">$B$4-69*($B$5+$B$6)/30-IF($B$11&lt;=69,$B$12,0)+L904+M904+N904+O904</f>
        <v>4549.57750897957</v>
      </c>
      <c r="W904" s="14" t="n">
        <f aca="false">$B$4-83*($B$5+$B$6)/30-IF($B$11&lt;=83,$B$12,0)+L904+M904+N904+O904+P904</f>
        <v>5876.1776466778</v>
      </c>
      <c r="X904" s="14" t="n">
        <f aca="false">$B$4-90*($B$5+$B$6)/30-IF($B$11&lt;=90,$B$12,0)+L904+M904+N904+O904+P904+Q904</f>
        <v>8750.86700472466</v>
      </c>
      <c r="AA904" s="14" t="n">
        <f aca="false">MIN(R904:X904)</f>
        <v>1231.27947855039</v>
      </c>
    </row>
    <row r="905" customFormat="false" ht="15" hidden="false" customHeight="false" outlineLevel="0" collapsed="false">
      <c r="K905" s="2" t="n">
        <v>900</v>
      </c>
      <c r="L905" s="14" t="n">
        <f aca="true">$B$16+NORMINV(RAND(),0,SQRT($B$13*($B$7+$B$8^2))*$B$9*(1-$B$10))</f>
        <v>4597.47657483131</v>
      </c>
      <c r="M905" s="14" t="n">
        <f aca="true">$B$16+NORMINV(RAND(),0,SQRT($B$13*($B$7+$B$8^2))*$B$9*(1-$B$10))</f>
        <v>3808.21230225514</v>
      </c>
      <c r="N905" s="14" t="n">
        <f aca="true">$B$16+NORMINV(RAND(),0,SQRT($B$13*($B$7+$B$8^2))*$B$9*(1-$B$10))</f>
        <v>4126.71946099546</v>
      </c>
      <c r="O905" s="14" t="n">
        <f aca="true">$B$16+NORMINV(RAND(),0,SQRT($B$13*($B$7+$B$8^2))*$B$9*(1-$B$10))</f>
        <v>3548.3943883432</v>
      </c>
      <c r="P905" s="14" t="n">
        <f aca="true">$B$16+NORMINV(RAND(),0,SQRT($B$13*($B$7+$B$8^2))*$B$9*(1-$B$10))</f>
        <v>3621.04479713942</v>
      </c>
      <c r="Q905" s="14" t="n">
        <f aca="true">$B$16+NORMINV(RAND(),0,SQRT($B$13*($B$7+$B$8^2))*$B$9*(1-$B$10))</f>
        <v>3816.50286285403</v>
      </c>
      <c r="R905" s="14" t="n">
        <f aca="false">$B$4-13*($B$5+$B$6)/30-IF($B$11&lt;=13,$B$12,0)+0</f>
        <v>8876.66666666667</v>
      </c>
      <c r="S905" s="14" t="n">
        <f aca="false">$B$4-27*($B$5+$B$6)/30-IF($B$11&lt;=27,$B$12,0)+L905</f>
        <v>11187.4765748313</v>
      </c>
      <c r="T905" s="14" t="n">
        <f aca="false">$B$4-41*($B$5+$B$6)/30-IF($B$11&lt;=41,$B$12,0)+L905+M905</f>
        <v>1524.22221041978</v>
      </c>
      <c r="U905" s="14" t="n">
        <f aca="false">$B$4-55*($B$5+$B$6)/30-IF($B$11&lt;=55,$B$12,0)+L905+M905+N905</f>
        <v>3364.27500474857</v>
      </c>
      <c r="V905" s="14" t="n">
        <f aca="false">$B$4-69*($B$5+$B$6)/30-IF($B$11&lt;=69,$B$12,0)+L905+M905+N905+O905</f>
        <v>4626.0027264251</v>
      </c>
      <c r="W905" s="14" t="n">
        <f aca="false">$B$4-83*($B$5+$B$6)/30-IF($B$11&lt;=83,$B$12,0)+L905+M905+N905+O905+P905</f>
        <v>5960.38085689785</v>
      </c>
      <c r="X905" s="14" t="n">
        <f aca="false">$B$4-90*($B$5+$B$6)/30-IF($B$11&lt;=90,$B$12,0)+L905+M905+N905+O905+P905+Q905</f>
        <v>8633.55038641855</v>
      </c>
      <c r="AA905" s="14" t="n">
        <f aca="false">MIN(R905:X905)</f>
        <v>1524.22221041978</v>
      </c>
    </row>
    <row r="906" customFormat="false" ht="15" hidden="false" customHeight="false" outlineLevel="0" collapsed="false">
      <c r="K906" s="2" t="n">
        <v>901</v>
      </c>
      <c r="L906" s="14" t="n">
        <f aca="true">$B$16+NORMINV(RAND(),0,SQRT($B$13*($B$7+$B$8^2))*$B$9*(1-$B$10))</f>
        <v>3888.65316901723</v>
      </c>
      <c r="M906" s="14" t="n">
        <f aca="true">$B$16+NORMINV(RAND(),0,SQRT($B$13*($B$7+$B$8^2))*$B$9*(1-$B$10))</f>
        <v>4157.53377039506</v>
      </c>
      <c r="N906" s="14" t="n">
        <f aca="true">$B$16+NORMINV(RAND(),0,SQRT($B$13*($B$7+$B$8^2))*$B$9*(1-$B$10))</f>
        <v>4460.36831915549</v>
      </c>
      <c r="O906" s="14" t="n">
        <f aca="true">$B$16+NORMINV(RAND(),0,SQRT($B$13*($B$7+$B$8^2))*$B$9*(1-$B$10))</f>
        <v>4201.63994020384</v>
      </c>
      <c r="P906" s="14" t="n">
        <f aca="true">$B$16+NORMINV(RAND(),0,SQRT($B$13*($B$7+$B$8^2))*$B$9*(1-$B$10))</f>
        <v>3769.53755251639</v>
      </c>
      <c r="Q906" s="14" t="n">
        <f aca="true">$B$16+NORMINV(RAND(),0,SQRT($B$13*($B$7+$B$8^2))*$B$9*(1-$B$10))</f>
        <v>4017.434568116</v>
      </c>
      <c r="R906" s="14" t="n">
        <f aca="false">$B$4-13*($B$5+$B$6)/30-IF($B$11&lt;=13,$B$12,0)+0</f>
        <v>8876.66666666667</v>
      </c>
      <c r="S906" s="14" t="n">
        <f aca="false">$B$4-27*($B$5+$B$6)/30-IF($B$11&lt;=27,$B$12,0)+L906</f>
        <v>10478.6531690172</v>
      </c>
      <c r="T906" s="14" t="n">
        <f aca="false">$B$4-41*($B$5+$B$6)/30-IF($B$11&lt;=41,$B$12,0)+L906+M906</f>
        <v>1164.72027274562</v>
      </c>
      <c r="U906" s="14" t="n">
        <f aca="false">$B$4-55*($B$5+$B$6)/30-IF($B$11&lt;=55,$B$12,0)+L906+M906+N906</f>
        <v>3338.42192523444</v>
      </c>
      <c r="V906" s="14" t="n">
        <f aca="false">$B$4-69*($B$5+$B$6)/30-IF($B$11&lt;=69,$B$12,0)+L906+M906+N906+O906</f>
        <v>5253.39519877162</v>
      </c>
      <c r="W906" s="14" t="n">
        <f aca="false">$B$4-83*($B$5+$B$6)/30-IF($B$11&lt;=83,$B$12,0)+L906+M906+N906+O906+P906</f>
        <v>6736.26608462134</v>
      </c>
      <c r="X906" s="14" t="n">
        <f aca="false">$B$4-90*($B$5+$B$6)/30-IF($B$11&lt;=90,$B$12,0)+L906+M906+N906+O906+P906+Q906</f>
        <v>9610.367319404</v>
      </c>
      <c r="AA906" s="14" t="n">
        <f aca="false">MIN(R906:X906)</f>
        <v>1164.72027274562</v>
      </c>
    </row>
    <row r="907" customFormat="false" ht="15" hidden="false" customHeight="false" outlineLevel="0" collapsed="false">
      <c r="K907" s="2" t="n">
        <v>902</v>
      </c>
      <c r="L907" s="14" t="n">
        <f aca="true">$B$16+NORMINV(RAND(),0,SQRT($B$13*($B$7+$B$8^2))*$B$9*(1-$B$10))</f>
        <v>3808.88217152438</v>
      </c>
      <c r="M907" s="14" t="n">
        <f aca="true">$B$16+NORMINV(RAND(),0,SQRT($B$13*($B$7+$B$8^2))*$B$9*(1-$B$10))</f>
        <v>4061.96374346625</v>
      </c>
      <c r="N907" s="14" t="n">
        <f aca="true">$B$16+NORMINV(RAND(),0,SQRT($B$13*($B$7+$B$8^2))*$B$9*(1-$B$10))</f>
        <v>3625.60933772571</v>
      </c>
      <c r="O907" s="14" t="n">
        <f aca="true">$B$16+NORMINV(RAND(),0,SQRT($B$13*($B$7+$B$8^2))*$B$9*(1-$B$10))</f>
        <v>3895.20876426218</v>
      </c>
      <c r="P907" s="14" t="n">
        <f aca="true">$B$16+NORMINV(RAND(),0,SQRT($B$13*($B$7+$B$8^2))*$B$9*(1-$B$10))</f>
        <v>4032.50020278278</v>
      </c>
      <c r="Q907" s="14" t="n">
        <f aca="true">$B$16+NORMINV(RAND(),0,SQRT($B$13*($B$7+$B$8^2))*$B$9*(1-$B$10))</f>
        <v>3732.04003519563</v>
      </c>
      <c r="R907" s="14" t="n">
        <f aca="false">$B$4-13*($B$5+$B$6)/30-IF($B$11&lt;=13,$B$12,0)+0</f>
        <v>8876.66666666667</v>
      </c>
      <c r="S907" s="14" t="n">
        <f aca="false">$B$4-27*($B$5+$B$6)/30-IF($B$11&lt;=27,$B$12,0)+L907</f>
        <v>10398.8821715244</v>
      </c>
      <c r="T907" s="14" t="n">
        <f aca="false">$B$4-41*($B$5+$B$6)/30-IF($B$11&lt;=41,$B$12,0)+L907+M907</f>
        <v>989.379248323963</v>
      </c>
      <c r="U907" s="14" t="n">
        <f aca="false">$B$4-55*($B$5+$B$6)/30-IF($B$11&lt;=55,$B$12,0)+L907+M907+N907</f>
        <v>2328.32191938301</v>
      </c>
      <c r="V907" s="14" t="n">
        <f aca="false">$B$4-69*($B$5+$B$6)/30-IF($B$11&lt;=69,$B$12,0)+L907+M907+N907+O907</f>
        <v>3936.86401697852</v>
      </c>
      <c r="W907" s="14" t="n">
        <f aca="false">$B$4-83*($B$5+$B$6)/30-IF($B$11&lt;=83,$B$12,0)+L907+M907+N907+O907+P907</f>
        <v>5682.69755309464</v>
      </c>
      <c r="X907" s="14" t="n">
        <f aca="false">$B$4-90*($B$5+$B$6)/30-IF($B$11&lt;=90,$B$12,0)+L907+M907+N907+O907+P907+Q907</f>
        <v>8271.40425495694</v>
      </c>
      <c r="AA907" s="14" t="n">
        <f aca="false">MIN(R907:X907)</f>
        <v>989.379248323963</v>
      </c>
    </row>
    <row r="908" customFormat="false" ht="15" hidden="false" customHeight="false" outlineLevel="0" collapsed="false">
      <c r="K908" s="2" t="n">
        <v>903</v>
      </c>
      <c r="L908" s="14" t="n">
        <f aca="true">$B$16+NORMINV(RAND(),0,SQRT($B$13*($B$7+$B$8^2))*$B$9*(1-$B$10))</f>
        <v>4311.10872556513</v>
      </c>
      <c r="M908" s="14" t="n">
        <f aca="true">$B$16+NORMINV(RAND(),0,SQRT($B$13*($B$7+$B$8^2))*$B$9*(1-$B$10))</f>
        <v>4336.77587398407</v>
      </c>
      <c r="N908" s="14" t="n">
        <f aca="true">$B$16+NORMINV(RAND(),0,SQRT($B$13*($B$7+$B$8^2))*$B$9*(1-$B$10))</f>
        <v>4091.23831967609</v>
      </c>
      <c r="O908" s="14" t="n">
        <f aca="true">$B$16+NORMINV(RAND(),0,SQRT($B$13*($B$7+$B$8^2))*$B$9*(1-$B$10))</f>
        <v>4085.5578930769</v>
      </c>
      <c r="P908" s="14" t="n">
        <f aca="true">$B$16+NORMINV(RAND(),0,SQRT($B$13*($B$7+$B$8^2))*$B$9*(1-$B$10))</f>
        <v>4409.48904870168</v>
      </c>
      <c r="Q908" s="14" t="n">
        <f aca="true">$B$16+NORMINV(RAND(),0,SQRT($B$13*($B$7+$B$8^2))*$B$9*(1-$B$10))</f>
        <v>4959.25804049315</v>
      </c>
      <c r="R908" s="14" t="n">
        <f aca="false">$B$4-13*($B$5+$B$6)/30-IF($B$11&lt;=13,$B$12,0)+0</f>
        <v>8876.66666666667</v>
      </c>
      <c r="S908" s="14" t="n">
        <f aca="false">$B$4-27*($B$5+$B$6)/30-IF($B$11&lt;=27,$B$12,0)+L908</f>
        <v>10901.1087255651</v>
      </c>
      <c r="T908" s="14" t="n">
        <f aca="false">$B$4-41*($B$5+$B$6)/30-IF($B$11&lt;=41,$B$12,0)+L908+M908</f>
        <v>1766.41793288253</v>
      </c>
      <c r="U908" s="14" t="n">
        <f aca="false">$B$4-55*($B$5+$B$6)/30-IF($B$11&lt;=55,$B$12,0)+L908+M908+N908</f>
        <v>3570.98958589195</v>
      </c>
      <c r="V908" s="14" t="n">
        <f aca="false">$B$4-69*($B$5+$B$6)/30-IF($B$11&lt;=69,$B$12,0)+L908+M908+N908+O908</f>
        <v>5369.88081230219</v>
      </c>
      <c r="W908" s="14" t="n">
        <f aca="false">$B$4-83*($B$5+$B$6)/30-IF($B$11&lt;=83,$B$12,0)+L908+M908+N908+O908+P908</f>
        <v>7492.7031943372</v>
      </c>
      <c r="X908" s="14" t="n">
        <f aca="false">$B$4-90*($B$5+$B$6)/30-IF($B$11&lt;=90,$B$12,0)+L908+M908+N908+O908+P908+Q908</f>
        <v>11308.627901497</v>
      </c>
      <c r="AA908" s="14" t="n">
        <f aca="false">MIN(R908:X908)</f>
        <v>1766.41793288253</v>
      </c>
    </row>
    <row r="909" customFormat="false" ht="15" hidden="false" customHeight="false" outlineLevel="0" collapsed="false">
      <c r="K909" s="2" t="n">
        <v>904</v>
      </c>
      <c r="L909" s="14" t="n">
        <f aca="true">$B$16+NORMINV(RAND(),0,SQRT($B$13*($B$7+$B$8^2))*$B$9*(1-$B$10))</f>
        <v>3909.45250026662</v>
      </c>
      <c r="M909" s="14" t="n">
        <f aca="true">$B$16+NORMINV(RAND(),0,SQRT($B$13*($B$7+$B$8^2))*$B$9*(1-$B$10))</f>
        <v>4242.52440643125</v>
      </c>
      <c r="N909" s="14" t="n">
        <f aca="true">$B$16+NORMINV(RAND(),0,SQRT($B$13*($B$7+$B$8^2))*$B$9*(1-$B$10))</f>
        <v>3844.70595215435</v>
      </c>
      <c r="O909" s="14" t="n">
        <f aca="true">$B$16+NORMINV(RAND(),0,SQRT($B$13*($B$7+$B$8^2))*$B$9*(1-$B$10))</f>
        <v>4020.39082818491</v>
      </c>
      <c r="P909" s="14" t="n">
        <f aca="true">$B$16+NORMINV(RAND(),0,SQRT($B$13*($B$7+$B$8^2))*$B$9*(1-$B$10))</f>
        <v>3876.9448948554</v>
      </c>
      <c r="Q909" s="14" t="n">
        <f aca="true">$B$16+NORMINV(RAND(),0,SQRT($B$13*($B$7+$B$8^2))*$B$9*(1-$B$10))</f>
        <v>3905.00673893329</v>
      </c>
      <c r="R909" s="14" t="n">
        <f aca="false">$B$4-13*($B$5+$B$6)/30-IF($B$11&lt;=13,$B$12,0)+0</f>
        <v>8876.66666666667</v>
      </c>
      <c r="S909" s="14" t="n">
        <f aca="false">$B$4-27*($B$5+$B$6)/30-IF($B$11&lt;=27,$B$12,0)+L909</f>
        <v>10499.4525002666</v>
      </c>
      <c r="T909" s="14" t="n">
        <f aca="false">$B$4-41*($B$5+$B$6)/30-IF($B$11&lt;=41,$B$12,0)+L909+M909</f>
        <v>1270.51024003121</v>
      </c>
      <c r="U909" s="14" t="n">
        <f aca="false">$B$4-55*($B$5+$B$6)/30-IF($B$11&lt;=55,$B$12,0)+L909+M909+N909</f>
        <v>2828.54952551889</v>
      </c>
      <c r="V909" s="14" t="n">
        <f aca="false">$B$4-69*($B$5+$B$6)/30-IF($B$11&lt;=69,$B$12,0)+L909+M909+N909+O909</f>
        <v>4562.27368703714</v>
      </c>
      <c r="W909" s="14" t="n">
        <f aca="false">$B$4-83*($B$5+$B$6)/30-IF($B$11&lt;=83,$B$12,0)+L909+M909+N909+O909+P909</f>
        <v>6152.55191522587</v>
      </c>
      <c r="X909" s="14" t="n">
        <f aca="false">$B$4-90*($B$5+$B$6)/30-IF($B$11&lt;=90,$B$12,0)+L909+M909+N909+O909+P909+Q909</f>
        <v>8914.22532082582</v>
      </c>
      <c r="AA909" s="14" t="n">
        <f aca="false">MIN(R909:X909)</f>
        <v>1270.51024003121</v>
      </c>
    </row>
    <row r="910" customFormat="false" ht="15" hidden="false" customHeight="false" outlineLevel="0" collapsed="false">
      <c r="K910" s="2" t="n">
        <v>905</v>
      </c>
      <c r="L910" s="14" t="n">
        <f aca="true">$B$16+NORMINV(RAND(),0,SQRT($B$13*($B$7+$B$8^2))*$B$9*(1-$B$10))</f>
        <v>3790.42659218994</v>
      </c>
      <c r="M910" s="14" t="n">
        <f aca="true">$B$16+NORMINV(RAND(),0,SQRT($B$13*($B$7+$B$8^2))*$B$9*(1-$B$10))</f>
        <v>4583.44999290579</v>
      </c>
      <c r="N910" s="14" t="n">
        <f aca="true">$B$16+NORMINV(RAND(),0,SQRT($B$13*($B$7+$B$8^2))*$B$9*(1-$B$10))</f>
        <v>4386.98949497866</v>
      </c>
      <c r="O910" s="14" t="n">
        <f aca="true">$B$16+NORMINV(RAND(),0,SQRT($B$13*($B$7+$B$8^2))*$B$9*(1-$B$10))</f>
        <v>3706.33045484988</v>
      </c>
      <c r="P910" s="14" t="n">
        <f aca="true">$B$16+NORMINV(RAND(),0,SQRT($B$13*($B$7+$B$8^2))*$B$9*(1-$B$10))</f>
        <v>4304.89033047767</v>
      </c>
      <c r="Q910" s="14" t="n">
        <f aca="true">$B$16+NORMINV(RAND(),0,SQRT($B$13*($B$7+$B$8^2))*$B$9*(1-$B$10))</f>
        <v>4020.30272349924</v>
      </c>
      <c r="R910" s="14" t="n">
        <f aca="false">$B$4-13*($B$5+$B$6)/30-IF($B$11&lt;=13,$B$12,0)+0</f>
        <v>8876.66666666667</v>
      </c>
      <c r="S910" s="14" t="n">
        <f aca="false">$B$4-27*($B$5+$B$6)/30-IF($B$11&lt;=27,$B$12,0)+L910</f>
        <v>10380.4265921899</v>
      </c>
      <c r="T910" s="14" t="n">
        <f aca="false">$B$4-41*($B$5+$B$6)/30-IF($B$11&lt;=41,$B$12,0)+L910+M910</f>
        <v>1492.40991842906</v>
      </c>
      <c r="U910" s="14" t="n">
        <f aca="false">$B$4-55*($B$5+$B$6)/30-IF($B$11&lt;=55,$B$12,0)+L910+M910+N910</f>
        <v>3592.73274674105</v>
      </c>
      <c r="V910" s="14" t="n">
        <f aca="false">$B$4-69*($B$5+$B$6)/30-IF($B$11&lt;=69,$B$12,0)+L910+M910+N910+O910</f>
        <v>5012.39653492426</v>
      </c>
      <c r="W910" s="14" t="n">
        <f aca="false">$B$4-83*($B$5+$B$6)/30-IF($B$11&lt;=83,$B$12,0)+L910+M910+N910+O910+P910</f>
        <v>7030.62019873527</v>
      </c>
      <c r="X910" s="14" t="n">
        <f aca="false">$B$4-90*($B$5+$B$6)/30-IF($B$11&lt;=90,$B$12,0)+L910+M910+N910+O910+P910+Q910</f>
        <v>9907.58958890117</v>
      </c>
      <c r="AA910" s="14" t="n">
        <f aca="false">MIN(R910:X910)</f>
        <v>1492.40991842906</v>
      </c>
    </row>
    <row r="911" customFormat="false" ht="15" hidden="false" customHeight="false" outlineLevel="0" collapsed="false">
      <c r="K911" s="2" t="n">
        <v>906</v>
      </c>
      <c r="L911" s="14" t="n">
        <f aca="true">$B$16+NORMINV(RAND(),0,SQRT($B$13*($B$7+$B$8^2))*$B$9*(1-$B$10))</f>
        <v>4359.01050180152</v>
      </c>
      <c r="M911" s="14" t="n">
        <f aca="true">$B$16+NORMINV(RAND(),0,SQRT($B$13*($B$7+$B$8^2))*$B$9*(1-$B$10))</f>
        <v>3935.10183620279</v>
      </c>
      <c r="N911" s="14" t="n">
        <f aca="true">$B$16+NORMINV(RAND(),0,SQRT($B$13*($B$7+$B$8^2))*$B$9*(1-$B$10))</f>
        <v>3677.9667034241</v>
      </c>
      <c r="O911" s="14" t="n">
        <f aca="true">$B$16+NORMINV(RAND(),0,SQRT($B$13*($B$7+$B$8^2))*$B$9*(1-$B$10))</f>
        <v>3936.54590456531</v>
      </c>
      <c r="P911" s="14" t="n">
        <f aca="true">$B$16+NORMINV(RAND(),0,SQRT($B$13*($B$7+$B$8^2))*$B$9*(1-$B$10))</f>
        <v>3741.08031353424</v>
      </c>
      <c r="Q911" s="14" t="n">
        <f aca="true">$B$16+NORMINV(RAND(),0,SQRT($B$13*($B$7+$B$8^2))*$B$9*(1-$B$10))</f>
        <v>4149.89137999179</v>
      </c>
      <c r="R911" s="14" t="n">
        <f aca="false">$B$4-13*($B$5+$B$6)/30-IF($B$11&lt;=13,$B$12,0)+0</f>
        <v>8876.66666666667</v>
      </c>
      <c r="S911" s="14" t="n">
        <f aca="false">$B$4-27*($B$5+$B$6)/30-IF($B$11&lt;=27,$B$12,0)+L911</f>
        <v>10949.0105018015</v>
      </c>
      <c r="T911" s="14" t="n">
        <f aca="false">$B$4-41*($B$5+$B$6)/30-IF($B$11&lt;=41,$B$12,0)+L911+M911</f>
        <v>1412.64567133764</v>
      </c>
      <c r="U911" s="14" t="n">
        <f aca="false">$B$4-55*($B$5+$B$6)/30-IF($B$11&lt;=55,$B$12,0)+L911+M911+N911</f>
        <v>2803.94570809508</v>
      </c>
      <c r="V911" s="14" t="n">
        <f aca="false">$B$4-69*($B$5+$B$6)/30-IF($B$11&lt;=69,$B$12,0)+L911+M911+N911+O911</f>
        <v>4453.82494599373</v>
      </c>
      <c r="W911" s="14" t="n">
        <f aca="false">$B$4-83*($B$5+$B$6)/30-IF($B$11&lt;=83,$B$12,0)+L911+M911+N911+O911+P911</f>
        <v>5908.2385928613</v>
      </c>
      <c r="X911" s="14" t="n">
        <f aca="false">$B$4-90*($B$5+$B$6)/30-IF($B$11&lt;=90,$B$12,0)+L911+M911+N911+O911+P911+Q911</f>
        <v>8914.79663951975</v>
      </c>
      <c r="AA911" s="14" t="n">
        <f aca="false">MIN(R911:X911)</f>
        <v>1412.64567133764</v>
      </c>
    </row>
    <row r="912" customFormat="false" ht="15" hidden="false" customHeight="false" outlineLevel="0" collapsed="false">
      <c r="K912" s="2" t="n">
        <v>907</v>
      </c>
      <c r="L912" s="14" t="n">
        <f aca="true">$B$16+NORMINV(RAND(),0,SQRT($B$13*($B$7+$B$8^2))*$B$9*(1-$B$10))</f>
        <v>3822.63469389935</v>
      </c>
      <c r="M912" s="14" t="n">
        <f aca="true">$B$16+NORMINV(RAND(),0,SQRT($B$13*($B$7+$B$8^2))*$B$9*(1-$B$10))</f>
        <v>4127.00545149166</v>
      </c>
      <c r="N912" s="14" t="n">
        <f aca="true">$B$16+NORMINV(RAND(),0,SQRT($B$13*($B$7+$B$8^2))*$B$9*(1-$B$10))</f>
        <v>4053.76844644104</v>
      </c>
      <c r="O912" s="14" t="n">
        <f aca="true">$B$16+NORMINV(RAND(),0,SQRT($B$13*($B$7+$B$8^2))*$B$9*(1-$B$10))</f>
        <v>3739.5458894608</v>
      </c>
      <c r="P912" s="14" t="n">
        <f aca="true">$B$16+NORMINV(RAND(),0,SQRT($B$13*($B$7+$B$8^2))*$B$9*(1-$B$10))</f>
        <v>3655.09078197934</v>
      </c>
      <c r="Q912" s="14" t="n">
        <f aca="true">$B$16+NORMINV(RAND(),0,SQRT($B$13*($B$7+$B$8^2))*$B$9*(1-$B$10))</f>
        <v>4193.99114535087</v>
      </c>
      <c r="R912" s="14" t="n">
        <f aca="false">$B$4-13*($B$5+$B$6)/30-IF($B$11&lt;=13,$B$12,0)+0</f>
        <v>8876.66666666667</v>
      </c>
      <c r="S912" s="14" t="n">
        <f aca="false">$B$4-27*($B$5+$B$6)/30-IF($B$11&lt;=27,$B$12,0)+L912</f>
        <v>10412.6346938994</v>
      </c>
      <c r="T912" s="14" t="n">
        <f aca="false">$B$4-41*($B$5+$B$6)/30-IF($B$11&lt;=41,$B$12,0)+L912+M912</f>
        <v>1068.17347872435</v>
      </c>
      <c r="U912" s="14" t="n">
        <f aca="false">$B$4-55*($B$5+$B$6)/30-IF($B$11&lt;=55,$B$12,0)+L912+M912+N912</f>
        <v>2835.27525849872</v>
      </c>
      <c r="V912" s="14" t="n">
        <f aca="false">$B$4-69*($B$5+$B$6)/30-IF($B$11&lt;=69,$B$12,0)+L912+M912+N912+O912</f>
        <v>4288.15448129286</v>
      </c>
      <c r="W912" s="14" t="n">
        <f aca="false">$B$4-83*($B$5+$B$6)/30-IF($B$11&lt;=83,$B$12,0)+L912+M912+N912+O912+P912</f>
        <v>5656.57859660553</v>
      </c>
      <c r="X912" s="14" t="n">
        <f aca="false">$B$4-90*($B$5+$B$6)/30-IF($B$11&lt;=90,$B$12,0)+L912+M912+N912+O912+P912+Q912</f>
        <v>8707.23640862307</v>
      </c>
      <c r="AA912" s="14" t="n">
        <f aca="false">MIN(R912:X912)</f>
        <v>1068.17347872435</v>
      </c>
    </row>
    <row r="913" customFormat="false" ht="15" hidden="false" customHeight="false" outlineLevel="0" collapsed="false">
      <c r="K913" s="2" t="n">
        <v>908</v>
      </c>
      <c r="L913" s="14" t="n">
        <f aca="true">$B$16+NORMINV(RAND(),0,SQRT($B$13*($B$7+$B$8^2))*$B$9*(1-$B$10))</f>
        <v>4266.0867900513</v>
      </c>
      <c r="M913" s="14" t="n">
        <f aca="true">$B$16+NORMINV(RAND(),0,SQRT($B$13*($B$7+$B$8^2))*$B$9*(1-$B$10))</f>
        <v>4003.82967299191</v>
      </c>
      <c r="N913" s="14" t="n">
        <f aca="true">$B$16+NORMINV(RAND(),0,SQRT($B$13*($B$7+$B$8^2))*$B$9*(1-$B$10))</f>
        <v>3578.60374909556</v>
      </c>
      <c r="O913" s="14" t="n">
        <f aca="true">$B$16+NORMINV(RAND(),0,SQRT($B$13*($B$7+$B$8^2))*$B$9*(1-$B$10))</f>
        <v>3639.74387978314</v>
      </c>
      <c r="P913" s="14" t="n">
        <f aca="true">$B$16+NORMINV(RAND(),0,SQRT($B$13*($B$7+$B$8^2))*$B$9*(1-$B$10))</f>
        <v>3677.23584789394</v>
      </c>
      <c r="Q913" s="14" t="n">
        <f aca="true">$B$16+NORMINV(RAND(),0,SQRT($B$13*($B$7+$B$8^2))*$B$9*(1-$B$10))</f>
        <v>4105.55635101319</v>
      </c>
      <c r="R913" s="14" t="n">
        <f aca="false">$B$4-13*($B$5+$B$6)/30-IF($B$11&lt;=13,$B$12,0)+0</f>
        <v>8876.66666666667</v>
      </c>
      <c r="S913" s="14" t="n">
        <f aca="false">$B$4-27*($B$5+$B$6)/30-IF($B$11&lt;=27,$B$12,0)+L913</f>
        <v>10856.0867900513</v>
      </c>
      <c r="T913" s="14" t="n">
        <f aca="false">$B$4-41*($B$5+$B$6)/30-IF($B$11&lt;=41,$B$12,0)+L913+M913</f>
        <v>1388.44979637654</v>
      </c>
      <c r="U913" s="14" t="n">
        <f aca="false">$B$4-55*($B$5+$B$6)/30-IF($B$11&lt;=55,$B$12,0)+L913+M913+N913</f>
        <v>2680.38687880543</v>
      </c>
      <c r="V913" s="14" t="n">
        <f aca="false">$B$4-69*($B$5+$B$6)/30-IF($B$11&lt;=69,$B$12,0)+L913+M913+N913+O913</f>
        <v>4033.4640919219</v>
      </c>
      <c r="W913" s="14" t="n">
        <f aca="false">$B$4-83*($B$5+$B$6)/30-IF($B$11&lt;=83,$B$12,0)+L913+M913+N913+O913+P913</f>
        <v>5424.03327314917</v>
      </c>
      <c r="X913" s="14" t="n">
        <f aca="false">$B$4-90*($B$5+$B$6)/30-IF($B$11&lt;=90,$B$12,0)+L913+M913+N913+O913+P913+Q913</f>
        <v>8386.25629082903</v>
      </c>
      <c r="AA913" s="14" t="n">
        <f aca="false">MIN(R913:X913)</f>
        <v>1388.44979637654</v>
      </c>
    </row>
    <row r="914" customFormat="false" ht="15" hidden="false" customHeight="false" outlineLevel="0" collapsed="false">
      <c r="K914" s="2" t="n">
        <v>909</v>
      </c>
      <c r="L914" s="14" t="n">
        <f aca="true">$B$16+NORMINV(RAND(),0,SQRT($B$13*($B$7+$B$8^2))*$B$9*(1-$B$10))</f>
        <v>3645.44038725589</v>
      </c>
      <c r="M914" s="14" t="n">
        <f aca="true">$B$16+NORMINV(RAND(),0,SQRT($B$13*($B$7+$B$8^2))*$B$9*(1-$B$10))</f>
        <v>3853.12918355435</v>
      </c>
      <c r="N914" s="14" t="n">
        <f aca="true">$B$16+NORMINV(RAND(),0,SQRT($B$13*($B$7+$B$8^2))*$B$9*(1-$B$10))</f>
        <v>4350.51101483254</v>
      </c>
      <c r="O914" s="14" t="n">
        <f aca="true">$B$16+NORMINV(RAND(),0,SQRT($B$13*($B$7+$B$8^2))*$B$9*(1-$B$10))</f>
        <v>4192.38213798192</v>
      </c>
      <c r="P914" s="14" t="n">
        <f aca="true">$B$16+NORMINV(RAND(),0,SQRT($B$13*($B$7+$B$8^2))*$B$9*(1-$B$10))</f>
        <v>3919.64824646799</v>
      </c>
      <c r="Q914" s="14" t="n">
        <f aca="true">$B$16+NORMINV(RAND(),0,SQRT($B$13*($B$7+$B$8^2))*$B$9*(1-$B$10))</f>
        <v>4021.23943487765</v>
      </c>
      <c r="R914" s="14" t="n">
        <f aca="false">$B$4-13*($B$5+$B$6)/30-IF($B$11&lt;=13,$B$12,0)+0</f>
        <v>8876.66666666667</v>
      </c>
      <c r="S914" s="14" t="n">
        <f aca="false">$B$4-27*($B$5+$B$6)/30-IF($B$11&lt;=27,$B$12,0)+L914</f>
        <v>10235.4403872559</v>
      </c>
      <c r="T914" s="14" t="n">
        <f aca="false">$B$4-41*($B$5+$B$6)/30-IF($B$11&lt;=41,$B$12,0)+L914+M914</f>
        <v>617.10290414357</v>
      </c>
      <c r="U914" s="14" t="n">
        <f aca="false">$B$4-55*($B$5+$B$6)/30-IF($B$11&lt;=55,$B$12,0)+L914+M914+N914</f>
        <v>2680.94725230944</v>
      </c>
      <c r="V914" s="14" t="n">
        <f aca="false">$B$4-69*($B$5+$B$6)/30-IF($B$11&lt;=69,$B$12,0)+L914+M914+N914+O914</f>
        <v>4586.66272362469</v>
      </c>
      <c r="W914" s="14" t="n">
        <f aca="false">$B$4-83*($B$5+$B$6)/30-IF($B$11&lt;=83,$B$12,0)+L914+M914+N914+O914+P914</f>
        <v>6219.64430342602</v>
      </c>
      <c r="X914" s="14" t="n">
        <f aca="false">$B$4-90*($B$5+$B$6)/30-IF($B$11&lt;=90,$B$12,0)+L914+M914+N914+O914+P914+Q914</f>
        <v>9097.55040497033</v>
      </c>
      <c r="AA914" s="14" t="n">
        <f aca="false">MIN(R914:X914)</f>
        <v>617.10290414357</v>
      </c>
    </row>
    <row r="915" customFormat="false" ht="15" hidden="false" customHeight="false" outlineLevel="0" collapsed="false">
      <c r="K915" s="2" t="n">
        <v>910</v>
      </c>
      <c r="L915" s="14" t="n">
        <f aca="true">$B$16+NORMINV(RAND(),0,SQRT($B$13*($B$7+$B$8^2))*$B$9*(1-$B$10))</f>
        <v>4337.83867224628</v>
      </c>
      <c r="M915" s="14" t="n">
        <f aca="true">$B$16+NORMINV(RAND(),0,SQRT($B$13*($B$7+$B$8^2))*$B$9*(1-$B$10))</f>
        <v>4593.75805429085</v>
      </c>
      <c r="N915" s="14" t="n">
        <f aca="true">$B$16+NORMINV(RAND(),0,SQRT($B$13*($B$7+$B$8^2))*$B$9*(1-$B$10))</f>
        <v>4216.41037238857</v>
      </c>
      <c r="O915" s="14" t="n">
        <f aca="true">$B$16+NORMINV(RAND(),0,SQRT($B$13*($B$7+$B$8^2))*$B$9*(1-$B$10))</f>
        <v>4368.10119140375</v>
      </c>
      <c r="P915" s="14" t="n">
        <f aca="true">$B$16+NORMINV(RAND(),0,SQRT($B$13*($B$7+$B$8^2))*$B$9*(1-$B$10))</f>
        <v>4351.34747623509</v>
      </c>
      <c r="Q915" s="14" t="n">
        <f aca="true">$B$16+NORMINV(RAND(),0,SQRT($B$13*($B$7+$B$8^2))*$B$9*(1-$B$10))</f>
        <v>4451.72957375962</v>
      </c>
      <c r="R915" s="14" t="n">
        <f aca="false">$B$4-13*($B$5+$B$6)/30-IF($B$11&lt;=13,$B$12,0)+0</f>
        <v>8876.66666666667</v>
      </c>
      <c r="S915" s="14" t="n">
        <f aca="false">$B$4-27*($B$5+$B$6)/30-IF($B$11&lt;=27,$B$12,0)+L915</f>
        <v>10927.8386722463</v>
      </c>
      <c r="T915" s="14" t="n">
        <f aca="false">$B$4-41*($B$5+$B$6)/30-IF($B$11&lt;=41,$B$12,0)+L915+M915</f>
        <v>2050.13005987046</v>
      </c>
      <c r="U915" s="14" t="n">
        <f aca="false">$B$4-55*($B$5+$B$6)/30-IF($B$11&lt;=55,$B$12,0)+L915+M915+N915</f>
        <v>3979.87376559236</v>
      </c>
      <c r="V915" s="14" t="n">
        <f aca="false">$B$4-69*($B$5+$B$6)/30-IF($B$11&lt;=69,$B$12,0)+L915+M915+N915+O915</f>
        <v>6061.30829032945</v>
      </c>
      <c r="W915" s="14" t="n">
        <f aca="false">$B$4-83*($B$5+$B$6)/30-IF($B$11&lt;=83,$B$12,0)+L915+M915+N915+O915+P915</f>
        <v>8125.98909989787</v>
      </c>
      <c r="X915" s="14" t="n">
        <f aca="false">$B$4-90*($B$5+$B$6)/30-IF($B$11&lt;=90,$B$12,0)+L915+M915+N915+O915+P915+Q915</f>
        <v>11434.3853403242</v>
      </c>
      <c r="AA915" s="14" t="n">
        <f aca="false">MIN(R915:X915)</f>
        <v>2050.13005987046</v>
      </c>
    </row>
    <row r="916" customFormat="false" ht="15" hidden="false" customHeight="false" outlineLevel="0" collapsed="false">
      <c r="K916" s="2" t="n">
        <v>911</v>
      </c>
      <c r="L916" s="14" t="n">
        <f aca="true">$B$16+NORMINV(RAND(),0,SQRT($B$13*($B$7+$B$8^2))*$B$9*(1-$B$10))</f>
        <v>3558.04905692074</v>
      </c>
      <c r="M916" s="14" t="n">
        <f aca="true">$B$16+NORMINV(RAND(),0,SQRT($B$13*($B$7+$B$8^2))*$B$9*(1-$B$10))</f>
        <v>3937.89089888591</v>
      </c>
      <c r="N916" s="14" t="n">
        <f aca="true">$B$16+NORMINV(RAND(),0,SQRT($B$13*($B$7+$B$8^2))*$B$9*(1-$B$10))</f>
        <v>4190.46381446338</v>
      </c>
      <c r="O916" s="14" t="n">
        <f aca="true">$B$16+NORMINV(RAND(),0,SQRT($B$13*($B$7+$B$8^2))*$B$9*(1-$B$10))</f>
        <v>4213.39350012665</v>
      </c>
      <c r="P916" s="14" t="n">
        <f aca="true">$B$16+NORMINV(RAND(),0,SQRT($B$13*($B$7+$B$8^2))*$B$9*(1-$B$10))</f>
        <v>3750.11038419203</v>
      </c>
      <c r="Q916" s="14" t="n">
        <f aca="true">$B$16+NORMINV(RAND(),0,SQRT($B$13*($B$7+$B$8^2))*$B$9*(1-$B$10))</f>
        <v>3958.73301041893</v>
      </c>
      <c r="R916" s="14" t="n">
        <f aca="false">$B$4-13*($B$5+$B$6)/30-IF($B$11&lt;=13,$B$12,0)+0</f>
        <v>8876.66666666667</v>
      </c>
      <c r="S916" s="14" t="n">
        <f aca="false">$B$4-27*($B$5+$B$6)/30-IF($B$11&lt;=27,$B$12,0)+L916</f>
        <v>10148.0490569207</v>
      </c>
      <c r="T916" s="14" t="n">
        <f aca="false">$B$4-41*($B$5+$B$6)/30-IF($B$11&lt;=41,$B$12,0)+L916+M916</f>
        <v>614.473289139988</v>
      </c>
      <c r="U916" s="14" t="n">
        <f aca="false">$B$4-55*($B$5+$B$6)/30-IF($B$11&lt;=55,$B$12,0)+L916+M916+N916</f>
        <v>2518.2704369367</v>
      </c>
      <c r="V916" s="14" t="n">
        <f aca="false">$B$4-69*($B$5+$B$6)/30-IF($B$11&lt;=69,$B$12,0)+L916+M916+N916+O916</f>
        <v>4444.99727039669</v>
      </c>
      <c r="W916" s="14" t="n">
        <f aca="false">$B$4-83*($B$5+$B$6)/30-IF($B$11&lt;=83,$B$12,0)+L916+M916+N916+O916+P916</f>
        <v>5908.44098792205</v>
      </c>
      <c r="X916" s="14" t="n">
        <f aca="false">$B$4-90*($B$5+$B$6)/30-IF($B$11&lt;=90,$B$12,0)+L916+M916+N916+O916+P916+Q916</f>
        <v>8723.84066500764</v>
      </c>
      <c r="AA916" s="14" t="n">
        <f aca="false">MIN(R916:X916)</f>
        <v>614.473289139988</v>
      </c>
    </row>
    <row r="917" customFormat="false" ht="15" hidden="false" customHeight="false" outlineLevel="0" collapsed="false">
      <c r="K917" s="2" t="n">
        <v>912</v>
      </c>
      <c r="L917" s="14" t="n">
        <f aca="true">$B$16+NORMINV(RAND(),0,SQRT($B$13*($B$7+$B$8^2))*$B$9*(1-$B$10))</f>
        <v>3065.52934316537</v>
      </c>
      <c r="M917" s="14" t="n">
        <f aca="true">$B$16+NORMINV(RAND(),0,SQRT($B$13*($B$7+$B$8^2))*$B$9*(1-$B$10))</f>
        <v>4036.71505542114</v>
      </c>
      <c r="N917" s="14" t="n">
        <f aca="true">$B$16+NORMINV(RAND(),0,SQRT($B$13*($B$7+$B$8^2))*$B$9*(1-$B$10))</f>
        <v>4393.46127832918</v>
      </c>
      <c r="O917" s="14" t="n">
        <f aca="true">$B$16+NORMINV(RAND(),0,SQRT($B$13*($B$7+$B$8^2))*$B$9*(1-$B$10))</f>
        <v>3888.79275225361</v>
      </c>
      <c r="P917" s="14" t="n">
        <f aca="true">$B$16+NORMINV(RAND(),0,SQRT($B$13*($B$7+$B$8^2))*$B$9*(1-$B$10))</f>
        <v>3898.44100798341</v>
      </c>
      <c r="Q917" s="14" t="n">
        <f aca="true">$B$16+NORMINV(RAND(),0,SQRT($B$13*($B$7+$B$8^2))*$B$9*(1-$B$10))</f>
        <v>3954.34923949103</v>
      </c>
      <c r="R917" s="14" t="n">
        <f aca="false">$B$4-13*($B$5+$B$6)/30-IF($B$11&lt;=13,$B$12,0)+0</f>
        <v>8876.66666666667</v>
      </c>
      <c r="S917" s="14" t="n">
        <f aca="false">$B$4-27*($B$5+$B$6)/30-IF($B$11&lt;=27,$B$12,0)+L917</f>
        <v>9655.52934316537</v>
      </c>
      <c r="T917" s="14" t="n">
        <f aca="false">$B$4-41*($B$5+$B$6)/30-IF($B$11&lt;=41,$B$12,0)+L917+M917</f>
        <v>220.777731919839</v>
      </c>
      <c r="U917" s="14" t="n">
        <f aca="false">$B$4-55*($B$5+$B$6)/30-IF($B$11&lt;=55,$B$12,0)+L917+M917+N917</f>
        <v>2327.57234358235</v>
      </c>
      <c r="V917" s="14" t="n">
        <f aca="false">$B$4-69*($B$5+$B$6)/30-IF($B$11&lt;=69,$B$12,0)+L917+M917+N917+O917</f>
        <v>3929.69842916929</v>
      </c>
      <c r="W917" s="14" t="n">
        <f aca="false">$B$4-83*($B$5+$B$6)/30-IF($B$11&lt;=83,$B$12,0)+L917+M917+N917+O917+P917</f>
        <v>5541.47277048603</v>
      </c>
      <c r="X917" s="14" t="n">
        <f aca="false">$B$4-90*($B$5+$B$6)/30-IF($B$11&lt;=90,$B$12,0)+L917+M917+N917+O917+P917+Q917</f>
        <v>8352.48867664373</v>
      </c>
      <c r="AA917" s="14" t="n">
        <f aca="false">MIN(R917:X917)</f>
        <v>220.777731919839</v>
      </c>
    </row>
    <row r="918" customFormat="false" ht="15" hidden="false" customHeight="false" outlineLevel="0" collapsed="false">
      <c r="K918" s="2" t="n">
        <v>913</v>
      </c>
      <c r="L918" s="14" t="n">
        <f aca="true">$B$16+NORMINV(RAND(),0,SQRT($B$13*($B$7+$B$8^2))*$B$9*(1-$B$10))</f>
        <v>3796.8866743052</v>
      </c>
      <c r="M918" s="14" t="n">
        <f aca="true">$B$16+NORMINV(RAND(),0,SQRT($B$13*($B$7+$B$8^2))*$B$9*(1-$B$10))</f>
        <v>4389.40807062692</v>
      </c>
      <c r="N918" s="14" t="n">
        <f aca="true">$B$16+NORMINV(RAND(),0,SQRT($B$13*($B$7+$B$8^2))*$B$9*(1-$B$10))</f>
        <v>4450.68018083768</v>
      </c>
      <c r="O918" s="14" t="n">
        <f aca="true">$B$16+NORMINV(RAND(),0,SQRT($B$13*($B$7+$B$8^2))*$B$9*(1-$B$10))</f>
        <v>4068.76302814398</v>
      </c>
      <c r="P918" s="14" t="n">
        <f aca="true">$B$16+NORMINV(RAND(),0,SQRT($B$13*($B$7+$B$8^2))*$B$9*(1-$B$10))</f>
        <v>4147.75445499838</v>
      </c>
      <c r="Q918" s="14" t="n">
        <f aca="true">$B$16+NORMINV(RAND(),0,SQRT($B$13*($B$7+$B$8^2))*$B$9*(1-$B$10))</f>
        <v>4294.43142470147</v>
      </c>
      <c r="R918" s="14" t="n">
        <f aca="false">$B$4-13*($B$5+$B$6)/30-IF($B$11&lt;=13,$B$12,0)+0</f>
        <v>8876.66666666667</v>
      </c>
      <c r="S918" s="14" t="n">
        <f aca="false">$B$4-27*($B$5+$B$6)/30-IF($B$11&lt;=27,$B$12,0)+L918</f>
        <v>10386.8866743052</v>
      </c>
      <c r="T918" s="14" t="n">
        <f aca="false">$B$4-41*($B$5+$B$6)/30-IF($B$11&lt;=41,$B$12,0)+L918+M918</f>
        <v>1304.82807826545</v>
      </c>
      <c r="U918" s="14" t="n">
        <f aca="false">$B$4-55*($B$5+$B$6)/30-IF($B$11&lt;=55,$B$12,0)+L918+M918+N918</f>
        <v>3468.84159243646</v>
      </c>
      <c r="V918" s="14" t="n">
        <f aca="false">$B$4-69*($B$5+$B$6)/30-IF($B$11&lt;=69,$B$12,0)+L918+M918+N918+O918</f>
        <v>5250.93795391378</v>
      </c>
      <c r="W918" s="14" t="n">
        <f aca="false">$B$4-83*($B$5+$B$6)/30-IF($B$11&lt;=83,$B$12,0)+L918+M918+N918+O918+P918</f>
        <v>7112.02574224549</v>
      </c>
      <c r="X918" s="14" t="n">
        <f aca="false">$B$4-90*($B$5+$B$6)/30-IF($B$11&lt;=90,$B$12,0)+L918+M918+N918+O918+P918+Q918</f>
        <v>10263.1238336136</v>
      </c>
      <c r="AA918" s="14" t="n">
        <f aca="false">MIN(R918:X918)</f>
        <v>1304.82807826545</v>
      </c>
    </row>
    <row r="919" customFormat="false" ht="15" hidden="false" customHeight="false" outlineLevel="0" collapsed="false">
      <c r="K919" s="2" t="n">
        <v>914</v>
      </c>
      <c r="L919" s="14" t="n">
        <f aca="true">$B$16+NORMINV(RAND(),0,SQRT($B$13*($B$7+$B$8^2))*$B$9*(1-$B$10))</f>
        <v>3832.99427925202</v>
      </c>
      <c r="M919" s="14" t="n">
        <f aca="true">$B$16+NORMINV(RAND(),0,SQRT($B$13*($B$7+$B$8^2))*$B$9*(1-$B$10))</f>
        <v>3164.11672092371</v>
      </c>
      <c r="N919" s="14" t="n">
        <f aca="true">$B$16+NORMINV(RAND(),0,SQRT($B$13*($B$7+$B$8^2))*$B$9*(1-$B$10))</f>
        <v>4340.63163436596</v>
      </c>
      <c r="O919" s="14" t="n">
        <f aca="true">$B$16+NORMINV(RAND(),0,SQRT($B$13*($B$7+$B$8^2))*$B$9*(1-$B$10))</f>
        <v>4087.94614486129</v>
      </c>
      <c r="P919" s="14" t="n">
        <f aca="true">$B$16+NORMINV(RAND(),0,SQRT($B$13*($B$7+$B$8^2))*$B$9*(1-$B$10))</f>
        <v>3808.79740677218</v>
      </c>
      <c r="Q919" s="14" t="n">
        <f aca="true">$B$16+NORMINV(RAND(),0,SQRT($B$13*($B$7+$B$8^2))*$B$9*(1-$B$10))</f>
        <v>3385.88940001207</v>
      </c>
      <c r="R919" s="14" t="n">
        <f aca="false">$B$4-13*($B$5+$B$6)/30-IF($B$11&lt;=13,$B$12,0)+0</f>
        <v>8876.66666666667</v>
      </c>
      <c r="S919" s="14" t="n">
        <f aca="false">$B$4-27*($B$5+$B$6)/30-IF($B$11&lt;=27,$B$12,0)+L919</f>
        <v>10422.994279252</v>
      </c>
      <c r="T919" s="14" t="n">
        <f aca="false">$B$4-41*($B$5+$B$6)/30-IF($B$11&lt;=41,$B$12,0)+L919+M919</f>
        <v>115.644333509063</v>
      </c>
      <c r="U919" s="14" t="n">
        <f aca="false">$B$4-55*($B$5+$B$6)/30-IF($B$11&lt;=55,$B$12,0)+L919+M919+N919</f>
        <v>2169.60930120835</v>
      </c>
      <c r="V919" s="14" t="n">
        <f aca="false">$B$4-69*($B$5+$B$6)/30-IF($B$11&lt;=69,$B$12,0)+L919+M919+N919+O919</f>
        <v>3970.88877940298</v>
      </c>
      <c r="W919" s="14" t="n">
        <f aca="false">$B$4-83*($B$5+$B$6)/30-IF($B$11&lt;=83,$B$12,0)+L919+M919+N919+O919+P919</f>
        <v>5493.01951950849</v>
      </c>
      <c r="X919" s="14" t="n">
        <f aca="false">$B$4-90*($B$5+$B$6)/30-IF($B$11&lt;=90,$B$12,0)+L919+M919+N919+O919+P919+Q919</f>
        <v>7735.57558618723</v>
      </c>
      <c r="AA919" s="14" t="n">
        <f aca="false">MIN(R919:X919)</f>
        <v>115.644333509063</v>
      </c>
    </row>
    <row r="920" customFormat="false" ht="15" hidden="false" customHeight="false" outlineLevel="0" collapsed="false">
      <c r="K920" s="2" t="n">
        <v>915</v>
      </c>
      <c r="L920" s="14" t="n">
        <f aca="true">$B$16+NORMINV(RAND(),0,SQRT($B$13*($B$7+$B$8^2))*$B$9*(1-$B$10))</f>
        <v>3554.9546105816</v>
      </c>
      <c r="M920" s="14" t="n">
        <f aca="true">$B$16+NORMINV(RAND(),0,SQRT($B$13*($B$7+$B$8^2))*$B$9*(1-$B$10))</f>
        <v>4158.38997280338</v>
      </c>
      <c r="N920" s="14" t="n">
        <f aca="true">$B$16+NORMINV(RAND(),0,SQRT($B$13*($B$7+$B$8^2))*$B$9*(1-$B$10))</f>
        <v>3961.77922341868</v>
      </c>
      <c r="O920" s="14" t="n">
        <f aca="true">$B$16+NORMINV(RAND(),0,SQRT($B$13*($B$7+$B$8^2))*$B$9*(1-$B$10))</f>
        <v>3843.2636825732</v>
      </c>
      <c r="P920" s="14" t="n">
        <f aca="true">$B$16+NORMINV(RAND(),0,SQRT($B$13*($B$7+$B$8^2))*$B$9*(1-$B$10))</f>
        <v>4243.62104466016</v>
      </c>
      <c r="Q920" s="14" t="n">
        <f aca="true">$B$16+NORMINV(RAND(),0,SQRT($B$13*($B$7+$B$8^2))*$B$9*(1-$B$10))</f>
        <v>3102.85166439607</v>
      </c>
      <c r="R920" s="14" t="n">
        <f aca="false">$B$4-13*($B$5+$B$6)/30-IF($B$11&lt;=13,$B$12,0)+0</f>
        <v>8876.66666666667</v>
      </c>
      <c r="S920" s="14" t="n">
        <f aca="false">$B$4-27*($B$5+$B$6)/30-IF($B$11&lt;=27,$B$12,0)+L920</f>
        <v>10144.9546105816</v>
      </c>
      <c r="T920" s="14" t="n">
        <f aca="false">$B$4-41*($B$5+$B$6)/30-IF($B$11&lt;=41,$B$12,0)+L920+M920</f>
        <v>831.877916718307</v>
      </c>
      <c r="U920" s="14" t="n">
        <f aca="false">$B$4-55*($B$5+$B$6)/30-IF($B$11&lt;=55,$B$12,0)+L920+M920+N920</f>
        <v>2506.99047347032</v>
      </c>
      <c r="V920" s="14" t="n">
        <f aca="false">$B$4-69*($B$5+$B$6)/30-IF($B$11&lt;=69,$B$12,0)+L920+M920+N920+O920</f>
        <v>4063.58748937686</v>
      </c>
      <c r="W920" s="14" t="n">
        <f aca="false">$B$4-83*($B$5+$B$6)/30-IF($B$11&lt;=83,$B$12,0)+L920+M920+N920+O920+P920</f>
        <v>6020.54186737035</v>
      </c>
      <c r="X920" s="14" t="n">
        <f aca="false">$B$4-90*($B$5+$B$6)/30-IF($B$11&lt;=90,$B$12,0)+L920+M920+N920+O920+P920+Q920</f>
        <v>7980.06019843309</v>
      </c>
      <c r="AA920" s="14" t="n">
        <f aca="false">MIN(R920:X920)</f>
        <v>831.877916718307</v>
      </c>
    </row>
    <row r="921" customFormat="false" ht="15" hidden="false" customHeight="false" outlineLevel="0" collapsed="false">
      <c r="K921" s="2" t="n">
        <v>916</v>
      </c>
      <c r="L921" s="14" t="n">
        <f aca="true">$B$16+NORMINV(RAND(),0,SQRT($B$13*($B$7+$B$8^2))*$B$9*(1-$B$10))</f>
        <v>4495.3459619568</v>
      </c>
      <c r="M921" s="14" t="n">
        <f aca="true">$B$16+NORMINV(RAND(),0,SQRT($B$13*($B$7+$B$8^2))*$B$9*(1-$B$10))</f>
        <v>4393.62120952666</v>
      </c>
      <c r="N921" s="14" t="n">
        <f aca="true">$B$16+NORMINV(RAND(),0,SQRT($B$13*($B$7+$B$8^2))*$B$9*(1-$B$10))</f>
        <v>4561.49723637182</v>
      </c>
      <c r="O921" s="14" t="n">
        <f aca="true">$B$16+NORMINV(RAND(),0,SQRT($B$13*($B$7+$B$8^2))*$B$9*(1-$B$10))</f>
        <v>3913.02870428568</v>
      </c>
      <c r="P921" s="14" t="n">
        <f aca="true">$B$16+NORMINV(RAND(),0,SQRT($B$13*($B$7+$B$8^2))*$B$9*(1-$B$10))</f>
        <v>4086.0327092518</v>
      </c>
      <c r="Q921" s="14" t="n">
        <f aca="true">$B$16+NORMINV(RAND(),0,SQRT($B$13*($B$7+$B$8^2))*$B$9*(1-$B$10))</f>
        <v>3818.46322464826</v>
      </c>
      <c r="R921" s="14" t="n">
        <f aca="false">$B$4-13*($B$5+$B$6)/30-IF($B$11&lt;=13,$B$12,0)+0</f>
        <v>8876.66666666667</v>
      </c>
      <c r="S921" s="14" t="n">
        <f aca="false">$B$4-27*($B$5+$B$6)/30-IF($B$11&lt;=27,$B$12,0)+L921</f>
        <v>11085.3459619568</v>
      </c>
      <c r="T921" s="14" t="n">
        <f aca="false">$B$4-41*($B$5+$B$6)/30-IF($B$11&lt;=41,$B$12,0)+L921+M921</f>
        <v>2007.5005048168</v>
      </c>
      <c r="U921" s="14" t="n">
        <f aca="false">$B$4-55*($B$5+$B$6)/30-IF($B$11&lt;=55,$B$12,0)+L921+M921+N921</f>
        <v>4282.33107452195</v>
      </c>
      <c r="V921" s="14" t="n">
        <f aca="false">$B$4-69*($B$5+$B$6)/30-IF($B$11&lt;=69,$B$12,0)+L921+M921+N921+O921</f>
        <v>5908.69311214097</v>
      </c>
      <c r="W921" s="14" t="n">
        <f aca="false">$B$4-83*($B$5+$B$6)/30-IF($B$11&lt;=83,$B$12,0)+L921+M921+N921+O921+P921</f>
        <v>7708.0591547261</v>
      </c>
      <c r="X921" s="14" t="n">
        <f aca="false">$B$4-90*($B$5+$B$6)/30-IF($B$11&lt;=90,$B$12,0)+L921+M921+N921+O921+P921+Q921</f>
        <v>10383.189046041</v>
      </c>
      <c r="AA921" s="14" t="n">
        <f aca="false">MIN(R921:X921)</f>
        <v>2007.5005048168</v>
      </c>
    </row>
    <row r="922" customFormat="false" ht="15" hidden="false" customHeight="false" outlineLevel="0" collapsed="false">
      <c r="K922" s="2" t="n">
        <v>917</v>
      </c>
      <c r="L922" s="14" t="n">
        <f aca="true">$B$16+NORMINV(RAND(),0,SQRT($B$13*($B$7+$B$8^2))*$B$9*(1-$B$10))</f>
        <v>3710.79413263865</v>
      </c>
      <c r="M922" s="14" t="n">
        <f aca="true">$B$16+NORMINV(RAND(),0,SQRT($B$13*($B$7+$B$8^2))*$B$9*(1-$B$10))</f>
        <v>3922.76062925935</v>
      </c>
      <c r="N922" s="14" t="n">
        <f aca="true">$B$16+NORMINV(RAND(),0,SQRT($B$13*($B$7+$B$8^2))*$B$9*(1-$B$10))</f>
        <v>3781.96377493915</v>
      </c>
      <c r="O922" s="14" t="n">
        <f aca="true">$B$16+NORMINV(RAND(),0,SQRT($B$13*($B$7+$B$8^2))*$B$9*(1-$B$10))</f>
        <v>4086.15868189341</v>
      </c>
      <c r="P922" s="14" t="n">
        <f aca="true">$B$16+NORMINV(RAND(),0,SQRT($B$13*($B$7+$B$8^2))*$B$9*(1-$B$10))</f>
        <v>4575.06630684451</v>
      </c>
      <c r="Q922" s="14" t="n">
        <f aca="true">$B$16+NORMINV(RAND(),0,SQRT($B$13*($B$7+$B$8^2))*$B$9*(1-$B$10))</f>
        <v>4192.38651893588</v>
      </c>
      <c r="R922" s="14" t="n">
        <f aca="false">$B$4-13*($B$5+$B$6)/30-IF($B$11&lt;=13,$B$12,0)+0</f>
        <v>8876.66666666667</v>
      </c>
      <c r="S922" s="14" t="n">
        <f aca="false">$B$4-27*($B$5+$B$6)/30-IF($B$11&lt;=27,$B$12,0)+L922</f>
        <v>10300.7941326386</v>
      </c>
      <c r="T922" s="14" t="n">
        <f aca="false">$B$4-41*($B$5+$B$6)/30-IF($B$11&lt;=41,$B$12,0)+L922+M922</f>
        <v>752.08809523133</v>
      </c>
      <c r="U922" s="14" t="n">
        <f aca="false">$B$4-55*($B$5+$B$6)/30-IF($B$11&lt;=55,$B$12,0)+L922+M922+N922</f>
        <v>2247.38520350381</v>
      </c>
      <c r="V922" s="14" t="n">
        <f aca="false">$B$4-69*($B$5+$B$6)/30-IF($B$11&lt;=69,$B$12,0)+L922+M922+N922+O922</f>
        <v>4046.87721873056</v>
      </c>
      <c r="W922" s="14" t="n">
        <f aca="false">$B$4-83*($B$5+$B$6)/30-IF($B$11&lt;=83,$B$12,0)+L922+M922+N922+O922+P922</f>
        <v>6335.2768589084</v>
      </c>
      <c r="X922" s="14" t="n">
        <f aca="false">$B$4-90*($B$5+$B$6)/30-IF($B$11&lt;=90,$B$12,0)+L922+M922+N922+O922+P922+Q922</f>
        <v>9384.33004451095</v>
      </c>
      <c r="AA922" s="14" t="n">
        <f aca="false">MIN(R922:X922)</f>
        <v>752.08809523133</v>
      </c>
    </row>
    <row r="923" customFormat="false" ht="15" hidden="false" customHeight="false" outlineLevel="0" collapsed="false">
      <c r="K923" s="2" t="n">
        <v>918</v>
      </c>
      <c r="L923" s="14" t="n">
        <f aca="true">$B$16+NORMINV(RAND(),0,SQRT($B$13*($B$7+$B$8^2))*$B$9*(1-$B$10))</f>
        <v>4058.24638286516</v>
      </c>
      <c r="M923" s="14" t="n">
        <f aca="true">$B$16+NORMINV(RAND(),0,SQRT($B$13*($B$7+$B$8^2))*$B$9*(1-$B$10))</f>
        <v>4607.08920456976</v>
      </c>
      <c r="N923" s="14" t="n">
        <f aca="true">$B$16+NORMINV(RAND(),0,SQRT($B$13*($B$7+$B$8^2))*$B$9*(1-$B$10))</f>
        <v>4441.18717580374</v>
      </c>
      <c r="O923" s="14" t="n">
        <f aca="true">$B$16+NORMINV(RAND(),0,SQRT($B$13*($B$7+$B$8^2))*$B$9*(1-$B$10))</f>
        <v>4172.73360127501</v>
      </c>
      <c r="P923" s="14" t="n">
        <f aca="true">$B$16+NORMINV(RAND(),0,SQRT($B$13*($B$7+$B$8^2))*$B$9*(1-$B$10))</f>
        <v>3808.19259986581</v>
      </c>
      <c r="Q923" s="14" t="n">
        <f aca="true">$B$16+NORMINV(RAND(),0,SQRT($B$13*($B$7+$B$8^2))*$B$9*(1-$B$10))</f>
        <v>4238.60691693366</v>
      </c>
      <c r="R923" s="14" t="n">
        <f aca="false">$B$4-13*($B$5+$B$6)/30-IF($B$11&lt;=13,$B$12,0)+0</f>
        <v>8876.66666666667</v>
      </c>
      <c r="S923" s="14" t="n">
        <f aca="false">$B$4-27*($B$5+$B$6)/30-IF($B$11&lt;=27,$B$12,0)+L923</f>
        <v>10648.2463828652</v>
      </c>
      <c r="T923" s="14" t="n">
        <f aca="false">$B$4-41*($B$5+$B$6)/30-IF($B$11&lt;=41,$B$12,0)+L923+M923</f>
        <v>1783.86892076824</v>
      </c>
      <c r="U923" s="14" t="n">
        <f aca="false">$B$4-55*($B$5+$B$6)/30-IF($B$11&lt;=55,$B$12,0)+L923+M923+N923</f>
        <v>3938.38942990532</v>
      </c>
      <c r="V923" s="14" t="n">
        <f aca="false">$B$4-69*($B$5+$B$6)/30-IF($B$11&lt;=69,$B$12,0)+L923+M923+N923+O923</f>
        <v>5824.45636451366</v>
      </c>
      <c r="W923" s="14" t="n">
        <f aca="false">$B$4-83*($B$5+$B$6)/30-IF($B$11&lt;=83,$B$12,0)+L923+M923+N923+O923+P923</f>
        <v>7345.9822977128</v>
      </c>
      <c r="X923" s="14" t="n">
        <f aca="false">$B$4-90*($B$5+$B$6)/30-IF($B$11&lt;=90,$B$12,0)+L923+M923+N923+O923+P923+Q923</f>
        <v>10441.2558813131</v>
      </c>
      <c r="AA923" s="14" t="n">
        <f aca="false">MIN(R923:X923)</f>
        <v>1783.86892076824</v>
      </c>
    </row>
    <row r="924" customFormat="false" ht="15" hidden="false" customHeight="false" outlineLevel="0" collapsed="false">
      <c r="K924" s="2" t="n">
        <v>919</v>
      </c>
      <c r="L924" s="14" t="n">
        <f aca="true">$B$16+NORMINV(RAND(),0,SQRT($B$13*($B$7+$B$8^2))*$B$9*(1-$B$10))</f>
        <v>3897.0054637302</v>
      </c>
      <c r="M924" s="14" t="n">
        <f aca="true">$B$16+NORMINV(RAND(),0,SQRT($B$13*($B$7+$B$8^2))*$B$9*(1-$B$10))</f>
        <v>4544.39494279826</v>
      </c>
      <c r="N924" s="14" t="n">
        <f aca="true">$B$16+NORMINV(RAND(),0,SQRT($B$13*($B$7+$B$8^2))*$B$9*(1-$B$10))</f>
        <v>4395.79573154915</v>
      </c>
      <c r="O924" s="14" t="n">
        <f aca="true">$B$16+NORMINV(RAND(),0,SQRT($B$13*($B$7+$B$8^2))*$B$9*(1-$B$10))</f>
        <v>3899.98586962091</v>
      </c>
      <c r="P924" s="14" t="n">
        <f aca="true">$B$16+NORMINV(RAND(),0,SQRT($B$13*($B$7+$B$8^2))*$B$9*(1-$B$10))</f>
        <v>4785.66958286032</v>
      </c>
      <c r="Q924" s="14" t="n">
        <f aca="true">$B$16+NORMINV(RAND(),0,SQRT($B$13*($B$7+$B$8^2))*$B$9*(1-$B$10))</f>
        <v>4371.12621576736</v>
      </c>
      <c r="R924" s="14" t="n">
        <f aca="false">$B$4-13*($B$5+$B$6)/30-IF($B$11&lt;=13,$B$12,0)+0</f>
        <v>8876.66666666667</v>
      </c>
      <c r="S924" s="14" t="n">
        <f aca="false">$B$4-27*($B$5+$B$6)/30-IF($B$11&lt;=27,$B$12,0)+L924</f>
        <v>10487.0054637302</v>
      </c>
      <c r="T924" s="14" t="n">
        <f aca="false">$B$4-41*($B$5+$B$6)/30-IF($B$11&lt;=41,$B$12,0)+L924+M924</f>
        <v>1559.9337398618</v>
      </c>
      <c r="U924" s="14" t="n">
        <f aca="false">$B$4-55*($B$5+$B$6)/30-IF($B$11&lt;=55,$B$12,0)+L924+M924+N924</f>
        <v>3669.06280474429</v>
      </c>
      <c r="V924" s="14" t="n">
        <f aca="false">$B$4-69*($B$5+$B$6)/30-IF($B$11&lt;=69,$B$12,0)+L924+M924+N924+O924</f>
        <v>5282.38200769853</v>
      </c>
      <c r="W924" s="14" t="n">
        <f aca="false">$B$4-83*($B$5+$B$6)/30-IF($B$11&lt;=83,$B$12,0)+L924+M924+N924+O924+P924</f>
        <v>7781.38492389219</v>
      </c>
      <c r="X924" s="14" t="n">
        <f aca="false">$B$4-90*($B$5+$B$6)/30-IF($B$11&lt;=90,$B$12,0)+L924+M924+N924+O924+P924+Q924</f>
        <v>11009.1778063262</v>
      </c>
      <c r="AA924" s="14" t="n">
        <f aca="false">MIN(R924:X924)</f>
        <v>1559.9337398618</v>
      </c>
    </row>
    <row r="925" customFormat="false" ht="15" hidden="false" customHeight="false" outlineLevel="0" collapsed="false">
      <c r="K925" s="2" t="n">
        <v>920</v>
      </c>
      <c r="L925" s="14" t="n">
        <f aca="true">$B$16+NORMINV(RAND(),0,SQRT($B$13*($B$7+$B$8^2))*$B$9*(1-$B$10))</f>
        <v>3993.5847884018</v>
      </c>
      <c r="M925" s="14" t="n">
        <f aca="true">$B$16+NORMINV(RAND(),0,SQRT($B$13*($B$7+$B$8^2))*$B$9*(1-$B$10))</f>
        <v>4114.72603344907</v>
      </c>
      <c r="N925" s="14" t="n">
        <f aca="true">$B$16+NORMINV(RAND(),0,SQRT($B$13*($B$7+$B$8^2))*$B$9*(1-$B$10))</f>
        <v>4375.0699666866</v>
      </c>
      <c r="O925" s="14" t="n">
        <f aca="true">$B$16+NORMINV(RAND(),0,SQRT($B$13*($B$7+$B$8^2))*$B$9*(1-$B$10))</f>
        <v>4070.45337079321</v>
      </c>
      <c r="P925" s="14" t="n">
        <f aca="true">$B$16+NORMINV(RAND(),0,SQRT($B$13*($B$7+$B$8^2))*$B$9*(1-$B$10))</f>
        <v>4244.11740948271</v>
      </c>
      <c r="Q925" s="14" t="n">
        <f aca="true">$B$16+NORMINV(RAND(),0,SQRT($B$13*($B$7+$B$8^2))*$B$9*(1-$B$10))</f>
        <v>3914.20568888898</v>
      </c>
      <c r="R925" s="14" t="n">
        <f aca="false">$B$4-13*($B$5+$B$6)/30-IF($B$11&lt;=13,$B$12,0)+0</f>
        <v>8876.66666666667</v>
      </c>
      <c r="S925" s="14" t="n">
        <f aca="false">$B$4-27*($B$5+$B$6)/30-IF($B$11&lt;=27,$B$12,0)+L925</f>
        <v>10583.5847884018</v>
      </c>
      <c r="T925" s="14" t="n">
        <f aca="false">$B$4-41*($B$5+$B$6)/30-IF($B$11&lt;=41,$B$12,0)+L925+M925</f>
        <v>1226.84415518421</v>
      </c>
      <c r="U925" s="14" t="n">
        <f aca="false">$B$4-55*($B$5+$B$6)/30-IF($B$11&lt;=55,$B$12,0)+L925+M925+N925</f>
        <v>3315.24745520414</v>
      </c>
      <c r="V925" s="14" t="n">
        <f aca="false">$B$4-69*($B$5+$B$6)/30-IF($B$11&lt;=69,$B$12,0)+L925+M925+N925+O925</f>
        <v>5099.03415933069</v>
      </c>
      <c r="W925" s="14" t="n">
        <f aca="false">$B$4-83*($B$5+$B$6)/30-IF($B$11&lt;=83,$B$12,0)+L925+M925+N925+O925+P925</f>
        <v>7056.48490214673</v>
      </c>
      <c r="X925" s="14" t="n">
        <f aca="false">$B$4-90*($B$5+$B$6)/30-IF($B$11&lt;=90,$B$12,0)+L925+M925+N925+O925+P925+Q925</f>
        <v>9827.35725770237</v>
      </c>
      <c r="AA925" s="14" t="n">
        <f aca="false">MIN(R925:X925)</f>
        <v>1226.84415518421</v>
      </c>
    </row>
    <row r="926" customFormat="false" ht="15" hidden="false" customHeight="false" outlineLevel="0" collapsed="false">
      <c r="K926" s="2" t="n">
        <v>921</v>
      </c>
      <c r="L926" s="14" t="n">
        <f aca="true">$B$16+NORMINV(RAND(),0,SQRT($B$13*($B$7+$B$8^2))*$B$9*(1-$B$10))</f>
        <v>4001.51255844494</v>
      </c>
      <c r="M926" s="14" t="n">
        <f aca="true">$B$16+NORMINV(RAND(),0,SQRT($B$13*($B$7+$B$8^2))*$B$9*(1-$B$10))</f>
        <v>3953.6593805396</v>
      </c>
      <c r="N926" s="14" t="n">
        <f aca="true">$B$16+NORMINV(RAND(),0,SQRT($B$13*($B$7+$B$8^2))*$B$9*(1-$B$10))</f>
        <v>5071.60399996072</v>
      </c>
      <c r="O926" s="14" t="n">
        <f aca="true">$B$16+NORMINV(RAND(),0,SQRT($B$13*($B$7+$B$8^2))*$B$9*(1-$B$10))</f>
        <v>3761.25863716855</v>
      </c>
      <c r="P926" s="14" t="n">
        <f aca="true">$B$16+NORMINV(RAND(),0,SQRT($B$13*($B$7+$B$8^2))*$B$9*(1-$B$10))</f>
        <v>4050.67533555223</v>
      </c>
      <c r="Q926" s="14" t="n">
        <f aca="true">$B$16+NORMINV(RAND(),0,SQRT($B$13*($B$7+$B$8^2))*$B$9*(1-$B$10))</f>
        <v>4514.08250150467</v>
      </c>
      <c r="R926" s="14" t="n">
        <f aca="false">$B$4-13*($B$5+$B$6)/30-IF($B$11&lt;=13,$B$12,0)+0</f>
        <v>8876.66666666667</v>
      </c>
      <c r="S926" s="14" t="n">
        <f aca="false">$B$4-27*($B$5+$B$6)/30-IF($B$11&lt;=27,$B$12,0)+L926</f>
        <v>10591.5125584449</v>
      </c>
      <c r="T926" s="14" t="n">
        <f aca="false">$B$4-41*($B$5+$B$6)/30-IF($B$11&lt;=41,$B$12,0)+L926+M926</f>
        <v>1073.70527231788</v>
      </c>
      <c r="U926" s="14" t="n">
        <f aca="false">$B$4-55*($B$5+$B$6)/30-IF($B$11&lt;=55,$B$12,0)+L926+M926+N926</f>
        <v>3858.64260561193</v>
      </c>
      <c r="V926" s="14" t="n">
        <f aca="false">$B$4-69*($B$5+$B$6)/30-IF($B$11&lt;=69,$B$12,0)+L926+M926+N926+O926</f>
        <v>5333.23457611382</v>
      </c>
      <c r="W926" s="14" t="n">
        <f aca="false">$B$4-83*($B$5+$B$6)/30-IF($B$11&lt;=83,$B$12,0)+L926+M926+N926+O926+P926</f>
        <v>7097.24324499938</v>
      </c>
      <c r="X926" s="14" t="n">
        <f aca="false">$B$4-90*($B$5+$B$6)/30-IF($B$11&lt;=90,$B$12,0)+L926+M926+N926+O926+P926+Q926</f>
        <v>10467.9924131707</v>
      </c>
      <c r="AA926" s="14" t="n">
        <f aca="false">MIN(R926:X926)</f>
        <v>1073.70527231788</v>
      </c>
    </row>
    <row r="927" customFormat="false" ht="15" hidden="false" customHeight="false" outlineLevel="0" collapsed="false">
      <c r="K927" s="2" t="n">
        <v>922</v>
      </c>
      <c r="L927" s="14" t="n">
        <f aca="true">$B$16+NORMINV(RAND(),0,SQRT($B$13*($B$7+$B$8^2))*$B$9*(1-$B$10))</f>
        <v>3963.15982600756</v>
      </c>
      <c r="M927" s="14" t="n">
        <f aca="true">$B$16+NORMINV(RAND(),0,SQRT($B$13*($B$7+$B$8^2))*$B$9*(1-$B$10))</f>
        <v>4332.05619167525</v>
      </c>
      <c r="N927" s="14" t="n">
        <f aca="true">$B$16+NORMINV(RAND(),0,SQRT($B$13*($B$7+$B$8^2))*$B$9*(1-$B$10))</f>
        <v>4371.75215463202</v>
      </c>
      <c r="O927" s="14" t="n">
        <f aca="true">$B$16+NORMINV(RAND(),0,SQRT($B$13*($B$7+$B$8^2))*$B$9*(1-$B$10))</f>
        <v>3996.79607006392</v>
      </c>
      <c r="P927" s="14" t="n">
        <f aca="true">$B$16+NORMINV(RAND(),0,SQRT($B$13*($B$7+$B$8^2))*$B$9*(1-$B$10))</f>
        <v>4498.15541704552</v>
      </c>
      <c r="Q927" s="14" t="n">
        <f aca="true">$B$16+NORMINV(RAND(),0,SQRT($B$13*($B$7+$B$8^2))*$B$9*(1-$B$10))</f>
        <v>3833.70565848766</v>
      </c>
      <c r="R927" s="14" t="n">
        <f aca="false">$B$4-13*($B$5+$B$6)/30-IF($B$11&lt;=13,$B$12,0)+0</f>
        <v>8876.66666666667</v>
      </c>
      <c r="S927" s="14" t="n">
        <f aca="false">$B$4-27*($B$5+$B$6)/30-IF($B$11&lt;=27,$B$12,0)+L927</f>
        <v>10553.1598260076</v>
      </c>
      <c r="T927" s="14" t="n">
        <f aca="false">$B$4-41*($B$5+$B$6)/30-IF($B$11&lt;=41,$B$12,0)+L927+M927</f>
        <v>1413.74935101615</v>
      </c>
      <c r="U927" s="14" t="n">
        <f aca="false">$B$4-55*($B$5+$B$6)/30-IF($B$11&lt;=55,$B$12,0)+L927+M927+N927</f>
        <v>3498.8348389815</v>
      </c>
      <c r="V927" s="14" t="n">
        <f aca="false">$B$4-69*($B$5+$B$6)/30-IF($B$11&lt;=69,$B$12,0)+L927+M927+N927+O927</f>
        <v>5208.96424237876</v>
      </c>
      <c r="W927" s="14" t="n">
        <f aca="false">$B$4-83*($B$5+$B$6)/30-IF($B$11&lt;=83,$B$12,0)+L927+M927+N927+O927+P927</f>
        <v>7420.45299275761</v>
      </c>
      <c r="X927" s="14" t="n">
        <f aca="false">$B$4-90*($B$5+$B$6)/30-IF($B$11&lt;=90,$B$12,0)+L927+M927+N927+O927+P927+Q927</f>
        <v>10110.8253179119</v>
      </c>
      <c r="AA927" s="14" t="n">
        <f aca="false">MIN(R927:X927)</f>
        <v>1413.74935101615</v>
      </c>
    </row>
    <row r="928" customFormat="false" ht="15" hidden="false" customHeight="false" outlineLevel="0" collapsed="false">
      <c r="K928" s="2" t="n">
        <v>923</v>
      </c>
      <c r="L928" s="14" t="n">
        <f aca="true">$B$16+NORMINV(RAND(),0,SQRT($B$13*($B$7+$B$8^2))*$B$9*(1-$B$10))</f>
        <v>3892.94401116248</v>
      </c>
      <c r="M928" s="14" t="n">
        <f aca="true">$B$16+NORMINV(RAND(),0,SQRT($B$13*($B$7+$B$8^2))*$B$9*(1-$B$10))</f>
        <v>4776.991086299</v>
      </c>
      <c r="N928" s="14" t="n">
        <f aca="true">$B$16+NORMINV(RAND(),0,SQRT($B$13*($B$7+$B$8^2))*$B$9*(1-$B$10))</f>
        <v>3763.54792976982</v>
      </c>
      <c r="O928" s="14" t="n">
        <f aca="true">$B$16+NORMINV(RAND(),0,SQRT($B$13*($B$7+$B$8^2))*$B$9*(1-$B$10))</f>
        <v>3760.94077130693</v>
      </c>
      <c r="P928" s="14" t="n">
        <f aca="true">$B$16+NORMINV(RAND(),0,SQRT($B$13*($B$7+$B$8^2))*$B$9*(1-$B$10))</f>
        <v>3906.66459102167</v>
      </c>
      <c r="Q928" s="14" t="n">
        <f aca="true">$B$16+NORMINV(RAND(),0,SQRT($B$13*($B$7+$B$8^2))*$B$9*(1-$B$10))</f>
        <v>3621.65678128437</v>
      </c>
      <c r="R928" s="14" t="n">
        <f aca="false">$B$4-13*($B$5+$B$6)/30-IF($B$11&lt;=13,$B$12,0)+0</f>
        <v>8876.66666666667</v>
      </c>
      <c r="S928" s="14" t="n">
        <f aca="false">$B$4-27*($B$5+$B$6)/30-IF($B$11&lt;=27,$B$12,0)+L928</f>
        <v>10482.9440111625</v>
      </c>
      <c r="T928" s="14" t="n">
        <f aca="false">$B$4-41*($B$5+$B$6)/30-IF($B$11&lt;=41,$B$12,0)+L928+M928</f>
        <v>1788.46843079482</v>
      </c>
      <c r="U928" s="14" t="n">
        <f aca="false">$B$4-55*($B$5+$B$6)/30-IF($B$11&lt;=55,$B$12,0)+L928+M928+N928</f>
        <v>3265.34969389797</v>
      </c>
      <c r="V928" s="14" t="n">
        <f aca="false">$B$4-69*($B$5+$B$6)/30-IF($B$11&lt;=69,$B$12,0)+L928+M928+N928+O928</f>
        <v>4739.62379853823</v>
      </c>
      <c r="W928" s="14" t="n">
        <f aca="false">$B$4-83*($B$5+$B$6)/30-IF($B$11&lt;=83,$B$12,0)+L928+M928+N928+O928+P928</f>
        <v>6359.62172289323</v>
      </c>
      <c r="X928" s="14" t="n">
        <f aca="false">$B$4-90*($B$5+$B$6)/30-IF($B$11&lt;=90,$B$12,0)+L928+M928+N928+O928+P928+Q928</f>
        <v>8837.94517084427</v>
      </c>
      <c r="AA928" s="14" t="n">
        <f aca="false">MIN(R928:X928)</f>
        <v>1788.46843079482</v>
      </c>
    </row>
    <row r="929" customFormat="false" ht="15" hidden="false" customHeight="false" outlineLevel="0" collapsed="false">
      <c r="K929" s="2" t="n">
        <v>924</v>
      </c>
      <c r="L929" s="14" t="n">
        <f aca="true">$B$16+NORMINV(RAND(),0,SQRT($B$13*($B$7+$B$8^2))*$B$9*(1-$B$10))</f>
        <v>4282.84837114205</v>
      </c>
      <c r="M929" s="14" t="n">
        <f aca="true">$B$16+NORMINV(RAND(),0,SQRT($B$13*($B$7+$B$8^2))*$B$9*(1-$B$10))</f>
        <v>3657.50940559111</v>
      </c>
      <c r="N929" s="14" t="n">
        <f aca="true">$B$16+NORMINV(RAND(),0,SQRT($B$13*($B$7+$B$8^2))*$B$9*(1-$B$10))</f>
        <v>4029.00474373602</v>
      </c>
      <c r="O929" s="14" t="n">
        <f aca="true">$B$16+NORMINV(RAND(),0,SQRT($B$13*($B$7+$B$8^2))*$B$9*(1-$B$10))</f>
        <v>4171.25157820718</v>
      </c>
      <c r="P929" s="14" t="n">
        <f aca="true">$B$16+NORMINV(RAND(),0,SQRT($B$13*($B$7+$B$8^2))*$B$9*(1-$B$10))</f>
        <v>3888.69266793679</v>
      </c>
      <c r="Q929" s="14" t="n">
        <f aca="true">$B$16+NORMINV(RAND(),0,SQRT($B$13*($B$7+$B$8^2))*$B$9*(1-$B$10))</f>
        <v>3819.54550650153</v>
      </c>
      <c r="R929" s="14" t="n">
        <f aca="false">$B$4-13*($B$5+$B$6)/30-IF($B$11&lt;=13,$B$12,0)+0</f>
        <v>8876.66666666667</v>
      </c>
      <c r="S929" s="14" t="n">
        <f aca="false">$B$4-27*($B$5+$B$6)/30-IF($B$11&lt;=27,$B$12,0)+L929</f>
        <v>10872.8483711421</v>
      </c>
      <c r="T929" s="14" t="n">
        <f aca="false">$B$4-41*($B$5+$B$6)/30-IF($B$11&lt;=41,$B$12,0)+L929+M929</f>
        <v>1058.89111006649</v>
      </c>
      <c r="U929" s="14" t="n">
        <f aca="false">$B$4-55*($B$5+$B$6)/30-IF($B$11&lt;=55,$B$12,0)+L929+M929+N929</f>
        <v>2801.22918713584</v>
      </c>
      <c r="V929" s="14" t="n">
        <f aca="false">$B$4-69*($B$5+$B$6)/30-IF($B$11&lt;=69,$B$12,0)+L929+M929+N929+O929</f>
        <v>4685.81409867635</v>
      </c>
      <c r="W929" s="14" t="n">
        <f aca="false">$B$4-83*($B$5+$B$6)/30-IF($B$11&lt;=83,$B$12,0)+L929+M929+N929+O929+P929</f>
        <v>6287.84009994648</v>
      </c>
      <c r="X929" s="14" t="n">
        <f aca="false">$B$4-90*($B$5+$B$6)/30-IF($B$11&lt;=90,$B$12,0)+L929+M929+N929+O929+P929+Q929</f>
        <v>8964.05227311468</v>
      </c>
      <c r="AA929" s="14" t="n">
        <f aca="false">MIN(R929:X929)</f>
        <v>1058.89111006649</v>
      </c>
    </row>
    <row r="930" customFormat="false" ht="15" hidden="false" customHeight="false" outlineLevel="0" collapsed="false">
      <c r="K930" s="2" t="n">
        <v>925</v>
      </c>
      <c r="L930" s="14" t="n">
        <f aca="true">$B$16+NORMINV(RAND(),0,SQRT($B$13*($B$7+$B$8^2))*$B$9*(1-$B$10))</f>
        <v>4071.65624958241</v>
      </c>
      <c r="M930" s="14" t="n">
        <f aca="true">$B$16+NORMINV(RAND(),0,SQRT($B$13*($B$7+$B$8^2))*$B$9*(1-$B$10))</f>
        <v>3962.11610181166</v>
      </c>
      <c r="N930" s="14" t="n">
        <f aca="true">$B$16+NORMINV(RAND(),0,SQRT($B$13*($B$7+$B$8^2))*$B$9*(1-$B$10))</f>
        <v>4364.30638015701</v>
      </c>
      <c r="O930" s="14" t="n">
        <f aca="true">$B$16+NORMINV(RAND(),0,SQRT($B$13*($B$7+$B$8^2))*$B$9*(1-$B$10))</f>
        <v>3733.89965930048</v>
      </c>
      <c r="P930" s="14" t="n">
        <f aca="true">$B$16+NORMINV(RAND(),0,SQRT($B$13*($B$7+$B$8^2))*$B$9*(1-$B$10))</f>
        <v>4008.6167361922</v>
      </c>
      <c r="Q930" s="14" t="n">
        <f aca="true">$B$16+NORMINV(RAND(),0,SQRT($B$13*($B$7+$B$8^2))*$B$9*(1-$B$10))</f>
        <v>4137.19753901615</v>
      </c>
      <c r="R930" s="14" t="n">
        <f aca="false">$B$4-13*($B$5+$B$6)/30-IF($B$11&lt;=13,$B$12,0)+0</f>
        <v>8876.66666666667</v>
      </c>
      <c r="S930" s="14" t="n">
        <f aca="false">$B$4-27*($B$5+$B$6)/30-IF($B$11&lt;=27,$B$12,0)+L930</f>
        <v>10661.6562495824</v>
      </c>
      <c r="T930" s="14" t="n">
        <f aca="false">$B$4-41*($B$5+$B$6)/30-IF($B$11&lt;=41,$B$12,0)+L930+M930</f>
        <v>1152.3056847274</v>
      </c>
      <c r="U930" s="14" t="n">
        <f aca="false">$B$4-55*($B$5+$B$6)/30-IF($B$11&lt;=55,$B$12,0)+L930+M930+N930</f>
        <v>3229.94539821775</v>
      </c>
      <c r="V930" s="14" t="n">
        <f aca="false">$B$4-69*($B$5+$B$6)/30-IF($B$11&lt;=69,$B$12,0)+L930+M930+N930+O930</f>
        <v>4677.17839085156</v>
      </c>
      <c r="W930" s="14" t="n">
        <f aca="false">$B$4-83*($B$5+$B$6)/30-IF($B$11&lt;=83,$B$12,0)+L930+M930+N930+O930+P930</f>
        <v>6399.1284603771</v>
      </c>
      <c r="X930" s="14" t="n">
        <f aca="false">$B$4-90*($B$5+$B$6)/30-IF($B$11&lt;=90,$B$12,0)+L930+M930+N930+O930+P930+Q930</f>
        <v>9392.99266605992</v>
      </c>
      <c r="AA930" s="14" t="n">
        <f aca="false">MIN(R930:X930)</f>
        <v>1152.3056847274</v>
      </c>
    </row>
    <row r="931" customFormat="false" ht="15" hidden="false" customHeight="false" outlineLevel="0" collapsed="false">
      <c r="K931" s="2" t="n">
        <v>926</v>
      </c>
      <c r="L931" s="14" t="n">
        <f aca="true">$B$16+NORMINV(RAND(),0,SQRT($B$13*($B$7+$B$8^2))*$B$9*(1-$B$10))</f>
        <v>3763.32894930942</v>
      </c>
      <c r="M931" s="14" t="n">
        <f aca="true">$B$16+NORMINV(RAND(),0,SQRT($B$13*($B$7+$B$8^2))*$B$9*(1-$B$10))</f>
        <v>4451.29815963707</v>
      </c>
      <c r="N931" s="14" t="n">
        <f aca="true">$B$16+NORMINV(RAND(),0,SQRT($B$13*($B$7+$B$8^2))*$B$9*(1-$B$10))</f>
        <v>3846.44158441192</v>
      </c>
      <c r="O931" s="14" t="n">
        <f aca="true">$B$16+NORMINV(RAND(),0,SQRT($B$13*($B$7+$B$8^2))*$B$9*(1-$B$10))</f>
        <v>3911.2595089077</v>
      </c>
      <c r="P931" s="14" t="n">
        <f aca="true">$B$16+NORMINV(RAND(),0,SQRT($B$13*($B$7+$B$8^2))*$B$9*(1-$B$10))</f>
        <v>4436.56600471457</v>
      </c>
      <c r="Q931" s="14" t="n">
        <f aca="true">$B$16+NORMINV(RAND(),0,SQRT($B$13*($B$7+$B$8^2))*$B$9*(1-$B$10))</f>
        <v>3278.2483119</v>
      </c>
      <c r="R931" s="14" t="n">
        <f aca="false">$B$4-13*($B$5+$B$6)/30-IF($B$11&lt;=13,$B$12,0)+0</f>
        <v>8876.66666666667</v>
      </c>
      <c r="S931" s="14" t="n">
        <f aca="false">$B$4-27*($B$5+$B$6)/30-IF($B$11&lt;=27,$B$12,0)+L931</f>
        <v>10353.3289493094</v>
      </c>
      <c r="T931" s="14" t="n">
        <f aca="false">$B$4-41*($B$5+$B$6)/30-IF($B$11&lt;=41,$B$12,0)+L931+M931</f>
        <v>1333.16044227982</v>
      </c>
      <c r="U931" s="14" t="n">
        <f aca="false">$B$4-55*($B$5+$B$6)/30-IF($B$11&lt;=55,$B$12,0)+L931+M931+N931</f>
        <v>2892.93536002507</v>
      </c>
      <c r="V931" s="14" t="n">
        <f aca="false">$B$4-69*($B$5+$B$6)/30-IF($B$11&lt;=69,$B$12,0)+L931+M931+N931+O931</f>
        <v>4517.52820226611</v>
      </c>
      <c r="W931" s="14" t="n">
        <f aca="false">$B$4-83*($B$5+$B$6)/30-IF($B$11&lt;=83,$B$12,0)+L931+M931+N931+O931+P931</f>
        <v>6667.42754031401</v>
      </c>
      <c r="X931" s="14" t="n">
        <f aca="false">$B$4-90*($B$5+$B$6)/30-IF($B$11&lt;=90,$B$12,0)+L931+M931+N931+O931+P931+Q931</f>
        <v>8802.34251888067</v>
      </c>
      <c r="AA931" s="14" t="n">
        <f aca="false">MIN(R931:X931)</f>
        <v>1333.16044227982</v>
      </c>
    </row>
    <row r="932" customFormat="false" ht="15" hidden="false" customHeight="false" outlineLevel="0" collapsed="false">
      <c r="K932" s="2" t="n">
        <v>927</v>
      </c>
      <c r="L932" s="14" t="n">
        <f aca="true">$B$16+NORMINV(RAND(),0,SQRT($B$13*($B$7+$B$8^2))*$B$9*(1-$B$10))</f>
        <v>4516.04801651053</v>
      </c>
      <c r="M932" s="14" t="n">
        <f aca="true">$B$16+NORMINV(RAND(),0,SQRT($B$13*($B$7+$B$8^2))*$B$9*(1-$B$10))</f>
        <v>3730.04623458271</v>
      </c>
      <c r="N932" s="14" t="n">
        <f aca="true">$B$16+NORMINV(RAND(),0,SQRT($B$13*($B$7+$B$8^2))*$B$9*(1-$B$10))</f>
        <v>4132.96796399954</v>
      </c>
      <c r="O932" s="14" t="n">
        <f aca="true">$B$16+NORMINV(RAND(),0,SQRT($B$13*($B$7+$B$8^2))*$B$9*(1-$B$10))</f>
        <v>4379.56024024695</v>
      </c>
      <c r="P932" s="14" t="n">
        <f aca="true">$B$16+NORMINV(RAND(),0,SQRT($B$13*($B$7+$B$8^2))*$B$9*(1-$B$10))</f>
        <v>3718.17594397413</v>
      </c>
      <c r="Q932" s="14" t="n">
        <f aca="true">$B$16+NORMINV(RAND(),0,SQRT($B$13*($B$7+$B$8^2))*$B$9*(1-$B$10))</f>
        <v>4251.2441418613</v>
      </c>
      <c r="R932" s="14" t="n">
        <f aca="false">$B$4-13*($B$5+$B$6)/30-IF($B$11&lt;=13,$B$12,0)+0</f>
        <v>8876.66666666667</v>
      </c>
      <c r="S932" s="14" t="n">
        <f aca="false">$B$4-27*($B$5+$B$6)/30-IF($B$11&lt;=27,$B$12,0)+L932</f>
        <v>11106.0480165105</v>
      </c>
      <c r="T932" s="14" t="n">
        <f aca="false">$B$4-41*($B$5+$B$6)/30-IF($B$11&lt;=41,$B$12,0)+L932+M932</f>
        <v>1364.62758442657</v>
      </c>
      <c r="U932" s="14" t="n">
        <f aca="false">$B$4-55*($B$5+$B$6)/30-IF($B$11&lt;=55,$B$12,0)+L932+M932+N932</f>
        <v>3210.92888175945</v>
      </c>
      <c r="V932" s="14" t="n">
        <f aca="false">$B$4-69*($B$5+$B$6)/30-IF($B$11&lt;=69,$B$12,0)+L932+M932+N932+O932</f>
        <v>5303.82245533973</v>
      </c>
      <c r="W932" s="14" t="n">
        <f aca="false">$B$4-83*($B$5+$B$6)/30-IF($B$11&lt;=83,$B$12,0)+L932+M932+N932+O932+P932</f>
        <v>6735.3317326472</v>
      </c>
      <c r="X932" s="14" t="n">
        <f aca="false">$B$4-90*($B$5+$B$6)/30-IF($B$11&lt;=90,$B$12,0)+L932+M932+N932+O932+P932+Q932</f>
        <v>9843.24254117517</v>
      </c>
      <c r="AA932" s="14" t="n">
        <f aca="false">MIN(R932:X932)</f>
        <v>1364.62758442657</v>
      </c>
    </row>
    <row r="933" customFormat="false" ht="15" hidden="false" customHeight="false" outlineLevel="0" collapsed="false">
      <c r="K933" s="2" t="n">
        <v>928</v>
      </c>
      <c r="L933" s="14" t="n">
        <f aca="true">$B$16+NORMINV(RAND(),0,SQRT($B$13*($B$7+$B$8^2))*$B$9*(1-$B$10))</f>
        <v>3443.96817636608</v>
      </c>
      <c r="M933" s="14" t="n">
        <f aca="true">$B$16+NORMINV(RAND(),0,SQRT($B$13*($B$7+$B$8^2))*$B$9*(1-$B$10))</f>
        <v>4118.25735440063</v>
      </c>
      <c r="N933" s="14" t="n">
        <f aca="true">$B$16+NORMINV(RAND(),0,SQRT($B$13*($B$7+$B$8^2))*$B$9*(1-$B$10))</f>
        <v>4086.33022185057</v>
      </c>
      <c r="O933" s="14" t="n">
        <f aca="true">$B$16+NORMINV(RAND(),0,SQRT($B$13*($B$7+$B$8^2))*$B$9*(1-$B$10))</f>
        <v>4572.97553380991</v>
      </c>
      <c r="P933" s="14" t="n">
        <f aca="true">$B$16+NORMINV(RAND(),0,SQRT($B$13*($B$7+$B$8^2))*$B$9*(1-$B$10))</f>
        <v>3515.78545588613</v>
      </c>
      <c r="Q933" s="14" t="n">
        <f aca="true">$B$16+NORMINV(RAND(),0,SQRT($B$13*($B$7+$B$8^2))*$B$9*(1-$B$10))</f>
        <v>4190.81172791014</v>
      </c>
      <c r="R933" s="14" t="n">
        <f aca="false">$B$4-13*($B$5+$B$6)/30-IF($B$11&lt;=13,$B$12,0)+0</f>
        <v>8876.66666666667</v>
      </c>
      <c r="S933" s="14" t="n">
        <f aca="false">$B$4-27*($B$5+$B$6)/30-IF($B$11&lt;=27,$B$12,0)+L933</f>
        <v>10033.9681763661</v>
      </c>
      <c r="T933" s="14" t="n">
        <f aca="false">$B$4-41*($B$5+$B$6)/30-IF($B$11&lt;=41,$B$12,0)+L933+M933</f>
        <v>680.758864100041</v>
      </c>
      <c r="U933" s="14" t="n">
        <f aca="false">$B$4-55*($B$5+$B$6)/30-IF($B$11&lt;=55,$B$12,0)+L933+M933+N933</f>
        <v>2480.42241928395</v>
      </c>
      <c r="V933" s="14" t="n">
        <f aca="false">$B$4-69*($B$5+$B$6)/30-IF($B$11&lt;=69,$B$12,0)+L933+M933+N933+O933</f>
        <v>4766.73128642719</v>
      </c>
      <c r="W933" s="14" t="n">
        <f aca="false">$B$4-83*($B$5+$B$6)/30-IF($B$11&lt;=83,$B$12,0)+L933+M933+N933+O933+P933</f>
        <v>5995.85007564666</v>
      </c>
      <c r="X933" s="14" t="n">
        <f aca="false">$B$4-90*($B$5+$B$6)/30-IF($B$11&lt;=90,$B$12,0)+L933+M933+N933+O933+P933+Q933</f>
        <v>9043.32847022347</v>
      </c>
      <c r="AA933" s="14" t="n">
        <f aca="false">MIN(R933:X933)</f>
        <v>680.758864100041</v>
      </c>
    </row>
    <row r="934" customFormat="false" ht="15" hidden="false" customHeight="false" outlineLevel="0" collapsed="false">
      <c r="K934" s="2" t="n">
        <v>929</v>
      </c>
      <c r="L934" s="14" t="n">
        <f aca="true">$B$16+NORMINV(RAND(),0,SQRT($B$13*($B$7+$B$8^2))*$B$9*(1-$B$10))</f>
        <v>4303.0829878997</v>
      </c>
      <c r="M934" s="14" t="n">
        <f aca="true">$B$16+NORMINV(RAND(),0,SQRT($B$13*($B$7+$B$8^2))*$B$9*(1-$B$10))</f>
        <v>3228.76584382251</v>
      </c>
      <c r="N934" s="14" t="n">
        <f aca="true">$B$16+NORMINV(RAND(),0,SQRT($B$13*($B$7+$B$8^2))*$B$9*(1-$B$10))</f>
        <v>4735.92771917454</v>
      </c>
      <c r="O934" s="14" t="n">
        <f aca="true">$B$16+NORMINV(RAND(),0,SQRT($B$13*($B$7+$B$8^2))*$B$9*(1-$B$10))</f>
        <v>4258.58374482805</v>
      </c>
      <c r="P934" s="14" t="n">
        <f aca="true">$B$16+NORMINV(RAND(),0,SQRT($B$13*($B$7+$B$8^2))*$B$9*(1-$B$10))</f>
        <v>3907.15629821524</v>
      </c>
      <c r="Q934" s="14" t="n">
        <f aca="true">$B$16+NORMINV(RAND(),0,SQRT($B$13*($B$7+$B$8^2))*$B$9*(1-$B$10))</f>
        <v>4377.87500508482</v>
      </c>
      <c r="R934" s="14" t="n">
        <f aca="false">$B$4-13*($B$5+$B$6)/30-IF($B$11&lt;=13,$B$12,0)+0</f>
        <v>8876.66666666667</v>
      </c>
      <c r="S934" s="14" t="n">
        <f aca="false">$B$4-27*($B$5+$B$6)/30-IF($B$11&lt;=27,$B$12,0)+L934</f>
        <v>10893.0829878997</v>
      </c>
      <c r="T934" s="14" t="n">
        <f aca="false">$B$4-41*($B$5+$B$6)/30-IF($B$11&lt;=41,$B$12,0)+L934+M934</f>
        <v>650.382165055547</v>
      </c>
      <c r="U934" s="14" t="n">
        <f aca="false">$B$4-55*($B$5+$B$6)/30-IF($B$11&lt;=55,$B$12,0)+L934+M934+N934</f>
        <v>3099.64321756342</v>
      </c>
      <c r="V934" s="14" t="n">
        <f aca="false">$B$4-69*($B$5+$B$6)/30-IF($B$11&lt;=69,$B$12,0)+L934+M934+N934+O934</f>
        <v>5071.56029572481</v>
      </c>
      <c r="W934" s="14" t="n">
        <f aca="false">$B$4-83*($B$5+$B$6)/30-IF($B$11&lt;=83,$B$12,0)+L934+M934+N934+O934+P934</f>
        <v>6692.04992727338</v>
      </c>
      <c r="X934" s="14" t="n">
        <f aca="false">$B$4-90*($B$5+$B$6)/30-IF($B$11&lt;=90,$B$12,0)+L934+M934+N934+O934+P934+Q934</f>
        <v>9926.59159902487</v>
      </c>
      <c r="AA934" s="14" t="n">
        <f aca="false">MIN(R934:X934)</f>
        <v>650.382165055547</v>
      </c>
    </row>
    <row r="935" customFormat="false" ht="15" hidden="false" customHeight="false" outlineLevel="0" collapsed="false">
      <c r="K935" s="2" t="n">
        <v>930</v>
      </c>
      <c r="L935" s="14" t="n">
        <f aca="true">$B$16+NORMINV(RAND(),0,SQRT($B$13*($B$7+$B$8^2))*$B$9*(1-$B$10))</f>
        <v>3931.07067629823</v>
      </c>
      <c r="M935" s="14" t="n">
        <f aca="true">$B$16+NORMINV(RAND(),0,SQRT($B$13*($B$7+$B$8^2))*$B$9*(1-$B$10))</f>
        <v>4578.39439767841</v>
      </c>
      <c r="N935" s="14" t="n">
        <f aca="true">$B$16+NORMINV(RAND(),0,SQRT($B$13*($B$7+$B$8^2))*$B$9*(1-$B$10))</f>
        <v>4583.72588024983</v>
      </c>
      <c r="O935" s="14" t="n">
        <f aca="true">$B$16+NORMINV(RAND(),0,SQRT($B$13*($B$7+$B$8^2))*$B$9*(1-$B$10))</f>
        <v>4055.6075457286</v>
      </c>
      <c r="P935" s="14" t="n">
        <f aca="true">$B$16+NORMINV(RAND(),0,SQRT($B$13*($B$7+$B$8^2))*$B$9*(1-$B$10))</f>
        <v>4305.4841884849</v>
      </c>
      <c r="Q935" s="14" t="n">
        <f aca="true">$B$16+NORMINV(RAND(),0,SQRT($B$13*($B$7+$B$8^2))*$B$9*(1-$B$10))</f>
        <v>4231.79324243778</v>
      </c>
      <c r="R935" s="14" t="n">
        <f aca="false">$B$4-13*($B$5+$B$6)/30-IF($B$11&lt;=13,$B$12,0)+0</f>
        <v>8876.66666666667</v>
      </c>
      <c r="S935" s="14" t="n">
        <f aca="false">$B$4-27*($B$5+$B$6)/30-IF($B$11&lt;=27,$B$12,0)+L935</f>
        <v>10521.0706762982</v>
      </c>
      <c r="T935" s="14" t="n">
        <f aca="false">$B$4-41*($B$5+$B$6)/30-IF($B$11&lt;=41,$B$12,0)+L935+M935</f>
        <v>1627.99840730996</v>
      </c>
      <c r="U935" s="14" t="n">
        <f aca="false">$B$4-55*($B$5+$B$6)/30-IF($B$11&lt;=55,$B$12,0)+L935+M935+N935</f>
        <v>3925.05762089313</v>
      </c>
      <c r="V935" s="14" t="n">
        <f aca="false">$B$4-69*($B$5+$B$6)/30-IF($B$11&lt;=69,$B$12,0)+L935+M935+N935+O935</f>
        <v>5693.99849995507</v>
      </c>
      <c r="W935" s="14" t="n">
        <f aca="false">$B$4-83*($B$5+$B$6)/30-IF($B$11&lt;=83,$B$12,0)+L935+M935+N935+O935+P935</f>
        <v>7712.8160217733</v>
      </c>
      <c r="X935" s="14" t="n">
        <f aca="false">$B$4-90*($B$5+$B$6)/30-IF($B$11&lt;=90,$B$12,0)+L935+M935+N935+O935+P935+Q935</f>
        <v>10801.2759308777</v>
      </c>
      <c r="AA935" s="14" t="n">
        <f aca="false">MIN(R935:X935)</f>
        <v>1627.99840730996</v>
      </c>
    </row>
    <row r="936" customFormat="false" ht="15" hidden="false" customHeight="false" outlineLevel="0" collapsed="false">
      <c r="K936" s="2" t="n">
        <v>931</v>
      </c>
      <c r="L936" s="14" t="n">
        <f aca="true">$B$16+NORMINV(RAND(),0,SQRT($B$13*($B$7+$B$8^2))*$B$9*(1-$B$10))</f>
        <v>3921.2003059504</v>
      </c>
      <c r="M936" s="14" t="n">
        <f aca="true">$B$16+NORMINV(RAND(),0,SQRT($B$13*($B$7+$B$8^2))*$B$9*(1-$B$10))</f>
        <v>3738.08080244204</v>
      </c>
      <c r="N936" s="14" t="n">
        <f aca="true">$B$16+NORMINV(RAND(),0,SQRT($B$13*($B$7+$B$8^2))*$B$9*(1-$B$10))</f>
        <v>4200.29946745165</v>
      </c>
      <c r="O936" s="14" t="n">
        <f aca="true">$B$16+NORMINV(RAND(),0,SQRT($B$13*($B$7+$B$8^2))*$B$9*(1-$B$10))</f>
        <v>4137.37778328289</v>
      </c>
      <c r="P936" s="14" t="n">
        <f aca="true">$B$16+NORMINV(RAND(),0,SQRT($B$13*($B$7+$B$8^2))*$B$9*(1-$B$10))</f>
        <v>3992.60513090388</v>
      </c>
      <c r="Q936" s="14" t="n">
        <f aca="true">$B$16+NORMINV(RAND(),0,SQRT($B$13*($B$7+$B$8^2))*$B$9*(1-$B$10))</f>
        <v>4636.9127049083</v>
      </c>
      <c r="R936" s="14" t="n">
        <f aca="false">$B$4-13*($B$5+$B$6)/30-IF($B$11&lt;=13,$B$12,0)+0</f>
        <v>8876.66666666667</v>
      </c>
      <c r="S936" s="14" t="n">
        <f aca="false">$B$4-27*($B$5+$B$6)/30-IF($B$11&lt;=27,$B$12,0)+L936</f>
        <v>10511.2003059504</v>
      </c>
      <c r="T936" s="14" t="n">
        <f aca="false">$B$4-41*($B$5+$B$6)/30-IF($B$11&lt;=41,$B$12,0)+L936+M936</f>
        <v>777.814441725769</v>
      </c>
      <c r="U936" s="14" t="n">
        <f aca="false">$B$4-55*($B$5+$B$6)/30-IF($B$11&lt;=55,$B$12,0)+L936+M936+N936</f>
        <v>2691.44724251075</v>
      </c>
      <c r="V936" s="14" t="n">
        <f aca="false">$B$4-69*($B$5+$B$6)/30-IF($B$11&lt;=69,$B$12,0)+L936+M936+N936+O936</f>
        <v>4542.15835912698</v>
      </c>
      <c r="W936" s="14" t="n">
        <f aca="false">$B$4-83*($B$5+$B$6)/30-IF($B$11&lt;=83,$B$12,0)+L936+M936+N936+O936+P936</f>
        <v>6248.0968233642</v>
      </c>
      <c r="X936" s="14" t="n">
        <f aca="false">$B$4-90*($B$5+$B$6)/30-IF($B$11&lt;=90,$B$12,0)+L936+M936+N936+O936+P936+Q936</f>
        <v>9741.67619493916</v>
      </c>
      <c r="AA936" s="14" t="n">
        <f aca="false">MIN(R936:X936)</f>
        <v>777.814441725769</v>
      </c>
    </row>
    <row r="937" customFormat="false" ht="15" hidden="false" customHeight="false" outlineLevel="0" collapsed="false">
      <c r="K937" s="2" t="n">
        <v>932</v>
      </c>
      <c r="L937" s="14" t="n">
        <f aca="true">$B$16+NORMINV(RAND(),0,SQRT($B$13*($B$7+$B$8^2))*$B$9*(1-$B$10))</f>
        <v>4424.87770109824</v>
      </c>
      <c r="M937" s="14" t="n">
        <f aca="true">$B$16+NORMINV(RAND(),0,SQRT($B$13*($B$7+$B$8^2))*$B$9*(1-$B$10))</f>
        <v>4915.70835455518</v>
      </c>
      <c r="N937" s="14" t="n">
        <f aca="true">$B$16+NORMINV(RAND(),0,SQRT($B$13*($B$7+$B$8^2))*$B$9*(1-$B$10))</f>
        <v>3741.26078546265</v>
      </c>
      <c r="O937" s="14" t="n">
        <f aca="true">$B$16+NORMINV(RAND(),0,SQRT($B$13*($B$7+$B$8^2))*$B$9*(1-$B$10))</f>
        <v>3855.03868851939</v>
      </c>
      <c r="P937" s="14" t="n">
        <f aca="true">$B$16+NORMINV(RAND(),0,SQRT($B$13*($B$7+$B$8^2))*$B$9*(1-$B$10))</f>
        <v>3879.42669744958</v>
      </c>
      <c r="Q937" s="14" t="n">
        <f aca="true">$B$16+NORMINV(RAND(),0,SQRT($B$13*($B$7+$B$8^2))*$B$9*(1-$B$10))</f>
        <v>3898.40766638372</v>
      </c>
      <c r="R937" s="14" t="n">
        <f aca="false">$B$4-13*($B$5+$B$6)/30-IF($B$11&lt;=13,$B$12,0)+0</f>
        <v>8876.66666666667</v>
      </c>
      <c r="S937" s="14" t="n">
        <f aca="false">$B$4-27*($B$5+$B$6)/30-IF($B$11&lt;=27,$B$12,0)+L937</f>
        <v>11014.8777010982</v>
      </c>
      <c r="T937" s="14" t="n">
        <f aca="false">$B$4-41*($B$5+$B$6)/30-IF($B$11&lt;=41,$B$12,0)+L937+M937</f>
        <v>2459.11938898675</v>
      </c>
      <c r="U937" s="14" t="n">
        <f aca="false">$B$4-55*($B$5+$B$6)/30-IF($B$11&lt;=55,$B$12,0)+L937+M937+N937</f>
        <v>3913.71350778274</v>
      </c>
      <c r="V937" s="14" t="n">
        <f aca="false">$B$4-69*($B$5+$B$6)/30-IF($B$11&lt;=69,$B$12,0)+L937+M937+N937+O937</f>
        <v>5482.08552963546</v>
      </c>
      <c r="W937" s="14" t="n">
        <f aca="false">$B$4-83*($B$5+$B$6)/30-IF($B$11&lt;=83,$B$12,0)+L937+M937+N937+O937+P937</f>
        <v>7074.84556041838</v>
      </c>
      <c r="X937" s="14" t="n">
        <f aca="false">$B$4-90*($B$5+$B$6)/30-IF($B$11&lt;=90,$B$12,0)+L937+M937+N937+O937+P937+Q937</f>
        <v>9829.91989346876</v>
      </c>
      <c r="AA937" s="14" t="n">
        <f aca="false">MIN(R937:X937)</f>
        <v>2459.11938898675</v>
      </c>
    </row>
    <row r="938" customFormat="false" ht="15" hidden="false" customHeight="false" outlineLevel="0" collapsed="false">
      <c r="K938" s="2" t="n">
        <v>933</v>
      </c>
      <c r="L938" s="14" t="n">
        <f aca="true">$B$16+NORMINV(RAND(),0,SQRT($B$13*($B$7+$B$8^2))*$B$9*(1-$B$10))</f>
        <v>3914.57403495987</v>
      </c>
      <c r="M938" s="14" t="n">
        <f aca="true">$B$16+NORMINV(RAND(),0,SQRT($B$13*($B$7+$B$8^2))*$B$9*(1-$B$10))</f>
        <v>4625.88251072815</v>
      </c>
      <c r="N938" s="14" t="n">
        <f aca="true">$B$16+NORMINV(RAND(),0,SQRT($B$13*($B$7+$B$8^2))*$B$9*(1-$B$10))</f>
        <v>4090.13826828888</v>
      </c>
      <c r="O938" s="14" t="n">
        <f aca="true">$B$16+NORMINV(RAND(),0,SQRT($B$13*($B$7+$B$8^2))*$B$9*(1-$B$10))</f>
        <v>3260.29627876657</v>
      </c>
      <c r="P938" s="14" t="n">
        <f aca="true">$B$16+NORMINV(RAND(),0,SQRT($B$13*($B$7+$B$8^2))*$B$9*(1-$B$10))</f>
        <v>4177.93772261446</v>
      </c>
      <c r="Q938" s="14" t="n">
        <f aca="true">$B$16+NORMINV(RAND(),0,SQRT($B$13*($B$7+$B$8^2))*$B$9*(1-$B$10))</f>
        <v>3651.45340446216</v>
      </c>
      <c r="R938" s="14" t="n">
        <f aca="false">$B$4-13*($B$5+$B$6)/30-IF($B$11&lt;=13,$B$12,0)+0</f>
        <v>8876.66666666667</v>
      </c>
      <c r="S938" s="14" t="n">
        <f aca="false">$B$4-27*($B$5+$B$6)/30-IF($B$11&lt;=27,$B$12,0)+L938</f>
        <v>10504.5740349599</v>
      </c>
      <c r="T938" s="14" t="n">
        <f aca="false">$B$4-41*($B$5+$B$6)/30-IF($B$11&lt;=41,$B$12,0)+L938+M938</f>
        <v>1658.98987902135</v>
      </c>
      <c r="U938" s="14" t="n">
        <f aca="false">$B$4-55*($B$5+$B$6)/30-IF($B$11&lt;=55,$B$12,0)+L938+M938+N938</f>
        <v>3462.46148064356</v>
      </c>
      <c r="V938" s="14" t="n">
        <f aca="false">$B$4-69*($B$5+$B$6)/30-IF($B$11&lt;=69,$B$12,0)+L938+M938+N938+O938</f>
        <v>4436.09109274346</v>
      </c>
      <c r="W938" s="14" t="n">
        <f aca="false">$B$4-83*($B$5+$B$6)/30-IF($B$11&lt;=83,$B$12,0)+L938+M938+N938+O938+P938</f>
        <v>6327.36214869125</v>
      </c>
      <c r="X938" s="14" t="n">
        <f aca="false">$B$4-90*($B$5+$B$6)/30-IF($B$11&lt;=90,$B$12,0)+L938+M938+N938+O938+P938+Q938</f>
        <v>8835.48221982007</v>
      </c>
      <c r="AA938" s="14" t="n">
        <f aca="false">MIN(R938:X938)</f>
        <v>1658.98987902135</v>
      </c>
    </row>
    <row r="939" customFormat="false" ht="15" hidden="false" customHeight="false" outlineLevel="0" collapsed="false">
      <c r="K939" s="2" t="n">
        <v>934</v>
      </c>
      <c r="L939" s="14" t="n">
        <f aca="true">$B$16+NORMINV(RAND(),0,SQRT($B$13*($B$7+$B$8^2))*$B$9*(1-$B$10))</f>
        <v>3981.69700069298</v>
      </c>
      <c r="M939" s="14" t="n">
        <f aca="true">$B$16+NORMINV(RAND(),0,SQRT($B$13*($B$7+$B$8^2))*$B$9*(1-$B$10))</f>
        <v>3936.12577878727</v>
      </c>
      <c r="N939" s="14" t="n">
        <f aca="true">$B$16+NORMINV(RAND(),0,SQRT($B$13*($B$7+$B$8^2))*$B$9*(1-$B$10))</f>
        <v>4111.93400812083</v>
      </c>
      <c r="O939" s="14" t="n">
        <f aca="true">$B$16+NORMINV(RAND(),0,SQRT($B$13*($B$7+$B$8^2))*$B$9*(1-$B$10))</f>
        <v>4287.57698267271</v>
      </c>
      <c r="P939" s="14" t="n">
        <f aca="true">$B$16+NORMINV(RAND(),0,SQRT($B$13*($B$7+$B$8^2))*$B$9*(1-$B$10))</f>
        <v>3889.96714252784</v>
      </c>
      <c r="Q939" s="14" t="n">
        <f aca="true">$B$16+NORMINV(RAND(),0,SQRT($B$13*($B$7+$B$8^2))*$B$9*(1-$B$10))</f>
        <v>3962.37812202438</v>
      </c>
      <c r="R939" s="14" t="n">
        <f aca="false">$B$4-13*($B$5+$B$6)/30-IF($B$11&lt;=13,$B$12,0)+0</f>
        <v>8876.66666666667</v>
      </c>
      <c r="S939" s="14" t="n">
        <f aca="false">$B$4-27*($B$5+$B$6)/30-IF($B$11&lt;=27,$B$12,0)+L939</f>
        <v>10571.697000693</v>
      </c>
      <c r="T939" s="14" t="n">
        <f aca="false">$B$4-41*($B$5+$B$6)/30-IF($B$11&lt;=41,$B$12,0)+L939+M939</f>
        <v>1036.35611281359</v>
      </c>
      <c r="U939" s="14" t="n">
        <f aca="false">$B$4-55*($B$5+$B$6)/30-IF($B$11&lt;=55,$B$12,0)+L939+M939+N939</f>
        <v>2861.62345426774</v>
      </c>
      <c r="V939" s="14" t="n">
        <f aca="false">$B$4-69*($B$5+$B$6)/30-IF($B$11&lt;=69,$B$12,0)+L939+M939+N939+O939</f>
        <v>4862.53377027379</v>
      </c>
      <c r="W939" s="14" t="n">
        <f aca="false">$B$4-83*($B$5+$B$6)/30-IF($B$11&lt;=83,$B$12,0)+L939+M939+N939+O939+P939</f>
        <v>6465.83424613496</v>
      </c>
      <c r="X939" s="14" t="n">
        <f aca="false">$B$4-90*($B$5+$B$6)/30-IF($B$11&lt;=90,$B$12,0)+L939+M939+N939+O939+P939+Q939</f>
        <v>9284.879034826</v>
      </c>
      <c r="AA939" s="14" t="n">
        <f aca="false">MIN(R939:X939)</f>
        <v>1036.35611281359</v>
      </c>
    </row>
    <row r="940" customFormat="false" ht="15" hidden="false" customHeight="false" outlineLevel="0" collapsed="false">
      <c r="K940" s="2" t="n">
        <v>935</v>
      </c>
      <c r="L940" s="14" t="n">
        <f aca="true">$B$16+NORMINV(RAND(),0,SQRT($B$13*($B$7+$B$8^2))*$B$9*(1-$B$10))</f>
        <v>4083.12603913783</v>
      </c>
      <c r="M940" s="14" t="n">
        <f aca="true">$B$16+NORMINV(RAND(),0,SQRT($B$13*($B$7+$B$8^2))*$B$9*(1-$B$10))</f>
        <v>3635.59119435903</v>
      </c>
      <c r="N940" s="14" t="n">
        <f aca="true">$B$16+NORMINV(RAND(),0,SQRT($B$13*($B$7+$B$8^2))*$B$9*(1-$B$10))</f>
        <v>3959.94237310702</v>
      </c>
      <c r="O940" s="14" t="n">
        <f aca="true">$B$16+NORMINV(RAND(),0,SQRT($B$13*($B$7+$B$8^2))*$B$9*(1-$B$10))</f>
        <v>4136.38081634031</v>
      </c>
      <c r="P940" s="14" t="n">
        <f aca="true">$B$16+NORMINV(RAND(),0,SQRT($B$13*($B$7+$B$8^2))*$B$9*(1-$B$10))</f>
        <v>3111.32456617921</v>
      </c>
      <c r="Q940" s="14" t="n">
        <f aca="true">$B$16+NORMINV(RAND(),0,SQRT($B$13*($B$7+$B$8^2))*$B$9*(1-$B$10))</f>
        <v>4015.18149212582</v>
      </c>
      <c r="R940" s="14" t="n">
        <f aca="false">$B$4-13*($B$5+$B$6)/30-IF($B$11&lt;=13,$B$12,0)+0</f>
        <v>8876.66666666667</v>
      </c>
      <c r="S940" s="14" t="n">
        <f aca="false">$B$4-27*($B$5+$B$6)/30-IF($B$11&lt;=27,$B$12,0)+L940</f>
        <v>10673.1260391378</v>
      </c>
      <c r="T940" s="14" t="n">
        <f aca="false">$B$4-41*($B$5+$B$6)/30-IF($B$11&lt;=41,$B$12,0)+L940+M940</f>
        <v>837.250566830185</v>
      </c>
      <c r="U940" s="14" t="n">
        <f aca="false">$B$4-55*($B$5+$B$6)/30-IF($B$11&lt;=55,$B$12,0)+L940+M940+N940</f>
        <v>2510.52627327054</v>
      </c>
      <c r="V940" s="14" t="n">
        <f aca="false">$B$4-69*($B$5+$B$6)/30-IF($B$11&lt;=69,$B$12,0)+L940+M940+N940+O940</f>
        <v>4360.24042294418</v>
      </c>
      <c r="W940" s="14" t="n">
        <f aca="false">$B$4-83*($B$5+$B$6)/30-IF($B$11&lt;=83,$B$12,0)+L940+M940+N940+O940+P940</f>
        <v>5184.89832245673</v>
      </c>
      <c r="X940" s="14" t="n">
        <f aca="false">$B$4-90*($B$5+$B$6)/30-IF($B$11&lt;=90,$B$12,0)+L940+M940+N940+O940+P940+Q940</f>
        <v>8056.74648124922</v>
      </c>
      <c r="AA940" s="14" t="n">
        <f aca="false">MIN(R940:X940)</f>
        <v>837.250566830185</v>
      </c>
    </row>
    <row r="941" customFormat="false" ht="15" hidden="false" customHeight="false" outlineLevel="0" collapsed="false">
      <c r="K941" s="2" t="n">
        <v>936</v>
      </c>
      <c r="L941" s="14" t="n">
        <f aca="true">$B$16+NORMINV(RAND(),0,SQRT($B$13*($B$7+$B$8^2))*$B$9*(1-$B$10))</f>
        <v>3693.54708326772</v>
      </c>
      <c r="M941" s="14" t="n">
        <f aca="true">$B$16+NORMINV(RAND(),0,SQRT($B$13*($B$7+$B$8^2))*$B$9*(1-$B$10))</f>
        <v>3546.15895041</v>
      </c>
      <c r="N941" s="14" t="n">
        <f aca="true">$B$16+NORMINV(RAND(),0,SQRT($B$13*($B$7+$B$8^2))*$B$9*(1-$B$10))</f>
        <v>4474.20108053907</v>
      </c>
      <c r="O941" s="14" t="n">
        <f aca="true">$B$16+NORMINV(RAND(),0,SQRT($B$13*($B$7+$B$8^2))*$B$9*(1-$B$10))</f>
        <v>4623.12143915883</v>
      </c>
      <c r="P941" s="14" t="n">
        <f aca="true">$B$16+NORMINV(RAND(),0,SQRT($B$13*($B$7+$B$8^2))*$B$9*(1-$B$10))</f>
        <v>3905.45702596077</v>
      </c>
      <c r="Q941" s="14" t="n">
        <f aca="true">$B$16+NORMINV(RAND(),0,SQRT($B$13*($B$7+$B$8^2))*$B$9*(1-$B$10))</f>
        <v>4150.46480413633</v>
      </c>
      <c r="R941" s="14" t="n">
        <f aca="false">$B$4-13*($B$5+$B$6)/30-IF($B$11&lt;=13,$B$12,0)+0</f>
        <v>8876.66666666667</v>
      </c>
      <c r="S941" s="14" t="n">
        <f aca="false">$B$4-27*($B$5+$B$6)/30-IF($B$11&lt;=27,$B$12,0)+L941</f>
        <v>10283.5470832677</v>
      </c>
      <c r="T941" s="14" t="n">
        <f aca="false">$B$4-41*($B$5+$B$6)/30-IF($B$11&lt;=41,$B$12,0)+L941+M941</f>
        <v>358.239367011049</v>
      </c>
      <c r="U941" s="14" t="n">
        <f aca="false">$B$4-55*($B$5+$B$6)/30-IF($B$11&lt;=55,$B$12,0)+L941+M941+N941</f>
        <v>2545.77378088345</v>
      </c>
      <c r="V941" s="14" t="n">
        <f aca="false">$B$4-69*($B$5+$B$6)/30-IF($B$11&lt;=69,$B$12,0)+L941+M941+N941+O941</f>
        <v>4882.22855337562</v>
      </c>
      <c r="W941" s="14" t="n">
        <f aca="false">$B$4-83*($B$5+$B$6)/30-IF($B$11&lt;=83,$B$12,0)+L941+M941+N941+O941+P941</f>
        <v>6501.01891266972</v>
      </c>
      <c r="X941" s="14" t="n">
        <f aca="false">$B$4-90*($B$5+$B$6)/30-IF($B$11&lt;=90,$B$12,0)+L941+M941+N941+O941+P941+Q941</f>
        <v>9508.15038347272</v>
      </c>
      <c r="AA941" s="14" t="n">
        <f aca="false">MIN(R941:X941)</f>
        <v>358.239367011049</v>
      </c>
    </row>
    <row r="942" customFormat="false" ht="15" hidden="false" customHeight="false" outlineLevel="0" collapsed="false">
      <c r="K942" s="2" t="n">
        <v>937</v>
      </c>
      <c r="L942" s="14" t="n">
        <f aca="true">$B$16+NORMINV(RAND(),0,SQRT($B$13*($B$7+$B$8^2))*$B$9*(1-$B$10))</f>
        <v>3835.84965171044</v>
      </c>
      <c r="M942" s="14" t="n">
        <f aca="true">$B$16+NORMINV(RAND(),0,SQRT($B$13*($B$7+$B$8^2))*$B$9*(1-$B$10))</f>
        <v>4268.65563784289</v>
      </c>
      <c r="N942" s="14" t="n">
        <f aca="true">$B$16+NORMINV(RAND(),0,SQRT($B$13*($B$7+$B$8^2))*$B$9*(1-$B$10))</f>
        <v>4200.69421787508</v>
      </c>
      <c r="O942" s="14" t="n">
        <f aca="true">$B$16+NORMINV(RAND(),0,SQRT($B$13*($B$7+$B$8^2))*$B$9*(1-$B$10))</f>
        <v>4258.82745572254</v>
      </c>
      <c r="P942" s="14" t="n">
        <f aca="true">$B$16+NORMINV(RAND(),0,SQRT($B$13*($B$7+$B$8^2))*$B$9*(1-$B$10))</f>
        <v>4622.36100958896</v>
      </c>
      <c r="Q942" s="14" t="n">
        <f aca="true">$B$16+NORMINV(RAND(),0,SQRT($B$13*($B$7+$B$8^2))*$B$9*(1-$B$10))</f>
        <v>4106.1836995071</v>
      </c>
      <c r="R942" s="14" t="n">
        <f aca="false">$B$4-13*($B$5+$B$6)/30-IF($B$11&lt;=13,$B$12,0)+0</f>
        <v>8876.66666666667</v>
      </c>
      <c r="S942" s="14" t="n">
        <f aca="false">$B$4-27*($B$5+$B$6)/30-IF($B$11&lt;=27,$B$12,0)+L942</f>
        <v>10425.8496517104</v>
      </c>
      <c r="T942" s="14" t="n">
        <f aca="false">$B$4-41*($B$5+$B$6)/30-IF($B$11&lt;=41,$B$12,0)+L942+M942</f>
        <v>1223.03862288666</v>
      </c>
      <c r="U942" s="14" t="n">
        <f aca="false">$B$4-55*($B$5+$B$6)/30-IF($B$11&lt;=55,$B$12,0)+L942+M942+N942</f>
        <v>3137.06617409507</v>
      </c>
      <c r="V942" s="14" t="n">
        <f aca="false">$B$4-69*($B$5+$B$6)/30-IF($B$11&lt;=69,$B$12,0)+L942+M942+N942+O942</f>
        <v>5109.22696315095</v>
      </c>
      <c r="W942" s="14" t="n">
        <f aca="false">$B$4-83*($B$5+$B$6)/30-IF($B$11&lt;=83,$B$12,0)+L942+M942+N942+O942+P942</f>
        <v>7444.92130607324</v>
      </c>
      <c r="X942" s="14" t="n">
        <f aca="false">$B$4-90*($B$5+$B$6)/30-IF($B$11&lt;=90,$B$12,0)+L942+M942+N942+O942+P942+Q942</f>
        <v>10407.771672247</v>
      </c>
      <c r="AA942" s="14" t="n">
        <f aca="false">MIN(R942:X942)</f>
        <v>1223.03862288666</v>
      </c>
    </row>
    <row r="943" customFormat="false" ht="15" hidden="false" customHeight="false" outlineLevel="0" collapsed="false">
      <c r="K943" s="2" t="n">
        <v>938</v>
      </c>
      <c r="L943" s="14" t="n">
        <f aca="true">$B$16+NORMINV(RAND(),0,SQRT($B$13*($B$7+$B$8^2))*$B$9*(1-$B$10))</f>
        <v>4343.13556665921</v>
      </c>
      <c r="M943" s="14" t="n">
        <f aca="true">$B$16+NORMINV(RAND(),0,SQRT($B$13*($B$7+$B$8^2))*$B$9*(1-$B$10))</f>
        <v>4561.30144007944</v>
      </c>
      <c r="N943" s="14" t="n">
        <f aca="true">$B$16+NORMINV(RAND(),0,SQRT($B$13*($B$7+$B$8^2))*$B$9*(1-$B$10))</f>
        <v>4413.27429880423</v>
      </c>
      <c r="O943" s="14" t="n">
        <f aca="true">$B$16+NORMINV(RAND(),0,SQRT($B$13*($B$7+$B$8^2))*$B$9*(1-$B$10))</f>
        <v>3782.29809666916</v>
      </c>
      <c r="P943" s="14" t="n">
        <f aca="true">$B$16+NORMINV(RAND(),0,SQRT($B$13*($B$7+$B$8^2))*$B$9*(1-$B$10))</f>
        <v>3729.69070987215</v>
      </c>
      <c r="Q943" s="14" t="n">
        <f aca="true">$B$16+NORMINV(RAND(),0,SQRT($B$13*($B$7+$B$8^2))*$B$9*(1-$B$10))</f>
        <v>4097.16318309488</v>
      </c>
      <c r="R943" s="14" t="n">
        <f aca="false">$B$4-13*($B$5+$B$6)/30-IF($B$11&lt;=13,$B$12,0)+0</f>
        <v>8876.66666666667</v>
      </c>
      <c r="S943" s="14" t="n">
        <f aca="false">$B$4-27*($B$5+$B$6)/30-IF($B$11&lt;=27,$B$12,0)+L943</f>
        <v>10933.1355666592</v>
      </c>
      <c r="T943" s="14" t="n">
        <f aca="false">$B$4-41*($B$5+$B$6)/30-IF($B$11&lt;=41,$B$12,0)+L943+M943</f>
        <v>2022.97034007199</v>
      </c>
      <c r="U943" s="14" t="n">
        <f aca="false">$B$4-55*($B$5+$B$6)/30-IF($B$11&lt;=55,$B$12,0)+L943+M943+N943</f>
        <v>4149.57797220955</v>
      </c>
      <c r="V943" s="14" t="n">
        <f aca="false">$B$4-69*($B$5+$B$6)/30-IF($B$11&lt;=69,$B$12,0)+L943+M943+N943+O943</f>
        <v>5645.20940221204</v>
      </c>
      <c r="W943" s="14" t="n">
        <f aca="false">$B$4-83*($B$5+$B$6)/30-IF($B$11&lt;=83,$B$12,0)+L943+M943+N943+O943+P943</f>
        <v>7088.23344541753</v>
      </c>
      <c r="X943" s="14" t="n">
        <f aca="false">$B$4-90*($B$5+$B$6)/30-IF($B$11&lt;=90,$B$12,0)+L943+M943+N943+O943+P943+Q943</f>
        <v>10042.0632951791</v>
      </c>
      <c r="AA943" s="14" t="n">
        <f aca="false">MIN(R943:X943)</f>
        <v>2022.97034007199</v>
      </c>
    </row>
    <row r="944" customFormat="false" ht="15" hidden="false" customHeight="false" outlineLevel="0" collapsed="false">
      <c r="K944" s="2" t="n">
        <v>939</v>
      </c>
      <c r="L944" s="14" t="n">
        <f aca="true">$B$16+NORMINV(RAND(),0,SQRT($B$13*($B$7+$B$8^2))*$B$9*(1-$B$10))</f>
        <v>4505.93698306756</v>
      </c>
      <c r="M944" s="14" t="n">
        <f aca="true">$B$16+NORMINV(RAND(),0,SQRT($B$13*($B$7+$B$8^2))*$B$9*(1-$B$10))</f>
        <v>3802.56701052784</v>
      </c>
      <c r="N944" s="14" t="n">
        <f aca="true">$B$16+NORMINV(RAND(),0,SQRT($B$13*($B$7+$B$8^2))*$B$9*(1-$B$10))</f>
        <v>4055.75622316643</v>
      </c>
      <c r="O944" s="14" t="n">
        <f aca="true">$B$16+NORMINV(RAND(),0,SQRT($B$13*($B$7+$B$8^2))*$B$9*(1-$B$10))</f>
        <v>3687.52255327817</v>
      </c>
      <c r="P944" s="14" t="n">
        <f aca="true">$B$16+NORMINV(RAND(),0,SQRT($B$13*($B$7+$B$8^2))*$B$9*(1-$B$10))</f>
        <v>4406.41593512306</v>
      </c>
      <c r="Q944" s="14" t="n">
        <f aca="true">$B$16+NORMINV(RAND(),0,SQRT($B$13*($B$7+$B$8^2))*$B$9*(1-$B$10))</f>
        <v>4075.09814650817</v>
      </c>
      <c r="R944" s="14" t="n">
        <f aca="false">$B$4-13*($B$5+$B$6)/30-IF($B$11&lt;=13,$B$12,0)+0</f>
        <v>8876.66666666667</v>
      </c>
      <c r="S944" s="14" t="n">
        <f aca="false">$B$4-27*($B$5+$B$6)/30-IF($B$11&lt;=27,$B$12,0)+L944</f>
        <v>11095.9369830676</v>
      </c>
      <c r="T944" s="14" t="n">
        <f aca="false">$B$4-41*($B$5+$B$6)/30-IF($B$11&lt;=41,$B$12,0)+L944+M944</f>
        <v>1427.03732692874</v>
      </c>
      <c r="U944" s="14" t="n">
        <f aca="false">$B$4-55*($B$5+$B$6)/30-IF($B$11&lt;=55,$B$12,0)+L944+M944+N944</f>
        <v>3196.1268834285</v>
      </c>
      <c r="V944" s="14" t="n">
        <f aca="false">$B$4-69*($B$5+$B$6)/30-IF($B$11&lt;=69,$B$12,0)+L944+M944+N944+O944</f>
        <v>4596.98277004</v>
      </c>
      <c r="W944" s="14" t="n">
        <f aca="false">$B$4-83*($B$5+$B$6)/30-IF($B$11&lt;=83,$B$12,0)+L944+M944+N944+O944+P944</f>
        <v>6716.73203849639</v>
      </c>
      <c r="X944" s="14" t="n">
        <f aca="false">$B$4-90*($B$5+$B$6)/30-IF($B$11&lt;=90,$B$12,0)+L944+M944+N944+O944+P944+Q944</f>
        <v>9648.49685167123</v>
      </c>
      <c r="AA944" s="14" t="n">
        <f aca="false">MIN(R944:X944)</f>
        <v>1427.03732692874</v>
      </c>
    </row>
    <row r="945" customFormat="false" ht="15" hidden="false" customHeight="false" outlineLevel="0" collapsed="false">
      <c r="K945" s="2" t="n">
        <v>940</v>
      </c>
      <c r="L945" s="14" t="n">
        <f aca="true">$B$16+NORMINV(RAND(),0,SQRT($B$13*($B$7+$B$8^2))*$B$9*(1-$B$10))</f>
        <v>4228.28220151834</v>
      </c>
      <c r="M945" s="14" t="n">
        <f aca="true">$B$16+NORMINV(RAND(),0,SQRT($B$13*($B$7+$B$8^2))*$B$9*(1-$B$10))</f>
        <v>4006.10669812367</v>
      </c>
      <c r="N945" s="14" t="n">
        <f aca="true">$B$16+NORMINV(RAND(),0,SQRT($B$13*($B$7+$B$8^2))*$B$9*(1-$B$10))</f>
        <v>4766.87728706224</v>
      </c>
      <c r="O945" s="14" t="n">
        <f aca="true">$B$16+NORMINV(RAND(),0,SQRT($B$13*($B$7+$B$8^2))*$B$9*(1-$B$10))</f>
        <v>3940.11445069324</v>
      </c>
      <c r="P945" s="14" t="n">
        <f aca="true">$B$16+NORMINV(RAND(),0,SQRT($B$13*($B$7+$B$8^2))*$B$9*(1-$B$10))</f>
        <v>4045.15319063275</v>
      </c>
      <c r="Q945" s="14" t="n">
        <f aca="true">$B$16+NORMINV(RAND(),0,SQRT($B$13*($B$7+$B$8^2))*$B$9*(1-$B$10))</f>
        <v>4354.41897721904</v>
      </c>
      <c r="R945" s="14" t="n">
        <f aca="false">$B$4-13*($B$5+$B$6)/30-IF($B$11&lt;=13,$B$12,0)+0</f>
        <v>8876.66666666667</v>
      </c>
      <c r="S945" s="14" t="n">
        <f aca="false">$B$4-27*($B$5+$B$6)/30-IF($B$11&lt;=27,$B$12,0)+L945</f>
        <v>10818.2822015183</v>
      </c>
      <c r="T945" s="14" t="n">
        <f aca="false">$B$4-41*($B$5+$B$6)/30-IF($B$11&lt;=41,$B$12,0)+L945+M945</f>
        <v>1352.92223297534</v>
      </c>
      <c r="U945" s="14" t="n">
        <f aca="false">$B$4-55*($B$5+$B$6)/30-IF($B$11&lt;=55,$B$12,0)+L945+M945+N945</f>
        <v>3833.13285337091</v>
      </c>
      <c r="V945" s="14" t="n">
        <f aca="false">$B$4-69*($B$5+$B$6)/30-IF($B$11&lt;=69,$B$12,0)+L945+M945+N945+O945</f>
        <v>5486.58063739748</v>
      </c>
      <c r="W945" s="14" t="n">
        <f aca="false">$B$4-83*($B$5+$B$6)/30-IF($B$11&lt;=83,$B$12,0)+L945+M945+N945+O945+P945</f>
        <v>7245.06716136357</v>
      </c>
      <c r="X945" s="14" t="n">
        <f aca="false">$B$4-90*($B$5+$B$6)/30-IF($B$11&lt;=90,$B$12,0)+L945+M945+N945+O945+P945+Q945</f>
        <v>10456.1528052493</v>
      </c>
      <c r="AA945" s="14" t="n">
        <f aca="false">MIN(R945:X945)</f>
        <v>1352.92223297534</v>
      </c>
    </row>
    <row r="946" customFormat="false" ht="15" hidden="false" customHeight="false" outlineLevel="0" collapsed="false">
      <c r="K946" s="2" t="n">
        <v>941</v>
      </c>
      <c r="L946" s="14" t="n">
        <f aca="true">$B$16+NORMINV(RAND(),0,SQRT($B$13*($B$7+$B$8^2))*$B$9*(1-$B$10))</f>
        <v>4081.1709260066</v>
      </c>
      <c r="M946" s="14" t="n">
        <f aca="true">$B$16+NORMINV(RAND(),0,SQRT($B$13*($B$7+$B$8^2))*$B$9*(1-$B$10))</f>
        <v>4045.45448141224</v>
      </c>
      <c r="N946" s="14" t="n">
        <f aca="true">$B$16+NORMINV(RAND(),0,SQRT($B$13*($B$7+$B$8^2))*$B$9*(1-$B$10))</f>
        <v>3803.98529317112</v>
      </c>
      <c r="O946" s="14" t="n">
        <f aca="true">$B$16+NORMINV(RAND(),0,SQRT($B$13*($B$7+$B$8^2))*$B$9*(1-$B$10))</f>
        <v>3972.45807771936</v>
      </c>
      <c r="P946" s="14" t="n">
        <f aca="true">$B$16+NORMINV(RAND(),0,SQRT($B$13*($B$7+$B$8^2))*$B$9*(1-$B$10))</f>
        <v>4501.69605422202</v>
      </c>
      <c r="Q946" s="14" t="n">
        <f aca="true">$B$16+NORMINV(RAND(),0,SQRT($B$13*($B$7+$B$8^2))*$B$9*(1-$B$10))</f>
        <v>3679.20514235906</v>
      </c>
      <c r="R946" s="14" t="n">
        <f aca="false">$B$4-13*($B$5+$B$6)/30-IF($B$11&lt;=13,$B$12,0)+0</f>
        <v>8876.66666666667</v>
      </c>
      <c r="S946" s="14" t="n">
        <f aca="false">$B$4-27*($B$5+$B$6)/30-IF($B$11&lt;=27,$B$12,0)+L946</f>
        <v>10671.1709260066</v>
      </c>
      <c r="T946" s="14" t="n">
        <f aca="false">$B$4-41*($B$5+$B$6)/30-IF($B$11&lt;=41,$B$12,0)+L946+M946</f>
        <v>1245.15874075217</v>
      </c>
      <c r="U946" s="14" t="n">
        <f aca="false">$B$4-55*($B$5+$B$6)/30-IF($B$11&lt;=55,$B$12,0)+L946+M946+N946</f>
        <v>2762.47736725662</v>
      </c>
      <c r="V946" s="14" t="n">
        <f aca="false">$B$4-69*($B$5+$B$6)/30-IF($B$11&lt;=69,$B$12,0)+L946+M946+N946+O946</f>
        <v>4448.26877830932</v>
      </c>
      <c r="W946" s="14" t="n">
        <f aca="false">$B$4-83*($B$5+$B$6)/30-IF($B$11&lt;=83,$B$12,0)+L946+M946+N946+O946+P946</f>
        <v>6663.29816586467</v>
      </c>
      <c r="X946" s="14" t="n">
        <f aca="false">$B$4-90*($B$5+$B$6)/30-IF($B$11&lt;=90,$B$12,0)+L946+M946+N946+O946+P946+Q946</f>
        <v>9199.1699748904</v>
      </c>
      <c r="AA946" s="14" t="n">
        <f aca="false">MIN(R946:X946)</f>
        <v>1245.15874075217</v>
      </c>
    </row>
    <row r="947" customFormat="false" ht="15" hidden="false" customHeight="false" outlineLevel="0" collapsed="false">
      <c r="K947" s="2" t="n">
        <v>942</v>
      </c>
      <c r="L947" s="14" t="n">
        <f aca="true">$B$16+NORMINV(RAND(),0,SQRT($B$13*($B$7+$B$8^2))*$B$9*(1-$B$10))</f>
        <v>3687.16153666632</v>
      </c>
      <c r="M947" s="14" t="n">
        <f aca="true">$B$16+NORMINV(RAND(),0,SQRT($B$13*($B$7+$B$8^2))*$B$9*(1-$B$10))</f>
        <v>4379.38527836043</v>
      </c>
      <c r="N947" s="14" t="n">
        <f aca="true">$B$16+NORMINV(RAND(),0,SQRT($B$13*($B$7+$B$8^2))*$B$9*(1-$B$10))</f>
        <v>3324.53096605725</v>
      </c>
      <c r="O947" s="14" t="n">
        <f aca="true">$B$16+NORMINV(RAND(),0,SQRT($B$13*($B$7+$B$8^2))*$B$9*(1-$B$10))</f>
        <v>4184.34977988884</v>
      </c>
      <c r="P947" s="14" t="n">
        <f aca="true">$B$16+NORMINV(RAND(),0,SQRT($B$13*($B$7+$B$8^2))*$B$9*(1-$B$10))</f>
        <v>4268.14141993093</v>
      </c>
      <c r="Q947" s="14" t="n">
        <f aca="true">$B$16+NORMINV(RAND(),0,SQRT($B$13*($B$7+$B$8^2))*$B$9*(1-$B$10))</f>
        <v>4053.3200965613</v>
      </c>
      <c r="R947" s="14" t="n">
        <f aca="false">$B$4-13*($B$5+$B$6)/30-IF($B$11&lt;=13,$B$12,0)+0</f>
        <v>8876.66666666667</v>
      </c>
      <c r="S947" s="14" t="n">
        <f aca="false">$B$4-27*($B$5+$B$6)/30-IF($B$11&lt;=27,$B$12,0)+L947</f>
        <v>10277.1615366663</v>
      </c>
      <c r="T947" s="14" t="n">
        <f aca="false">$B$4-41*($B$5+$B$6)/30-IF($B$11&lt;=41,$B$12,0)+L947+M947</f>
        <v>1185.08014836008</v>
      </c>
      <c r="U947" s="14" t="n">
        <f aca="false">$B$4-55*($B$5+$B$6)/30-IF($B$11&lt;=55,$B$12,0)+L947+M947+N947</f>
        <v>2222.94444775067</v>
      </c>
      <c r="V947" s="14" t="n">
        <f aca="false">$B$4-69*($B$5+$B$6)/30-IF($B$11&lt;=69,$B$12,0)+L947+M947+N947+O947</f>
        <v>4120.62756097284</v>
      </c>
      <c r="W947" s="14" t="n">
        <f aca="false">$B$4-83*($B$5+$B$6)/30-IF($B$11&lt;=83,$B$12,0)+L947+M947+N947+O947+P947</f>
        <v>6102.1023142371</v>
      </c>
      <c r="X947" s="14" t="n">
        <f aca="false">$B$4-90*($B$5+$B$6)/30-IF($B$11&lt;=90,$B$12,0)+L947+M947+N947+O947+P947+Q947</f>
        <v>9012.08907746507</v>
      </c>
      <c r="AA947" s="14" t="n">
        <f aca="false">MIN(R947:X947)</f>
        <v>1185.08014836008</v>
      </c>
    </row>
    <row r="948" customFormat="false" ht="15" hidden="false" customHeight="false" outlineLevel="0" collapsed="false">
      <c r="K948" s="2" t="n">
        <v>943</v>
      </c>
      <c r="L948" s="14" t="n">
        <f aca="true">$B$16+NORMINV(RAND(),0,SQRT($B$13*($B$7+$B$8^2))*$B$9*(1-$B$10))</f>
        <v>3535.96309879934</v>
      </c>
      <c r="M948" s="14" t="n">
        <f aca="true">$B$16+NORMINV(RAND(),0,SQRT($B$13*($B$7+$B$8^2))*$B$9*(1-$B$10))</f>
        <v>4641.5082066893</v>
      </c>
      <c r="N948" s="14" t="n">
        <f aca="true">$B$16+NORMINV(RAND(),0,SQRT($B$13*($B$7+$B$8^2))*$B$9*(1-$B$10))</f>
        <v>3391.23286676675</v>
      </c>
      <c r="O948" s="14" t="n">
        <f aca="true">$B$16+NORMINV(RAND(),0,SQRT($B$13*($B$7+$B$8^2))*$B$9*(1-$B$10))</f>
        <v>3874.83822535653</v>
      </c>
      <c r="P948" s="14" t="n">
        <f aca="true">$B$16+NORMINV(RAND(),0,SQRT($B$13*($B$7+$B$8^2))*$B$9*(1-$B$10))</f>
        <v>4358.12646785365</v>
      </c>
      <c r="Q948" s="14" t="n">
        <f aca="true">$B$16+NORMINV(RAND(),0,SQRT($B$13*($B$7+$B$8^2))*$B$9*(1-$B$10))</f>
        <v>4093.66468891792</v>
      </c>
      <c r="R948" s="14" t="n">
        <f aca="false">$B$4-13*($B$5+$B$6)/30-IF($B$11&lt;=13,$B$12,0)+0</f>
        <v>8876.66666666667</v>
      </c>
      <c r="S948" s="14" t="n">
        <f aca="false">$B$4-27*($B$5+$B$6)/30-IF($B$11&lt;=27,$B$12,0)+L948</f>
        <v>10125.9630987993</v>
      </c>
      <c r="T948" s="14" t="n">
        <f aca="false">$B$4-41*($B$5+$B$6)/30-IF($B$11&lt;=41,$B$12,0)+L948+M948</f>
        <v>1296.00463882198</v>
      </c>
      <c r="U948" s="14" t="n">
        <f aca="false">$B$4-55*($B$5+$B$6)/30-IF($B$11&lt;=55,$B$12,0)+L948+M948+N948</f>
        <v>2400.57083892206</v>
      </c>
      <c r="V948" s="14" t="n">
        <f aca="false">$B$4-69*($B$5+$B$6)/30-IF($B$11&lt;=69,$B$12,0)+L948+M948+N948+O948</f>
        <v>3988.74239761192</v>
      </c>
      <c r="W948" s="14" t="n">
        <f aca="false">$B$4-83*($B$5+$B$6)/30-IF($B$11&lt;=83,$B$12,0)+L948+M948+N948+O948+P948</f>
        <v>6060.20219879891</v>
      </c>
      <c r="X948" s="14" t="n">
        <f aca="false">$B$4-90*($B$5+$B$6)/30-IF($B$11&lt;=90,$B$12,0)+L948+M948+N948+O948+P948+Q948</f>
        <v>9010.53355438349</v>
      </c>
      <c r="AA948" s="14" t="n">
        <f aca="false">MIN(R948:X948)</f>
        <v>1296.00463882198</v>
      </c>
    </row>
    <row r="949" customFormat="false" ht="15" hidden="false" customHeight="false" outlineLevel="0" collapsed="false">
      <c r="K949" s="2" t="n">
        <v>944</v>
      </c>
      <c r="L949" s="14" t="n">
        <f aca="true">$B$16+NORMINV(RAND(),0,SQRT($B$13*($B$7+$B$8^2))*$B$9*(1-$B$10))</f>
        <v>4729.47878588596</v>
      </c>
      <c r="M949" s="14" t="n">
        <f aca="true">$B$16+NORMINV(RAND(),0,SQRT($B$13*($B$7+$B$8^2))*$B$9*(1-$B$10))</f>
        <v>4149.81941499723</v>
      </c>
      <c r="N949" s="14" t="n">
        <f aca="true">$B$16+NORMINV(RAND(),0,SQRT($B$13*($B$7+$B$8^2))*$B$9*(1-$B$10))</f>
        <v>4343.67693912208</v>
      </c>
      <c r="O949" s="14" t="n">
        <f aca="true">$B$16+NORMINV(RAND(),0,SQRT($B$13*($B$7+$B$8^2))*$B$9*(1-$B$10))</f>
        <v>4423.63431352018</v>
      </c>
      <c r="P949" s="14" t="n">
        <f aca="true">$B$16+NORMINV(RAND(),0,SQRT($B$13*($B$7+$B$8^2))*$B$9*(1-$B$10))</f>
        <v>3573.45574362292</v>
      </c>
      <c r="Q949" s="14" t="n">
        <f aca="true">$B$16+NORMINV(RAND(),0,SQRT($B$13*($B$7+$B$8^2))*$B$9*(1-$B$10))</f>
        <v>3701.60696945078</v>
      </c>
      <c r="R949" s="14" t="n">
        <f aca="false">$B$4-13*($B$5+$B$6)/30-IF($B$11&lt;=13,$B$12,0)+0</f>
        <v>8876.66666666667</v>
      </c>
      <c r="S949" s="14" t="n">
        <f aca="false">$B$4-27*($B$5+$B$6)/30-IF($B$11&lt;=27,$B$12,0)+L949</f>
        <v>11319.478785886</v>
      </c>
      <c r="T949" s="14" t="n">
        <f aca="false">$B$4-41*($B$5+$B$6)/30-IF($B$11&lt;=41,$B$12,0)+L949+M949</f>
        <v>1997.83153421652</v>
      </c>
      <c r="U949" s="14" t="n">
        <f aca="false">$B$4-55*($B$5+$B$6)/30-IF($B$11&lt;=55,$B$12,0)+L949+M949+N949</f>
        <v>4054.84180667193</v>
      </c>
      <c r="V949" s="14" t="n">
        <f aca="false">$B$4-69*($B$5+$B$6)/30-IF($B$11&lt;=69,$B$12,0)+L949+M949+N949+O949</f>
        <v>6191.80945352545</v>
      </c>
      <c r="W949" s="14" t="n">
        <f aca="false">$B$4-83*($B$5+$B$6)/30-IF($B$11&lt;=83,$B$12,0)+L949+M949+N949+O949+P949</f>
        <v>7478.5985304817</v>
      </c>
      <c r="X949" s="14" t="n">
        <f aca="false">$B$4-90*($B$5+$B$6)/30-IF($B$11&lt;=90,$B$12,0)+L949+M949+N949+O949+P949+Q949</f>
        <v>10036.8721665991</v>
      </c>
      <c r="AA949" s="14" t="n">
        <f aca="false">MIN(R949:X949)</f>
        <v>1997.83153421652</v>
      </c>
    </row>
    <row r="950" customFormat="false" ht="15" hidden="false" customHeight="false" outlineLevel="0" collapsed="false">
      <c r="K950" s="2" t="n">
        <v>945</v>
      </c>
      <c r="L950" s="14" t="n">
        <f aca="true">$B$16+NORMINV(RAND(),0,SQRT($B$13*($B$7+$B$8^2))*$B$9*(1-$B$10))</f>
        <v>4287.05474308617</v>
      </c>
      <c r="M950" s="14" t="n">
        <f aca="true">$B$16+NORMINV(RAND(),0,SQRT($B$13*($B$7+$B$8^2))*$B$9*(1-$B$10))</f>
        <v>4044.80209088524</v>
      </c>
      <c r="N950" s="14" t="n">
        <f aca="true">$B$16+NORMINV(RAND(),0,SQRT($B$13*($B$7+$B$8^2))*$B$9*(1-$B$10))</f>
        <v>4403.91354154108</v>
      </c>
      <c r="O950" s="14" t="n">
        <f aca="true">$B$16+NORMINV(RAND(),0,SQRT($B$13*($B$7+$B$8^2))*$B$9*(1-$B$10))</f>
        <v>3992.70066035246</v>
      </c>
      <c r="P950" s="14" t="n">
        <f aca="true">$B$16+NORMINV(RAND(),0,SQRT($B$13*($B$7+$B$8^2))*$B$9*(1-$B$10))</f>
        <v>4339.54266293927</v>
      </c>
      <c r="Q950" s="14" t="n">
        <f aca="true">$B$16+NORMINV(RAND(),0,SQRT($B$13*($B$7+$B$8^2))*$B$9*(1-$B$10))</f>
        <v>3642.66669162825</v>
      </c>
      <c r="R950" s="14" t="n">
        <f aca="false">$B$4-13*($B$5+$B$6)/30-IF($B$11&lt;=13,$B$12,0)+0</f>
        <v>8876.66666666667</v>
      </c>
      <c r="S950" s="14" t="n">
        <f aca="false">$B$4-27*($B$5+$B$6)/30-IF($B$11&lt;=27,$B$12,0)+L950</f>
        <v>10877.0547430862</v>
      </c>
      <c r="T950" s="14" t="n">
        <f aca="false">$B$4-41*($B$5+$B$6)/30-IF($B$11&lt;=41,$B$12,0)+L950+M950</f>
        <v>1450.39016730473</v>
      </c>
      <c r="U950" s="14" t="n">
        <f aca="false">$B$4-55*($B$5+$B$6)/30-IF($B$11&lt;=55,$B$12,0)+L950+M950+N950</f>
        <v>3567.63704217914</v>
      </c>
      <c r="V950" s="14" t="n">
        <f aca="false">$B$4-69*($B$5+$B$6)/30-IF($B$11&lt;=69,$B$12,0)+L950+M950+N950+O950</f>
        <v>5273.67103586493</v>
      </c>
      <c r="W950" s="14" t="n">
        <f aca="false">$B$4-83*($B$5+$B$6)/30-IF($B$11&lt;=83,$B$12,0)+L950+M950+N950+O950+P950</f>
        <v>7326.54703213754</v>
      </c>
      <c r="X950" s="14" t="n">
        <f aca="false">$B$4-90*($B$5+$B$6)/30-IF($B$11&lt;=90,$B$12,0)+L950+M950+N950+O950+P950+Q950</f>
        <v>9825.88039043245</v>
      </c>
      <c r="AA950" s="14" t="n">
        <f aca="false">MIN(R950:X950)</f>
        <v>1450.39016730473</v>
      </c>
    </row>
    <row r="951" customFormat="false" ht="15" hidden="false" customHeight="false" outlineLevel="0" collapsed="false">
      <c r="K951" s="2" t="n">
        <v>946</v>
      </c>
      <c r="L951" s="14" t="n">
        <f aca="true">$B$16+NORMINV(RAND(),0,SQRT($B$13*($B$7+$B$8^2))*$B$9*(1-$B$10))</f>
        <v>4177.94799745662</v>
      </c>
      <c r="M951" s="14" t="n">
        <f aca="true">$B$16+NORMINV(RAND(),0,SQRT($B$13*($B$7+$B$8^2))*$B$9*(1-$B$10))</f>
        <v>4475.15415478097</v>
      </c>
      <c r="N951" s="14" t="n">
        <f aca="true">$B$16+NORMINV(RAND(),0,SQRT($B$13*($B$7+$B$8^2))*$B$9*(1-$B$10))</f>
        <v>4182.39910265332</v>
      </c>
      <c r="O951" s="14" t="n">
        <f aca="true">$B$16+NORMINV(RAND(),0,SQRT($B$13*($B$7+$B$8^2))*$B$9*(1-$B$10))</f>
        <v>3508.27711650682</v>
      </c>
      <c r="P951" s="14" t="n">
        <f aca="true">$B$16+NORMINV(RAND(),0,SQRT($B$13*($B$7+$B$8^2))*$B$9*(1-$B$10))</f>
        <v>3691.40200800441</v>
      </c>
      <c r="Q951" s="14" t="n">
        <f aca="true">$B$16+NORMINV(RAND(),0,SQRT($B$13*($B$7+$B$8^2))*$B$9*(1-$B$10))</f>
        <v>3699.03372883113</v>
      </c>
      <c r="R951" s="14" t="n">
        <f aca="false">$B$4-13*($B$5+$B$6)/30-IF($B$11&lt;=13,$B$12,0)+0</f>
        <v>8876.66666666667</v>
      </c>
      <c r="S951" s="14" t="n">
        <f aca="false">$B$4-27*($B$5+$B$6)/30-IF($B$11&lt;=27,$B$12,0)+L951</f>
        <v>10767.9479974566</v>
      </c>
      <c r="T951" s="14" t="n">
        <f aca="false">$B$4-41*($B$5+$B$6)/30-IF($B$11&lt;=41,$B$12,0)+L951+M951</f>
        <v>1771.63548557092</v>
      </c>
      <c r="U951" s="14" t="n">
        <f aca="false">$B$4-55*($B$5+$B$6)/30-IF($B$11&lt;=55,$B$12,0)+L951+M951+N951</f>
        <v>3667.36792155757</v>
      </c>
      <c r="V951" s="14" t="n">
        <f aca="false">$B$4-69*($B$5+$B$6)/30-IF($B$11&lt;=69,$B$12,0)+L951+M951+N951+O951</f>
        <v>4888.97837139773</v>
      </c>
      <c r="W951" s="14" t="n">
        <f aca="false">$B$4-83*($B$5+$B$6)/30-IF($B$11&lt;=83,$B$12,0)+L951+M951+N951+O951+P951</f>
        <v>6293.71371273547</v>
      </c>
      <c r="X951" s="14" t="n">
        <f aca="false">$B$4-90*($B$5+$B$6)/30-IF($B$11&lt;=90,$B$12,0)+L951+M951+N951+O951+P951+Q951</f>
        <v>8849.41410823326</v>
      </c>
      <c r="AA951" s="14" t="n">
        <f aca="false">MIN(R951:X951)</f>
        <v>1771.63548557092</v>
      </c>
    </row>
    <row r="952" customFormat="false" ht="15" hidden="false" customHeight="false" outlineLevel="0" collapsed="false">
      <c r="K952" s="2" t="n">
        <v>947</v>
      </c>
      <c r="L952" s="14" t="n">
        <f aca="true">$B$16+NORMINV(RAND(),0,SQRT($B$13*($B$7+$B$8^2))*$B$9*(1-$B$10))</f>
        <v>3925.54288234421</v>
      </c>
      <c r="M952" s="14" t="n">
        <f aca="true">$B$16+NORMINV(RAND(),0,SQRT($B$13*($B$7+$B$8^2))*$B$9*(1-$B$10))</f>
        <v>3841.12500784945</v>
      </c>
      <c r="N952" s="14" t="n">
        <f aca="true">$B$16+NORMINV(RAND(),0,SQRT($B$13*($B$7+$B$8^2))*$B$9*(1-$B$10))</f>
        <v>4447.72833434623</v>
      </c>
      <c r="O952" s="14" t="n">
        <f aca="true">$B$16+NORMINV(RAND(),0,SQRT($B$13*($B$7+$B$8^2))*$B$9*(1-$B$10))</f>
        <v>4095.95811508428</v>
      </c>
      <c r="P952" s="14" t="n">
        <f aca="true">$B$16+NORMINV(RAND(),0,SQRT($B$13*($B$7+$B$8^2))*$B$9*(1-$B$10))</f>
        <v>3745.47436419119</v>
      </c>
      <c r="Q952" s="14" t="n">
        <f aca="true">$B$16+NORMINV(RAND(),0,SQRT($B$13*($B$7+$B$8^2))*$B$9*(1-$B$10))</f>
        <v>4752.27803343752</v>
      </c>
      <c r="R952" s="14" t="n">
        <f aca="false">$B$4-13*($B$5+$B$6)/30-IF($B$11&lt;=13,$B$12,0)+0</f>
        <v>8876.66666666667</v>
      </c>
      <c r="S952" s="14" t="n">
        <f aca="false">$B$4-27*($B$5+$B$6)/30-IF($B$11&lt;=27,$B$12,0)+L952</f>
        <v>10515.5428823442</v>
      </c>
      <c r="T952" s="14" t="n">
        <f aca="false">$B$4-41*($B$5+$B$6)/30-IF($B$11&lt;=41,$B$12,0)+L952+M952</f>
        <v>885.201223526989</v>
      </c>
      <c r="U952" s="14" t="n">
        <f aca="false">$B$4-55*($B$5+$B$6)/30-IF($B$11&lt;=55,$B$12,0)+L952+M952+N952</f>
        <v>3046.26289120655</v>
      </c>
      <c r="V952" s="14" t="n">
        <f aca="false">$B$4-69*($B$5+$B$6)/30-IF($B$11&lt;=69,$B$12,0)+L952+M952+N952+O952</f>
        <v>4855.55433962417</v>
      </c>
      <c r="W952" s="14" t="n">
        <f aca="false">$B$4-83*($B$5+$B$6)/30-IF($B$11&lt;=83,$B$12,0)+L952+M952+N952+O952+P952</f>
        <v>6314.3620371487</v>
      </c>
      <c r="X952" s="14" t="n">
        <f aca="false">$B$4-90*($B$5+$B$6)/30-IF($B$11&lt;=90,$B$12,0)+L952+M952+N952+O952+P952+Q952</f>
        <v>9923.30673725288</v>
      </c>
      <c r="AA952" s="14" t="n">
        <f aca="false">MIN(R952:X952)</f>
        <v>885.201223526989</v>
      </c>
    </row>
    <row r="953" customFormat="false" ht="15" hidden="false" customHeight="false" outlineLevel="0" collapsed="false">
      <c r="K953" s="2" t="n">
        <v>948</v>
      </c>
      <c r="L953" s="14" t="n">
        <f aca="true">$B$16+NORMINV(RAND(),0,SQRT($B$13*($B$7+$B$8^2))*$B$9*(1-$B$10))</f>
        <v>4160.23700605663</v>
      </c>
      <c r="M953" s="14" t="n">
        <f aca="true">$B$16+NORMINV(RAND(),0,SQRT($B$13*($B$7+$B$8^2))*$B$9*(1-$B$10))</f>
        <v>3666.40740088637</v>
      </c>
      <c r="N953" s="14" t="n">
        <f aca="true">$B$16+NORMINV(RAND(),0,SQRT($B$13*($B$7+$B$8^2))*$B$9*(1-$B$10))</f>
        <v>4179.57867259422</v>
      </c>
      <c r="O953" s="14" t="n">
        <f aca="true">$B$16+NORMINV(RAND(),0,SQRT($B$13*($B$7+$B$8^2))*$B$9*(1-$B$10))</f>
        <v>4256.03533148802</v>
      </c>
      <c r="P953" s="14" t="n">
        <f aca="true">$B$16+NORMINV(RAND(),0,SQRT($B$13*($B$7+$B$8^2))*$B$9*(1-$B$10))</f>
        <v>4391.05205589507</v>
      </c>
      <c r="Q953" s="14" t="n">
        <f aca="true">$B$16+NORMINV(RAND(),0,SQRT($B$13*($B$7+$B$8^2))*$B$9*(1-$B$10))</f>
        <v>4163.26156758568</v>
      </c>
      <c r="R953" s="14" t="n">
        <f aca="false">$B$4-13*($B$5+$B$6)/30-IF($B$11&lt;=13,$B$12,0)+0</f>
        <v>8876.66666666667</v>
      </c>
      <c r="S953" s="14" t="n">
        <f aca="false">$B$4-27*($B$5+$B$6)/30-IF($B$11&lt;=27,$B$12,0)+L953</f>
        <v>10750.2370060566</v>
      </c>
      <c r="T953" s="14" t="n">
        <f aca="false">$B$4-41*($B$5+$B$6)/30-IF($B$11&lt;=41,$B$12,0)+L953+M953</f>
        <v>945.177740276331</v>
      </c>
      <c r="U953" s="14" t="n">
        <f aca="false">$B$4-55*($B$5+$B$6)/30-IF($B$11&lt;=55,$B$12,0)+L953+M953+N953</f>
        <v>2838.08974620389</v>
      </c>
      <c r="V953" s="14" t="n">
        <f aca="false">$B$4-69*($B$5+$B$6)/30-IF($B$11&lt;=69,$B$12,0)+L953+M953+N953+O953</f>
        <v>4807.45841102524</v>
      </c>
      <c r="W953" s="14" t="n">
        <f aca="false">$B$4-83*($B$5+$B$6)/30-IF($B$11&lt;=83,$B$12,0)+L953+M953+N953+O953+P953</f>
        <v>6911.84380025365</v>
      </c>
      <c r="X953" s="14" t="n">
        <f aca="false">$B$4-90*($B$5+$B$6)/30-IF($B$11&lt;=90,$B$12,0)+L953+M953+N953+O953+P953+Q953</f>
        <v>9931.772034506</v>
      </c>
      <c r="AA953" s="14" t="n">
        <f aca="false">MIN(R953:X953)</f>
        <v>945.177740276331</v>
      </c>
    </row>
    <row r="954" customFormat="false" ht="15" hidden="false" customHeight="false" outlineLevel="0" collapsed="false">
      <c r="K954" s="2" t="n">
        <v>949</v>
      </c>
      <c r="L954" s="14" t="n">
        <f aca="true">$B$16+NORMINV(RAND(),0,SQRT($B$13*($B$7+$B$8^2))*$B$9*(1-$B$10))</f>
        <v>3993.40546820417</v>
      </c>
      <c r="M954" s="14" t="n">
        <f aca="true">$B$16+NORMINV(RAND(),0,SQRT($B$13*($B$7+$B$8^2))*$B$9*(1-$B$10))</f>
        <v>4369.52303965684</v>
      </c>
      <c r="N954" s="14" t="n">
        <f aca="true">$B$16+NORMINV(RAND(),0,SQRT($B$13*($B$7+$B$8^2))*$B$9*(1-$B$10))</f>
        <v>3791.38329144434</v>
      </c>
      <c r="O954" s="14" t="n">
        <f aca="true">$B$16+NORMINV(RAND(),0,SQRT($B$13*($B$7+$B$8^2))*$B$9*(1-$B$10))</f>
        <v>4637.32038383671</v>
      </c>
      <c r="P954" s="14" t="n">
        <f aca="true">$B$16+NORMINV(RAND(),0,SQRT($B$13*($B$7+$B$8^2))*$B$9*(1-$B$10))</f>
        <v>4234.44594647665</v>
      </c>
      <c r="Q954" s="14" t="n">
        <f aca="true">$B$16+NORMINV(RAND(),0,SQRT($B$13*($B$7+$B$8^2))*$B$9*(1-$B$10))</f>
        <v>3958.6861898953</v>
      </c>
      <c r="R954" s="14" t="n">
        <f aca="false">$B$4-13*($B$5+$B$6)/30-IF($B$11&lt;=13,$B$12,0)+0</f>
        <v>8876.66666666667</v>
      </c>
      <c r="S954" s="14" t="n">
        <f aca="false">$B$4-27*($B$5+$B$6)/30-IF($B$11&lt;=27,$B$12,0)+L954</f>
        <v>10583.4054682042</v>
      </c>
      <c r="T954" s="14" t="n">
        <f aca="false">$B$4-41*($B$5+$B$6)/30-IF($B$11&lt;=41,$B$12,0)+L954+M954</f>
        <v>1481.46184119434</v>
      </c>
      <c r="U954" s="14" t="n">
        <f aca="false">$B$4-55*($B$5+$B$6)/30-IF($B$11&lt;=55,$B$12,0)+L954+M954+N954</f>
        <v>2986.17846597202</v>
      </c>
      <c r="V954" s="14" t="n">
        <f aca="false">$B$4-69*($B$5+$B$6)/30-IF($B$11&lt;=69,$B$12,0)+L954+M954+N954+O954</f>
        <v>5336.83218314207</v>
      </c>
      <c r="W954" s="14" t="n">
        <f aca="false">$B$4-83*($B$5+$B$6)/30-IF($B$11&lt;=83,$B$12,0)+L954+M954+N954+O954+P954</f>
        <v>7284.61146295205</v>
      </c>
      <c r="X954" s="14" t="n">
        <f aca="false">$B$4-90*($B$5+$B$6)/30-IF($B$11&lt;=90,$B$12,0)+L954+M954+N954+O954+P954+Q954</f>
        <v>10099.964319514</v>
      </c>
      <c r="AA954" s="14" t="n">
        <f aca="false">MIN(R954:X954)</f>
        <v>1481.46184119434</v>
      </c>
    </row>
    <row r="955" customFormat="false" ht="15" hidden="false" customHeight="false" outlineLevel="0" collapsed="false">
      <c r="K955" s="2" t="n">
        <v>950</v>
      </c>
      <c r="L955" s="14" t="n">
        <f aca="true">$B$16+NORMINV(RAND(),0,SQRT($B$13*($B$7+$B$8^2))*$B$9*(1-$B$10))</f>
        <v>4289.09945565212</v>
      </c>
      <c r="M955" s="14" t="n">
        <f aca="true">$B$16+NORMINV(RAND(),0,SQRT($B$13*($B$7+$B$8^2))*$B$9*(1-$B$10))</f>
        <v>3808.30012114934</v>
      </c>
      <c r="N955" s="14" t="n">
        <f aca="true">$B$16+NORMINV(RAND(),0,SQRT($B$13*($B$7+$B$8^2))*$B$9*(1-$B$10))</f>
        <v>5001.61621972244</v>
      </c>
      <c r="O955" s="14" t="n">
        <f aca="true">$B$16+NORMINV(RAND(),0,SQRT($B$13*($B$7+$B$8^2))*$B$9*(1-$B$10))</f>
        <v>4033.21020050309</v>
      </c>
      <c r="P955" s="14" t="n">
        <f aca="true">$B$16+NORMINV(RAND(),0,SQRT($B$13*($B$7+$B$8^2))*$B$9*(1-$B$10))</f>
        <v>4129.86790776369</v>
      </c>
      <c r="Q955" s="14" t="n">
        <f aca="true">$B$16+NORMINV(RAND(),0,SQRT($B$13*($B$7+$B$8^2))*$B$9*(1-$B$10))</f>
        <v>3502.04933256187</v>
      </c>
      <c r="R955" s="14" t="n">
        <f aca="false">$B$4-13*($B$5+$B$6)/30-IF($B$11&lt;=13,$B$12,0)+0</f>
        <v>8876.66666666667</v>
      </c>
      <c r="S955" s="14" t="n">
        <f aca="false">$B$4-27*($B$5+$B$6)/30-IF($B$11&lt;=27,$B$12,0)+L955</f>
        <v>10879.0994556521</v>
      </c>
      <c r="T955" s="14" t="n">
        <f aca="false">$B$4-41*($B$5+$B$6)/30-IF($B$11&lt;=41,$B$12,0)+L955+M955</f>
        <v>1215.93291013479</v>
      </c>
      <c r="U955" s="14" t="n">
        <f aca="false">$B$4-55*($B$5+$B$6)/30-IF($B$11&lt;=55,$B$12,0)+L955+M955+N955</f>
        <v>3930.88246319057</v>
      </c>
      <c r="V955" s="14" t="n">
        <f aca="false">$B$4-69*($B$5+$B$6)/30-IF($B$11&lt;=69,$B$12,0)+L955+M955+N955+O955</f>
        <v>5677.42599702699</v>
      </c>
      <c r="W955" s="14" t="n">
        <f aca="false">$B$4-83*($B$5+$B$6)/30-IF($B$11&lt;=83,$B$12,0)+L955+M955+N955+O955+P955</f>
        <v>7520.62723812402</v>
      </c>
      <c r="X955" s="14" t="n">
        <f aca="false">$B$4-90*($B$5+$B$6)/30-IF($B$11&lt;=90,$B$12,0)+L955+M955+N955+O955+P955+Q955</f>
        <v>9879.34323735255</v>
      </c>
      <c r="AA955" s="14" t="n">
        <f aca="false">MIN(R955:X955)</f>
        <v>1215.93291013479</v>
      </c>
    </row>
    <row r="956" customFormat="false" ht="15" hidden="false" customHeight="false" outlineLevel="0" collapsed="false">
      <c r="K956" s="2" t="n">
        <v>951</v>
      </c>
      <c r="L956" s="14" t="n">
        <f aca="true">$B$16+NORMINV(RAND(),0,SQRT($B$13*($B$7+$B$8^2))*$B$9*(1-$B$10))</f>
        <v>4510.05844124209</v>
      </c>
      <c r="M956" s="14" t="n">
        <f aca="true">$B$16+NORMINV(RAND(),0,SQRT($B$13*($B$7+$B$8^2))*$B$9*(1-$B$10))</f>
        <v>3508.18027175886</v>
      </c>
      <c r="N956" s="14" t="n">
        <f aca="true">$B$16+NORMINV(RAND(),0,SQRT($B$13*($B$7+$B$8^2))*$B$9*(1-$B$10))</f>
        <v>4155.31411729383</v>
      </c>
      <c r="O956" s="14" t="n">
        <f aca="true">$B$16+NORMINV(RAND(),0,SQRT($B$13*($B$7+$B$8^2))*$B$9*(1-$B$10))</f>
        <v>4335.8498990077</v>
      </c>
      <c r="P956" s="14" t="n">
        <f aca="true">$B$16+NORMINV(RAND(),0,SQRT($B$13*($B$7+$B$8^2))*$B$9*(1-$B$10))</f>
        <v>4069.23527231757</v>
      </c>
      <c r="Q956" s="14" t="n">
        <f aca="true">$B$16+NORMINV(RAND(),0,SQRT($B$13*($B$7+$B$8^2))*$B$9*(1-$B$10))</f>
        <v>3623.33493657479</v>
      </c>
      <c r="R956" s="14" t="n">
        <f aca="false">$B$4-13*($B$5+$B$6)/30-IF($B$11&lt;=13,$B$12,0)+0</f>
        <v>8876.66666666667</v>
      </c>
      <c r="S956" s="14" t="n">
        <f aca="false">$B$4-27*($B$5+$B$6)/30-IF($B$11&lt;=27,$B$12,0)+L956</f>
        <v>11100.0584412421</v>
      </c>
      <c r="T956" s="14" t="n">
        <f aca="false">$B$4-41*($B$5+$B$6)/30-IF($B$11&lt;=41,$B$12,0)+L956+M956</f>
        <v>1136.77204633428</v>
      </c>
      <c r="U956" s="14" t="n">
        <f aca="false">$B$4-55*($B$5+$B$6)/30-IF($B$11&lt;=55,$B$12,0)+L956+M956+N956</f>
        <v>3005.41949696144</v>
      </c>
      <c r="V956" s="14" t="n">
        <f aca="false">$B$4-69*($B$5+$B$6)/30-IF($B$11&lt;=69,$B$12,0)+L956+M956+N956+O956</f>
        <v>5054.60272930247</v>
      </c>
      <c r="W956" s="14" t="n">
        <f aca="false">$B$4-83*($B$5+$B$6)/30-IF($B$11&lt;=83,$B$12,0)+L956+M956+N956+O956+P956</f>
        <v>6837.17133495337</v>
      </c>
      <c r="X956" s="14" t="n">
        <f aca="false">$B$4-90*($B$5+$B$6)/30-IF($B$11&lt;=90,$B$12,0)+L956+M956+N956+O956+P956+Q956</f>
        <v>9317.17293819483</v>
      </c>
      <c r="AA956" s="14" t="n">
        <f aca="false">MIN(R956:X956)</f>
        <v>1136.77204633428</v>
      </c>
    </row>
    <row r="957" customFormat="false" ht="15" hidden="false" customHeight="false" outlineLevel="0" collapsed="false">
      <c r="K957" s="2" t="n">
        <v>952</v>
      </c>
      <c r="L957" s="14" t="n">
        <f aca="true">$B$16+NORMINV(RAND(),0,SQRT($B$13*($B$7+$B$8^2))*$B$9*(1-$B$10))</f>
        <v>3955.81929789875</v>
      </c>
      <c r="M957" s="14" t="n">
        <f aca="true">$B$16+NORMINV(RAND(),0,SQRT($B$13*($B$7+$B$8^2))*$B$9*(1-$B$10))</f>
        <v>4529.22974246822</v>
      </c>
      <c r="N957" s="14" t="n">
        <f aca="true">$B$16+NORMINV(RAND(),0,SQRT($B$13*($B$7+$B$8^2))*$B$9*(1-$B$10))</f>
        <v>4421.92457209495</v>
      </c>
      <c r="O957" s="14" t="n">
        <f aca="true">$B$16+NORMINV(RAND(),0,SQRT($B$13*($B$7+$B$8^2))*$B$9*(1-$B$10))</f>
        <v>4704.6456849295</v>
      </c>
      <c r="P957" s="14" t="n">
        <f aca="true">$B$16+NORMINV(RAND(),0,SQRT($B$13*($B$7+$B$8^2))*$B$9*(1-$B$10))</f>
        <v>4204.49685833922</v>
      </c>
      <c r="Q957" s="14" t="n">
        <f aca="true">$B$16+NORMINV(RAND(),0,SQRT($B$13*($B$7+$B$8^2))*$B$9*(1-$B$10))</f>
        <v>4120.84411222513</v>
      </c>
      <c r="R957" s="14" t="n">
        <f aca="false">$B$4-13*($B$5+$B$6)/30-IF($B$11&lt;=13,$B$12,0)+0</f>
        <v>8876.66666666667</v>
      </c>
      <c r="S957" s="14" t="n">
        <f aca="false">$B$4-27*($B$5+$B$6)/30-IF($B$11&lt;=27,$B$12,0)+L957</f>
        <v>10545.8192978988</v>
      </c>
      <c r="T957" s="14" t="n">
        <f aca="false">$B$4-41*($B$5+$B$6)/30-IF($B$11&lt;=41,$B$12,0)+L957+M957</f>
        <v>1603.5823737003</v>
      </c>
      <c r="U957" s="14" t="n">
        <f aca="false">$B$4-55*($B$5+$B$6)/30-IF($B$11&lt;=55,$B$12,0)+L957+M957+N957</f>
        <v>3738.84027912859</v>
      </c>
      <c r="V957" s="14" t="n">
        <f aca="false">$B$4-69*($B$5+$B$6)/30-IF($B$11&lt;=69,$B$12,0)+L957+M957+N957+O957</f>
        <v>6156.81929739142</v>
      </c>
      <c r="W957" s="14" t="n">
        <f aca="false">$B$4-83*($B$5+$B$6)/30-IF($B$11&lt;=83,$B$12,0)+L957+M957+N957+O957+P957</f>
        <v>8074.64948906397</v>
      </c>
      <c r="X957" s="14" t="n">
        <f aca="false">$B$4-90*($B$5+$B$6)/30-IF($B$11&lt;=90,$B$12,0)+L957+M957+N957+O957+P957+Q957</f>
        <v>11052.1602679558</v>
      </c>
      <c r="AA957" s="14" t="n">
        <f aca="false">MIN(R957:X957)</f>
        <v>1603.5823737003</v>
      </c>
    </row>
    <row r="958" customFormat="false" ht="15" hidden="false" customHeight="false" outlineLevel="0" collapsed="false">
      <c r="K958" s="2" t="n">
        <v>953</v>
      </c>
      <c r="L958" s="14" t="n">
        <f aca="true">$B$16+NORMINV(RAND(),0,SQRT($B$13*($B$7+$B$8^2))*$B$9*(1-$B$10))</f>
        <v>4053.5337512666</v>
      </c>
      <c r="M958" s="14" t="n">
        <f aca="true">$B$16+NORMINV(RAND(),0,SQRT($B$13*($B$7+$B$8^2))*$B$9*(1-$B$10))</f>
        <v>4249.25933687349</v>
      </c>
      <c r="N958" s="14" t="n">
        <f aca="true">$B$16+NORMINV(RAND(),0,SQRT($B$13*($B$7+$B$8^2))*$B$9*(1-$B$10))</f>
        <v>3452.44606989947</v>
      </c>
      <c r="O958" s="14" t="n">
        <f aca="true">$B$16+NORMINV(RAND(),0,SQRT($B$13*($B$7+$B$8^2))*$B$9*(1-$B$10))</f>
        <v>3674.59277402783</v>
      </c>
      <c r="P958" s="14" t="n">
        <f aca="true">$B$16+NORMINV(RAND(),0,SQRT($B$13*($B$7+$B$8^2))*$B$9*(1-$B$10))</f>
        <v>3974.54758411723</v>
      </c>
      <c r="Q958" s="14" t="n">
        <f aca="true">$B$16+NORMINV(RAND(),0,SQRT($B$13*($B$7+$B$8^2))*$B$9*(1-$B$10))</f>
        <v>3799.03450840554</v>
      </c>
      <c r="R958" s="14" t="n">
        <f aca="false">$B$4-13*($B$5+$B$6)/30-IF($B$11&lt;=13,$B$12,0)+0</f>
        <v>8876.66666666667</v>
      </c>
      <c r="S958" s="14" t="n">
        <f aca="false">$B$4-27*($B$5+$B$6)/30-IF($B$11&lt;=27,$B$12,0)+L958</f>
        <v>10643.5337512666</v>
      </c>
      <c r="T958" s="14" t="n">
        <f aca="false">$B$4-41*($B$5+$B$6)/30-IF($B$11&lt;=41,$B$12,0)+L958+M958</f>
        <v>1421.32642147342</v>
      </c>
      <c r="U958" s="14" t="n">
        <f aca="false">$B$4-55*($B$5+$B$6)/30-IF($B$11&lt;=55,$B$12,0)+L958+M958+N958</f>
        <v>2587.10582470622</v>
      </c>
      <c r="V958" s="14" t="n">
        <f aca="false">$B$4-69*($B$5+$B$6)/30-IF($B$11&lt;=69,$B$12,0)+L958+M958+N958+O958</f>
        <v>3975.03193206738</v>
      </c>
      <c r="W958" s="14" t="n">
        <f aca="false">$B$4-83*($B$5+$B$6)/30-IF($B$11&lt;=83,$B$12,0)+L958+M958+N958+O958+P958</f>
        <v>5662.91284951795</v>
      </c>
      <c r="X958" s="14" t="n">
        <f aca="false">$B$4-90*($B$5+$B$6)/30-IF($B$11&lt;=90,$B$12,0)+L958+M958+N958+O958+P958+Q958</f>
        <v>8318.61402459015</v>
      </c>
      <c r="AA958" s="14" t="n">
        <f aca="false">MIN(R958:X958)</f>
        <v>1421.32642147342</v>
      </c>
    </row>
    <row r="959" customFormat="false" ht="15" hidden="false" customHeight="false" outlineLevel="0" collapsed="false">
      <c r="K959" s="2" t="n">
        <v>954</v>
      </c>
      <c r="L959" s="14" t="n">
        <f aca="true">$B$16+NORMINV(RAND(),0,SQRT($B$13*($B$7+$B$8^2))*$B$9*(1-$B$10))</f>
        <v>4210.40379522891</v>
      </c>
      <c r="M959" s="14" t="n">
        <f aca="true">$B$16+NORMINV(RAND(),0,SQRT($B$13*($B$7+$B$8^2))*$B$9*(1-$B$10))</f>
        <v>4480.63194116189</v>
      </c>
      <c r="N959" s="14" t="n">
        <f aca="true">$B$16+NORMINV(RAND(),0,SQRT($B$13*($B$7+$B$8^2))*$B$9*(1-$B$10))</f>
        <v>3951.8745789119</v>
      </c>
      <c r="O959" s="14" t="n">
        <f aca="true">$B$16+NORMINV(RAND(),0,SQRT($B$13*($B$7+$B$8^2))*$B$9*(1-$B$10))</f>
        <v>4331.0651584814</v>
      </c>
      <c r="P959" s="14" t="n">
        <f aca="true">$B$16+NORMINV(RAND(),0,SQRT($B$13*($B$7+$B$8^2))*$B$9*(1-$B$10))</f>
        <v>4206.92168925475</v>
      </c>
      <c r="Q959" s="14" t="n">
        <f aca="true">$B$16+NORMINV(RAND(),0,SQRT($B$13*($B$7+$B$8^2))*$B$9*(1-$B$10))</f>
        <v>3579.70012413225</v>
      </c>
      <c r="R959" s="14" t="n">
        <f aca="false">$B$4-13*($B$5+$B$6)/30-IF($B$11&lt;=13,$B$12,0)+0</f>
        <v>8876.66666666667</v>
      </c>
      <c r="S959" s="14" t="n">
        <f aca="false">$B$4-27*($B$5+$B$6)/30-IF($B$11&lt;=27,$B$12,0)+L959</f>
        <v>10800.4037952289</v>
      </c>
      <c r="T959" s="14" t="n">
        <f aca="false">$B$4-41*($B$5+$B$6)/30-IF($B$11&lt;=41,$B$12,0)+L959+M959</f>
        <v>1809.56906972413</v>
      </c>
      <c r="U959" s="14" t="n">
        <f aca="false">$B$4-55*($B$5+$B$6)/30-IF($B$11&lt;=55,$B$12,0)+L959+M959+N959</f>
        <v>3474.77698196935</v>
      </c>
      <c r="V959" s="14" t="n">
        <f aca="false">$B$4-69*($B$5+$B$6)/30-IF($B$11&lt;=69,$B$12,0)+L959+M959+N959+O959</f>
        <v>5519.17547378409</v>
      </c>
      <c r="W959" s="14" t="n">
        <f aca="false">$B$4-83*($B$5+$B$6)/30-IF($B$11&lt;=83,$B$12,0)+L959+M959+N959+O959+P959</f>
        <v>7439.43049637217</v>
      </c>
      <c r="X959" s="14" t="n">
        <f aca="false">$B$4-90*($B$5+$B$6)/30-IF($B$11&lt;=90,$B$12,0)+L959+M959+N959+O959+P959+Q959</f>
        <v>9875.79728717109</v>
      </c>
      <c r="AA959" s="14" t="n">
        <f aca="false">MIN(R959:X959)</f>
        <v>1809.56906972413</v>
      </c>
    </row>
    <row r="960" customFormat="false" ht="15" hidden="false" customHeight="false" outlineLevel="0" collapsed="false">
      <c r="K960" s="2" t="n">
        <v>955</v>
      </c>
      <c r="L960" s="14" t="n">
        <f aca="true">$B$16+NORMINV(RAND(),0,SQRT($B$13*($B$7+$B$8^2))*$B$9*(1-$B$10))</f>
        <v>3894.79965293458</v>
      </c>
      <c r="M960" s="14" t="n">
        <f aca="true">$B$16+NORMINV(RAND(),0,SQRT($B$13*($B$7+$B$8^2))*$B$9*(1-$B$10))</f>
        <v>3351.28525705275</v>
      </c>
      <c r="N960" s="14" t="n">
        <f aca="true">$B$16+NORMINV(RAND(),0,SQRT($B$13*($B$7+$B$8^2))*$B$9*(1-$B$10))</f>
        <v>4195.49386332068</v>
      </c>
      <c r="O960" s="14" t="n">
        <f aca="true">$B$16+NORMINV(RAND(),0,SQRT($B$13*($B$7+$B$8^2))*$B$9*(1-$B$10))</f>
        <v>4284.71652361735</v>
      </c>
      <c r="P960" s="14" t="n">
        <f aca="true">$B$16+NORMINV(RAND(),0,SQRT($B$13*($B$7+$B$8^2))*$B$9*(1-$B$10))</f>
        <v>4265.14371261487</v>
      </c>
      <c r="Q960" s="14" t="n">
        <f aca="true">$B$16+NORMINV(RAND(),0,SQRT($B$13*($B$7+$B$8^2))*$B$9*(1-$B$10))</f>
        <v>3725.34657967807</v>
      </c>
      <c r="R960" s="14" t="n">
        <f aca="false">$B$4-13*($B$5+$B$6)/30-IF($B$11&lt;=13,$B$12,0)+0</f>
        <v>8876.66666666667</v>
      </c>
      <c r="S960" s="14" t="n">
        <f aca="false">$B$4-27*($B$5+$B$6)/30-IF($B$11&lt;=27,$B$12,0)+L960</f>
        <v>10484.7996529346</v>
      </c>
      <c r="T960" s="14" t="n">
        <f aca="false">$B$4-41*($B$5+$B$6)/30-IF($B$11&lt;=41,$B$12,0)+L960+M960</f>
        <v>364.618243320657</v>
      </c>
      <c r="U960" s="14" t="n">
        <f aca="false">$B$4-55*($B$5+$B$6)/30-IF($B$11&lt;=55,$B$12,0)+L960+M960+N960</f>
        <v>2273.44543997467</v>
      </c>
      <c r="V960" s="14" t="n">
        <f aca="false">$B$4-69*($B$5+$B$6)/30-IF($B$11&lt;=69,$B$12,0)+L960+M960+N960+O960</f>
        <v>4271.49529692535</v>
      </c>
      <c r="W960" s="14" t="n">
        <f aca="false">$B$4-83*($B$5+$B$6)/30-IF($B$11&lt;=83,$B$12,0)+L960+M960+N960+O960+P960</f>
        <v>6249.97234287356</v>
      </c>
      <c r="X960" s="14" t="n">
        <f aca="false">$B$4-90*($B$5+$B$6)/30-IF($B$11&lt;=90,$B$12,0)+L960+M960+N960+O960+P960+Q960</f>
        <v>8831.9855892183</v>
      </c>
      <c r="AA960" s="14" t="n">
        <f aca="false">MIN(R960:X960)</f>
        <v>364.618243320657</v>
      </c>
    </row>
    <row r="961" customFormat="false" ht="15" hidden="false" customHeight="false" outlineLevel="0" collapsed="false">
      <c r="K961" s="2" t="n">
        <v>956</v>
      </c>
      <c r="L961" s="14" t="n">
        <f aca="true">$B$16+NORMINV(RAND(),0,SQRT($B$13*($B$7+$B$8^2))*$B$9*(1-$B$10))</f>
        <v>3545.07647412637</v>
      </c>
      <c r="M961" s="14" t="n">
        <f aca="true">$B$16+NORMINV(RAND(),0,SQRT($B$13*($B$7+$B$8^2))*$B$9*(1-$B$10))</f>
        <v>4398.29771997175</v>
      </c>
      <c r="N961" s="14" t="n">
        <f aca="true">$B$16+NORMINV(RAND(),0,SQRT($B$13*($B$7+$B$8^2))*$B$9*(1-$B$10))</f>
        <v>4263.122734252</v>
      </c>
      <c r="O961" s="14" t="n">
        <f aca="true">$B$16+NORMINV(RAND(),0,SQRT($B$13*($B$7+$B$8^2))*$B$9*(1-$B$10))</f>
        <v>3918.60717931538</v>
      </c>
      <c r="P961" s="14" t="n">
        <f aca="true">$B$16+NORMINV(RAND(),0,SQRT($B$13*($B$7+$B$8^2))*$B$9*(1-$B$10))</f>
        <v>3603.81446560541</v>
      </c>
      <c r="Q961" s="14" t="n">
        <f aca="true">$B$16+NORMINV(RAND(),0,SQRT($B$13*($B$7+$B$8^2))*$B$9*(1-$B$10))</f>
        <v>3980.70788172088</v>
      </c>
      <c r="R961" s="14" t="n">
        <f aca="false">$B$4-13*($B$5+$B$6)/30-IF($B$11&lt;=13,$B$12,0)+0</f>
        <v>8876.66666666667</v>
      </c>
      <c r="S961" s="14" t="n">
        <f aca="false">$B$4-27*($B$5+$B$6)/30-IF($B$11&lt;=27,$B$12,0)+L961</f>
        <v>10135.0764741264</v>
      </c>
      <c r="T961" s="14" t="n">
        <f aca="false">$B$4-41*($B$5+$B$6)/30-IF($B$11&lt;=41,$B$12,0)+L961+M961</f>
        <v>1061.90752743144</v>
      </c>
      <c r="U961" s="14" t="n">
        <f aca="false">$B$4-55*($B$5+$B$6)/30-IF($B$11&lt;=55,$B$12,0)+L961+M961+N961</f>
        <v>3038.36359501678</v>
      </c>
      <c r="V961" s="14" t="n">
        <f aca="false">$B$4-69*($B$5+$B$6)/30-IF($B$11&lt;=69,$B$12,0)+L961+M961+N961+O961</f>
        <v>4670.30410766549</v>
      </c>
      <c r="W961" s="14" t="n">
        <f aca="false">$B$4-83*($B$5+$B$6)/30-IF($B$11&lt;=83,$B$12,0)+L961+M961+N961+O961+P961</f>
        <v>5987.45190660423</v>
      </c>
      <c r="X961" s="14" t="n">
        <f aca="false">$B$4-90*($B$5+$B$6)/30-IF($B$11&lt;=90,$B$12,0)+L961+M961+N961+O961+P961+Q961</f>
        <v>8824.82645499178</v>
      </c>
      <c r="AA961" s="14" t="n">
        <f aca="false">MIN(R961:X961)</f>
        <v>1061.90752743144</v>
      </c>
    </row>
    <row r="962" customFormat="false" ht="15" hidden="false" customHeight="false" outlineLevel="0" collapsed="false">
      <c r="K962" s="2" t="n">
        <v>957</v>
      </c>
      <c r="L962" s="14" t="n">
        <f aca="true">$B$16+NORMINV(RAND(),0,SQRT($B$13*($B$7+$B$8^2))*$B$9*(1-$B$10))</f>
        <v>4750.13272938185</v>
      </c>
      <c r="M962" s="14" t="n">
        <f aca="true">$B$16+NORMINV(RAND(),0,SQRT($B$13*($B$7+$B$8^2))*$B$9*(1-$B$10))</f>
        <v>3538.72068466968</v>
      </c>
      <c r="N962" s="14" t="n">
        <f aca="true">$B$16+NORMINV(RAND(),0,SQRT($B$13*($B$7+$B$8^2))*$B$9*(1-$B$10))</f>
        <v>4470.92902343511</v>
      </c>
      <c r="O962" s="14" t="n">
        <f aca="true">$B$16+NORMINV(RAND(),0,SQRT($B$13*($B$7+$B$8^2))*$B$9*(1-$B$10))</f>
        <v>4351.06858441188</v>
      </c>
      <c r="P962" s="14" t="n">
        <f aca="true">$B$16+NORMINV(RAND(),0,SQRT($B$13*($B$7+$B$8^2))*$B$9*(1-$B$10))</f>
        <v>3498.87998230874</v>
      </c>
      <c r="Q962" s="14" t="n">
        <f aca="true">$B$16+NORMINV(RAND(),0,SQRT($B$13*($B$7+$B$8^2))*$B$9*(1-$B$10))</f>
        <v>3649.77028245511</v>
      </c>
      <c r="R962" s="14" t="n">
        <f aca="false">$B$4-13*($B$5+$B$6)/30-IF($B$11&lt;=13,$B$12,0)+0</f>
        <v>8876.66666666667</v>
      </c>
      <c r="S962" s="14" t="n">
        <f aca="false">$B$4-27*($B$5+$B$6)/30-IF($B$11&lt;=27,$B$12,0)+L962</f>
        <v>11340.1327293819</v>
      </c>
      <c r="T962" s="14" t="n">
        <f aca="false">$B$4-41*($B$5+$B$6)/30-IF($B$11&lt;=41,$B$12,0)+L962+M962</f>
        <v>1407.38674738486</v>
      </c>
      <c r="U962" s="14" t="n">
        <f aca="false">$B$4-55*($B$5+$B$6)/30-IF($B$11&lt;=55,$B$12,0)+L962+M962+N962</f>
        <v>3591.64910415331</v>
      </c>
      <c r="V962" s="14" t="n">
        <f aca="false">$B$4-69*($B$5+$B$6)/30-IF($B$11&lt;=69,$B$12,0)+L962+M962+N962+O962</f>
        <v>5656.05102189853</v>
      </c>
      <c r="W962" s="14" t="n">
        <f aca="false">$B$4-83*($B$5+$B$6)/30-IF($B$11&lt;=83,$B$12,0)+L962+M962+N962+O962+P962</f>
        <v>6868.2643375406</v>
      </c>
      <c r="X962" s="14" t="n">
        <f aca="false">$B$4-90*($B$5+$B$6)/30-IF($B$11&lt;=90,$B$12,0)+L962+M962+N962+O962+P962+Q962</f>
        <v>9374.70128666237</v>
      </c>
      <c r="AA962" s="14" t="n">
        <f aca="false">MIN(R962:X962)</f>
        <v>1407.38674738486</v>
      </c>
    </row>
    <row r="963" customFormat="false" ht="15" hidden="false" customHeight="false" outlineLevel="0" collapsed="false">
      <c r="K963" s="2" t="n">
        <v>958</v>
      </c>
      <c r="L963" s="14" t="n">
        <f aca="true">$B$16+NORMINV(RAND(),0,SQRT($B$13*($B$7+$B$8^2))*$B$9*(1-$B$10))</f>
        <v>4354.95768846506</v>
      </c>
      <c r="M963" s="14" t="n">
        <f aca="true">$B$16+NORMINV(RAND(),0,SQRT($B$13*($B$7+$B$8^2))*$B$9*(1-$B$10))</f>
        <v>4633.95982846624</v>
      </c>
      <c r="N963" s="14" t="n">
        <f aca="true">$B$16+NORMINV(RAND(),0,SQRT($B$13*($B$7+$B$8^2))*$B$9*(1-$B$10))</f>
        <v>3424.83947988726</v>
      </c>
      <c r="O963" s="14" t="n">
        <f aca="true">$B$16+NORMINV(RAND(),0,SQRT($B$13*($B$7+$B$8^2))*$B$9*(1-$B$10))</f>
        <v>3805.56408303979</v>
      </c>
      <c r="P963" s="14" t="n">
        <f aca="true">$B$16+NORMINV(RAND(),0,SQRT($B$13*($B$7+$B$8^2))*$B$9*(1-$B$10))</f>
        <v>3928.1382260891</v>
      </c>
      <c r="Q963" s="14" t="n">
        <f aca="true">$B$16+NORMINV(RAND(),0,SQRT($B$13*($B$7+$B$8^2))*$B$9*(1-$B$10))</f>
        <v>3626.18339991835</v>
      </c>
      <c r="R963" s="14" t="n">
        <f aca="false">$B$4-13*($B$5+$B$6)/30-IF($B$11&lt;=13,$B$12,0)+0</f>
        <v>8876.66666666667</v>
      </c>
      <c r="S963" s="14" t="n">
        <f aca="false">$B$4-27*($B$5+$B$6)/30-IF($B$11&lt;=27,$B$12,0)+L963</f>
        <v>10944.9576884651</v>
      </c>
      <c r="T963" s="14" t="n">
        <f aca="false">$B$4-41*($B$5+$B$6)/30-IF($B$11&lt;=41,$B$12,0)+L963+M963</f>
        <v>2107.45085026464</v>
      </c>
      <c r="U963" s="14" t="n">
        <f aca="false">$B$4-55*($B$5+$B$6)/30-IF($B$11&lt;=55,$B$12,0)+L963+M963+N963</f>
        <v>3245.62366348523</v>
      </c>
      <c r="V963" s="14" t="n">
        <f aca="false">$B$4-69*($B$5+$B$6)/30-IF($B$11&lt;=69,$B$12,0)+L963+M963+N963+O963</f>
        <v>4764.52107985836</v>
      </c>
      <c r="W963" s="14" t="n">
        <f aca="false">$B$4-83*($B$5+$B$6)/30-IF($B$11&lt;=83,$B$12,0)+L963+M963+N963+O963+P963</f>
        <v>6405.99263928079</v>
      </c>
      <c r="X963" s="14" t="n">
        <f aca="false">$B$4-90*($B$5+$B$6)/30-IF($B$11&lt;=90,$B$12,0)+L963+M963+N963+O963+P963+Q963</f>
        <v>8888.84270586581</v>
      </c>
      <c r="AA963" s="14" t="n">
        <f aca="false">MIN(R963:X963)</f>
        <v>2107.45085026464</v>
      </c>
    </row>
    <row r="964" customFormat="false" ht="15" hidden="false" customHeight="false" outlineLevel="0" collapsed="false">
      <c r="K964" s="2" t="n">
        <v>959</v>
      </c>
      <c r="L964" s="14" t="n">
        <f aca="true">$B$16+NORMINV(RAND(),0,SQRT($B$13*($B$7+$B$8^2))*$B$9*(1-$B$10))</f>
        <v>4023.03049814932</v>
      </c>
      <c r="M964" s="14" t="n">
        <f aca="true">$B$16+NORMINV(RAND(),0,SQRT($B$13*($B$7+$B$8^2))*$B$9*(1-$B$10))</f>
        <v>3970.32033797227</v>
      </c>
      <c r="N964" s="14" t="n">
        <f aca="true">$B$16+NORMINV(RAND(),0,SQRT($B$13*($B$7+$B$8^2))*$B$9*(1-$B$10))</f>
        <v>3425.85411049542</v>
      </c>
      <c r="O964" s="14" t="n">
        <f aca="true">$B$16+NORMINV(RAND(),0,SQRT($B$13*($B$7+$B$8^2))*$B$9*(1-$B$10))</f>
        <v>3979.74075995944</v>
      </c>
      <c r="P964" s="14" t="n">
        <f aca="true">$B$16+NORMINV(RAND(),0,SQRT($B$13*($B$7+$B$8^2))*$B$9*(1-$B$10))</f>
        <v>4432.54349965323</v>
      </c>
      <c r="Q964" s="14" t="n">
        <f aca="true">$B$16+NORMINV(RAND(),0,SQRT($B$13*($B$7+$B$8^2))*$B$9*(1-$B$10))</f>
        <v>3517.04546758939</v>
      </c>
      <c r="R964" s="14" t="n">
        <f aca="false">$B$4-13*($B$5+$B$6)/30-IF($B$11&lt;=13,$B$12,0)+0</f>
        <v>8876.66666666667</v>
      </c>
      <c r="S964" s="14" t="n">
        <f aca="false">$B$4-27*($B$5+$B$6)/30-IF($B$11&lt;=27,$B$12,0)+L964</f>
        <v>10613.0304981493</v>
      </c>
      <c r="T964" s="14" t="n">
        <f aca="false">$B$4-41*($B$5+$B$6)/30-IF($B$11&lt;=41,$B$12,0)+L964+M964</f>
        <v>1111.88416945492</v>
      </c>
      <c r="U964" s="14" t="n">
        <f aca="false">$B$4-55*($B$5+$B$6)/30-IF($B$11&lt;=55,$B$12,0)+L964+M964+N964</f>
        <v>2251.07161328368</v>
      </c>
      <c r="V964" s="14" t="n">
        <f aca="false">$B$4-69*($B$5+$B$6)/30-IF($B$11&lt;=69,$B$12,0)+L964+M964+N964+O964</f>
        <v>3944.14570657645</v>
      </c>
      <c r="W964" s="14" t="n">
        <f aca="false">$B$4-83*($B$5+$B$6)/30-IF($B$11&lt;=83,$B$12,0)+L964+M964+N964+O964+P964</f>
        <v>6090.02253956302</v>
      </c>
      <c r="X964" s="14" t="n">
        <f aca="false">$B$4-90*($B$5+$B$6)/30-IF($B$11&lt;=90,$B$12,0)+L964+M964+N964+O964+P964+Q964</f>
        <v>8463.73467381907</v>
      </c>
      <c r="AA964" s="14" t="n">
        <f aca="false">MIN(R964:X964)</f>
        <v>1111.88416945492</v>
      </c>
    </row>
    <row r="965" customFormat="false" ht="15" hidden="false" customHeight="false" outlineLevel="0" collapsed="false">
      <c r="K965" s="2" t="n">
        <v>960</v>
      </c>
      <c r="L965" s="14" t="n">
        <f aca="true">$B$16+NORMINV(RAND(),0,SQRT($B$13*($B$7+$B$8^2))*$B$9*(1-$B$10))</f>
        <v>4083.08777917203</v>
      </c>
      <c r="M965" s="14" t="n">
        <f aca="true">$B$16+NORMINV(RAND(),0,SQRT($B$13*($B$7+$B$8^2))*$B$9*(1-$B$10))</f>
        <v>4184.02419905691</v>
      </c>
      <c r="N965" s="14" t="n">
        <f aca="true">$B$16+NORMINV(RAND(),0,SQRT($B$13*($B$7+$B$8^2))*$B$9*(1-$B$10))</f>
        <v>3859.91148254593</v>
      </c>
      <c r="O965" s="14" t="n">
        <f aca="true">$B$16+NORMINV(RAND(),0,SQRT($B$13*($B$7+$B$8^2))*$B$9*(1-$B$10))</f>
        <v>4296.95063146932</v>
      </c>
      <c r="P965" s="14" t="n">
        <f aca="true">$B$16+NORMINV(RAND(),0,SQRT($B$13*($B$7+$B$8^2))*$B$9*(1-$B$10))</f>
        <v>4097.17003965636</v>
      </c>
      <c r="Q965" s="14" t="n">
        <f aca="true">$B$16+NORMINV(RAND(),0,SQRT($B$13*($B$7+$B$8^2))*$B$9*(1-$B$10))</f>
        <v>3580.10854817924</v>
      </c>
      <c r="R965" s="14" t="n">
        <f aca="false">$B$4-13*($B$5+$B$6)/30-IF($B$11&lt;=13,$B$12,0)+0</f>
        <v>8876.66666666667</v>
      </c>
      <c r="S965" s="14" t="n">
        <f aca="false">$B$4-27*($B$5+$B$6)/30-IF($B$11&lt;=27,$B$12,0)+L965</f>
        <v>10673.087779172</v>
      </c>
      <c r="T965" s="14" t="n">
        <f aca="false">$B$4-41*($B$5+$B$6)/30-IF($B$11&lt;=41,$B$12,0)+L965+M965</f>
        <v>1385.64531156228</v>
      </c>
      <c r="U965" s="14" t="n">
        <f aca="false">$B$4-55*($B$5+$B$6)/30-IF($B$11&lt;=55,$B$12,0)+L965+M965+N965</f>
        <v>2958.89012744154</v>
      </c>
      <c r="V965" s="14" t="n">
        <f aca="false">$B$4-69*($B$5+$B$6)/30-IF($B$11&lt;=69,$B$12,0)+L965+M965+N965+O965</f>
        <v>4969.17409224419</v>
      </c>
      <c r="W965" s="14" t="n">
        <f aca="false">$B$4-83*($B$5+$B$6)/30-IF($B$11&lt;=83,$B$12,0)+L965+M965+N965+O965+P965</f>
        <v>6779.67746523389</v>
      </c>
      <c r="X965" s="14" t="n">
        <f aca="false">$B$4-90*($B$5+$B$6)/30-IF($B$11&lt;=90,$B$12,0)+L965+M965+N965+O965+P965+Q965</f>
        <v>9216.45268007979</v>
      </c>
      <c r="AA965" s="14" t="n">
        <f aca="false">MIN(R965:X965)</f>
        <v>1385.64531156228</v>
      </c>
    </row>
    <row r="966" customFormat="false" ht="15" hidden="false" customHeight="false" outlineLevel="0" collapsed="false">
      <c r="K966" s="2" t="n">
        <v>961</v>
      </c>
      <c r="L966" s="14" t="n">
        <f aca="true">$B$16+NORMINV(RAND(),0,SQRT($B$13*($B$7+$B$8^2))*$B$9*(1-$B$10))</f>
        <v>4379.90451878172</v>
      </c>
      <c r="M966" s="14" t="n">
        <f aca="true">$B$16+NORMINV(RAND(),0,SQRT($B$13*($B$7+$B$8^2))*$B$9*(1-$B$10))</f>
        <v>3941.17344743504</v>
      </c>
      <c r="N966" s="14" t="n">
        <f aca="true">$B$16+NORMINV(RAND(),0,SQRT($B$13*($B$7+$B$8^2))*$B$9*(1-$B$10))</f>
        <v>3721.31596346812</v>
      </c>
      <c r="O966" s="14" t="n">
        <f aca="true">$B$16+NORMINV(RAND(),0,SQRT($B$13*($B$7+$B$8^2))*$B$9*(1-$B$10))</f>
        <v>4204.1036366471</v>
      </c>
      <c r="P966" s="14" t="n">
        <f aca="true">$B$16+NORMINV(RAND(),0,SQRT($B$13*($B$7+$B$8^2))*$B$9*(1-$B$10))</f>
        <v>3770.97129306256</v>
      </c>
      <c r="Q966" s="14" t="n">
        <f aca="true">$B$16+NORMINV(RAND(),0,SQRT($B$13*($B$7+$B$8^2))*$B$9*(1-$B$10))</f>
        <v>3926.80312075445</v>
      </c>
      <c r="R966" s="14" t="n">
        <f aca="false">$B$4-13*($B$5+$B$6)/30-IF($B$11&lt;=13,$B$12,0)+0</f>
        <v>8876.66666666667</v>
      </c>
      <c r="S966" s="14" t="n">
        <f aca="false">$B$4-27*($B$5+$B$6)/30-IF($B$11&lt;=27,$B$12,0)+L966</f>
        <v>10969.9045187817</v>
      </c>
      <c r="T966" s="14" t="n">
        <f aca="false">$B$4-41*($B$5+$B$6)/30-IF($B$11&lt;=41,$B$12,0)+L966+M966</f>
        <v>1439.61129955009</v>
      </c>
      <c r="U966" s="14" t="n">
        <f aca="false">$B$4-55*($B$5+$B$6)/30-IF($B$11&lt;=55,$B$12,0)+L966+M966+N966</f>
        <v>2874.26059635154</v>
      </c>
      <c r="V966" s="14" t="n">
        <f aca="false">$B$4-69*($B$5+$B$6)/30-IF($B$11&lt;=69,$B$12,0)+L966+M966+N966+O966</f>
        <v>4791.69756633197</v>
      </c>
      <c r="W966" s="14" t="n">
        <f aca="false">$B$4-83*($B$5+$B$6)/30-IF($B$11&lt;=83,$B$12,0)+L966+M966+N966+O966+P966</f>
        <v>6276.00219272787</v>
      </c>
      <c r="X966" s="14" t="n">
        <f aca="false">$B$4-90*($B$5+$B$6)/30-IF($B$11&lt;=90,$B$12,0)+L966+M966+N966+O966+P966+Q966</f>
        <v>9059.47198014899</v>
      </c>
      <c r="AA966" s="14" t="n">
        <f aca="false">MIN(R966:X966)</f>
        <v>1439.61129955009</v>
      </c>
    </row>
    <row r="967" customFormat="false" ht="15" hidden="false" customHeight="false" outlineLevel="0" collapsed="false">
      <c r="K967" s="2" t="n">
        <v>962</v>
      </c>
      <c r="L967" s="14" t="n">
        <f aca="true">$B$16+NORMINV(RAND(),0,SQRT($B$13*($B$7+$B$8^2))*$B$9*(1-$B$10))</f>
        <v>4117.5258233399</v>
      </c>
      <c r="M967" s="14" t="n">
        <f aca="true">$B$16+NORMINV(RAND(),0,SQRT($B$13*($B$7+$B$8^2))*$B$9*(1-$B$10))</f>
        <v>3977.62950016319</v>
      </c>
      <c r="N967" s="14" t="n">
        <f aca="true">$B$16+NORMINV(RAND(),0,SQRT($B$13*($B$7+$B$8^2))*$B$9*(1-$B$10))</f>
        <v>3999.26345936246</v>
      </c>
      <c r="O967" s="14" t="n">
        <f aca="true">$B$16+NORMINV(RAND(),0,SQRT($B$13*($B$7+$B$8^2))*$B$9*(1-$B$10))</f>
        <v>4100.45758899873</v>
      </c>
      <c r="P967" s="14" t="n">
        <f aca="true">$B$16+NORMINV(RAND(),0,SQRT($B$13*($B$7+$B$8^2))*$B$9*(1-$B$10))</f>
        <v>3692.01621800937</v>
      </c>
      <c r="Q967" s="14" t="n">
        <f aca="true">$B$16+NORMINV(RAND(),0,SQRT($B$13*($B$7+$B$8^2))*$B$9*(1-$B$10))</f>
        <v>4271.74269540885</v>
      </c>
      <c r="R967" s="14" t="n">
        <f aca="false">$B$4-13*($B$5+$B$6)/30-IF($B$11&lt;=13,$B$12,0)+0</f>
        <v>8876.66666666667</v>
      </c>
      <c r="S967" s="14" t="n">
        <f aca="false">$B$4-27*($B$5+$B$6)/30-IF($B$11&lt;=27,$B$12,0)+L967</f>
        <v>10707.5258233399</v>
      </c>
      <c r="T967" s="14" t="n">
        <f aca="false">$B$4-41*($B$5+$B$6)/30-IF($B$11&lt;=41,$B$12,0)+L967+M967</f>
        <v>1213.68865683642</v>
      </c>
      <c r="U967" s="14" t="n">
        <f aca="false">$B$4-55*($B$5+$B$6)/30-IF($B$11&lt;=55,$B$12,0)+L967+M967+N967</f>
        <v>2926.28544953221</v>
      </c>
      <c r="V967" s="14" t="n">
        <f aca="false">$B$4-69*($B$5+$B$6)/30-IF($B$11&lt;=69,$B$12,0)+L967+M967+N967+O967</f>
        <v>4740.07637186427</v>
      </c>
      <c r="W967" s="14" t="n">
        <f aca="false">$B$4-83*($B$5+$B$6)/30-IF($B$11&lt;=83,$B$12,0)+L967+M967+N967+O967+P967</f>
        <v>6145.42592320697</v>
      </c>
      <c r="X967" s="14" t="n">
        <f aca="false">$B$4-90*($B$5+$B$6)/30-IF($B$11&lt;=90,$B$12,0)+L967+M967+N967+O967+P967+Q967</f>
        <v>9273.83528528249</v>
      </c>
      <c r="AA967" s="14" t="n">
        <f aca="false">MIN(R967:X967)</f>
        <v>1213.68865683642</v>
      </c>
    </row>
    <row r="968" customFormat="false" ht="15" hidden="false" customHeight="false" outlineLevel="0" collapsed="false">
      <c r="K968" s="2" t="n">
        <v>963</v>
      </c>
      <c r="L968" s="14" t="n">
        <f aca="true">$B$16+NORMINV(RAND(),0,SQRT($B$13*($B$7+$B$8^2))*$B$9*(1-$B$10))</f>
        <v>3633.14095657918</v>
      </c>
      <c r="M968" s="14" t="n">
        <f aca="true">$B$16+NORMINV(RAND(),0,SQRT($B$13*($B$7+$B$8^2))*$B$9*(1-$B$10))</f>
        <v>4507.31931540407</v>
      </c>
      <c r="N968" s="14" t="n">
        <f aca="true">$B$16+NORMINV(RAND(),0,SQRT($B$13*($B$7+$B$8^2))*$B$9*(1-$B$10))</f>
        <v>3889.07416873717</v>
      </c>
      <c r="O968" s="14" t="n">
        <f aca="true">$B$16+NORMINV(RAND(),0,SQRT($B$13*($B$7+$B$8^2))*$B$9*(1-$B$10))</f>
        <v>4395.31775872329</v>
      </c>
      <c r="P968" s="14" t="n">
        <f aca="true">$B$16+NORMINV(RAND(),0,SQRT($B$13*($B$7+$B$8^2))*$B$9*(1-$B$10))</f>
        <v>3836.51383816679</v>
      </c>
      <c r="Q968" s="14" t="n">
        <f aca="true">$B$16+NORMINV(RAND(),0,SQRT($B$13*($B$7+$B$8^2))*$B$9*(1-$B$10))</f>
        <v>4388.96020931385</v>
      </c>
      <c r="R968" s="14" t="n">
        <f aca="false">$B$4-13*($B$5+$B$6)/30-IF($B$11&lt;=13,$B$12,0)+0</f>
        <v>8876.66666666667</v>
      </c>
      <c r="S968" s="14" t="n">
        <f aca="false">$B$4-27*($B$5+$B$6)/30-IF($B$11&lt;=27,$B$12,0)+L968</f>
        <v>10223.1409565792</v>
      </c>
      <c r="T968" s="14" t="n">
        <f aca="false">$B$4-41*($B$5+$B$6)/30-IF($B$11&lt;=41,$B$12,0)+L968+M968</f>
        <v>1258.99360531658</v>
      </c>
      <c r="U968" s="14" t="n">
        <f aca="false">$B$4-55*($B$5+$B$6)/30-IF($B$11&lt;=55,$B$12,0)+L968+M968+N968</f>
        <v>2861.40110738708</v>
      </c>
      <c r="V968" s="14" t="n">
        <f aca="false">$B$4-69*($B$5+$B$6)/30-IF($B$11&lt;=69,$B$12,0)+L968+M968+N968+O968</f>
        <v>4970.0521994437</v>
      </c>
      <c r="W968" s="14" t="n">
        <f aca="false">$B$4-83*($B$5+$B$6)/30-IF($B$11&lt;=83,$B$12,0)+L968+M968+N968+O968+P968</f>
        <v>6519.89937094383</v>
      </c>
      <c r="X968" s="14" t="n">
        <f aca="false">$B$4-90*($B$5+$B$6)/30-IF($B$11&lt;=90,$B$12,0)+L968+M968+N968+O968+P968+Q968</f>
        <v>9765.52624692434</v>
      </c>
      <c r="AA968" s="14" t="n">
        <f aca="false">MIN(R968:X968)</f>
        <v>1258.99360531658</v>
      </c>
    </row>
    <row r="969" customFormat="false" ht="15" hidden="false" customHeight="false" outlineLevel="0" collapsed="false">
      <c r="K969" s="2" t="n">
        <v>964</v>
      </c>
      <c r="L969" s="14" t="n">
        <f aca="true">$B$16+NORMINV(RAND(),0,SQRT($B$13*($B$7+$B$8^2))*$B$9*(1-$B$10))</f>
        <v>4028.20383500027</v>
      </c>
      <c r="M969" s="14" t="n">
        <f aca="true">$B$16+NORMINV(RAND(),0,SQRT($B$13*($B$7+$B$8^2))*$B$9*(1-$B$10))</f>
        <v>4465.34135423257</v>
      </c>
      <c r="N969" s="14" t="n">
        <f aca="true">$B$16+NORMINV(RAND(),0,SQRT($B$13*($B$7+$B$8^2))*$B$9*(1-$B$10))</f>
        <v>3935.32319196797</v>
      </c>
      <c r="O969" s="14" t="n">
        <f aca="true">$B$16+NORMINV(RAND(),0,SQRT($B$13*($B$7+$B$8^2))*$B$9*(1-$B$10))</f>
        <v>4505.14824032465</v>
      </c>
      <c r="P969" s="14" t="n">
        <f aca="true">$B$16+NORMINV(RAND(),0,SQRT($B$13*($B$7+$B$8^2))*$B$9*(1-$B$10))</f>
        <v>4269.66113414061</v>
      </c>
      <c r="Q969" s="14" t="n">
        <f aca="true">$B$16+NORMINV(RAND(),0,SQRT($B$13*($B$7+$B$8^2))*$B$9*(1-$B$10))</f>
        <v>3944.89687644882</v>
      </c>
      <c r="R969" s="14" t="n">
        <f aca="false">$B$4-13*($B$5+$B$6)/30-IF($B$11&lt;=13,$B$12,0)+0</f>
        <v>8876.66666666667</v>
      </c>
      <c r="S969" s="14" t="n">
        <f aca="false">$B$4-27*($B$5+$B$6)/30-IF($B$11&lt;=27,$B$12,0)+L969</f>
        <v>10618.2038350003</v>
      </c>
      <c r="T969" s="14" t="n">
        <f aca="false">$B$4-41*($B$5+$B$6)/30-IF($B$11&lt;=41,$B$12,0)+L969+M969</f>
        <v>1612.07852256616</v>
      </c>
      <c r="U969" s="14" t="n">
        <f aca="false">$B$4-55*($B$5+$B$6)/30-IF($B$11&lt;=55,$B$12,0)+L969+M969+N969</f>
        <v>3260.73504786747</v>
      </c>
      <c r="V969" s="14" t="n">
        <f aca="false">$B$4-69*($B$5+$B$6)/30-IF($B$11&lt;=69,$B$12,0)+L969+M969+N969+O969</f>
        <v>5479.21662152545</v>
      </c>
      <c r="W969" s="14" t="n">
        <f aca="false">$B$4-83*($B$5+$B$6)/30-IF($B$11&lt;=83,$B$12,0)+L969+M969+N969+O969+P969</f>
        <v>7462.2110889994</v>
      </c>
      <c r="X969" s="14" t="n">
        <f aca="false">$B$4-90*($B$5+$B$6)/30-IF($B$11&lt;=90,$B$12,0)+L969+M969+N969+O969+P969+Q969</f>
        <v>10263.7746321149</v>
      </c>
      <c r="AA969" s="14" t="n">
        <f aca="false">MIN(R969:X969)</f>
        <v>1612.07852256616</v>
      </c>
    </row>
    <row r="970" customFormat="false" ht="15" hidden="false" customHeight="false" outlineLevel="0" collapsed="false">
      <c r="K970" s="2" t="n">
        <v>965</v>
      </c>
      <c r="L970" s="14" t="n">
        <f aca="true">$B$16+NORMINV(RAND(),0,SQRT($B$13*($B$7+$B$8^2))*$B$9*(1-$B$10))</f>
        <v>4190.98416978482</v>
      </c>
      <c r="M970" s="14" t="n">
        <f aca="true">$B$16+NORMINV(RAND(),0,SQRT($B$13*($B$7+$B$8^2))*$B$9*(1-$B$10))</f>
        <v>3982.49809213828</v>
      </c>
      <c r="N970" s="14" t="n">
        <f aca="true">$B$16+NORMINV(RAND(),0,SQRT($B$13*($B$7+$B$8^2))*$B$9*(1-$B$10))</f>
        <v>4313.07033948247</v>
      </c>
      <c r="O970" s="14" t="n">
        <f aca="true">$B$16+NORMINV(RAND(),0,SQRT($B$13*($B$7+$B$8^2))*$B$9*(1-$B$10))</f>
        <v>4479.9963434143</v>
      </c>
      <c r="P970" s="14" t="n">
        <f aca="true">$B$16+NORMINV(RAND(),0,SQRT($B$13*($B$7+$B$8^2))*$B$9*(1-$B$10))</f>
        <v>4113.88344236449</v>
      </c>
      <c r="Q970" s="14" t="n">
        <f aca="true">$B$16+NORMINV(RAND(),0,SQRT($B$13*($B$7+$B$8^2))*$B$9*(1-$B$10))</f>
        <v>4173.03799205674</v>
      </c>
      <c r="R970" s="14" t="n">
        <f aca="false">$B$4-13*($B$5+$B$6)/30-IF($B$11&lt;=13,$B$12,0)+0</f>
        <v>8876.66666666667</v>
      </c>
      <c r="S970" s="14" t="n">
        <f aca="false">$B$4-27*($B$5+$B$6)/30-IF($B$11&lt;=27,$B$12,0)+L970</f>
        <v>10780.9841697848</v>
      </c>
      <c r="T970" s="14" t="n">
        <f aca="false">$B$4-41*($B$5+$B$6)/30-IF($B$11&lt;=41,$B$12,0)+L970+M970</f>
        <v>1292.01559525644</v>
      </c>
      <c r="U970" s="14" t="n">
        <f aca="false">$B$4-55*($B$5+$B$6)/30-IF($B$11&lt;=55,$B$12,0)+L970+M970+N970</f>
        <v>3318.41926807224</v>
      </c>
      <c r="V970" s="14" t="n">
        <f aca="false">$B$4-69*($B$5+$B$6)/30-IF($B$11&lt;=69,$B$12,0)+L970+M970+N970+O970</f>
        <v>5511.74894481988</v>
      </c>
      <c r="W970" s="14" t="n">
        <f aca="false">$B$4-83*($B$5+$B$6)/30-IF($B$11&lt;=83,$B$12,0)+L970+M970+N970+O970+P970</f>
        <v>7338.9657205177</v>
      </c>
      <c r="X970" s="14" t="n">
        <f aca="false">$B$4-90*($B$5+$B$6)/30-IF($B$11&lt;=90,$B$12,0)+L970+M970+N970+O970+P970+Q970</f>
        <v>10368.6703792411</v>
      </c>
      <c r="AA970" s="14" t="n">
        <f aca="false">MIN(R970:X970)</f>
        <v>1292.01559525644</v>
      </c>
    </row>
    <row r="971" customFormat="false" ht="15" hidden="false" customHeight="false" outlineLevel="0" collapsed="false">
      <c r="K971" s="2" t="n">
        <v>966</v>
      </c>
      <c r="L971" s="14" t="n">
        <f aca="true">$B$16+NORMINV(RAND(),0,SQRT($B$13*($B$7+$B$8^2))*$B$9*(1-$B$10))</f>
        <v>3528.56783168098</v>
      </c>
      <c r="M971" s="14" t="n">
        <f aca="true">$B$16+NORMINV(RAND(),0,SQRT($B$13*($B$7+$B$8^2))*$B$9*(1-$B$10))</f>
        <v>3796.44980192937</v>
      </c>
      <c r="N971" s="14" t="n">
        <f aca="true">$B$16+NORMINV(RAND(),0,SQRT($B$13*($B$7+$B$8^2))*$B$9*(1-$B$10))</f>
        <v>4794.39387489635</v>
      </c>
      <c r="O971" s="14" t="n">
        <f aca="true">$B$16+NORMINV(RAND(),0,SQRT($B$13*($B$7+$B$8^2))*$B$9*(1-$B$10))</f>
        <v>4030.06188256496</v>
      </c>
      <c r="P971" s="14" t="n">
        <f aca="true">$B$16+NORMINV(RAND(),0,SQRT($B$13*($B$7+$B$8^2))*$B$9*(1-$B$10))</f>
        <v>4154.83765971788</v>
      </c>
      <c r="Q971" s="14" t="n">
        <f aca="true">$B$16+NORMINV(RAND(),0,SQRT($B$13*($B$7+$B$8^2))*$B$9*(1-$B$10))</f>
        <v>4501.19337918495</v>
      </c>
      <c r="R971" s="14" t="n">
        <f aca="false">$B$4-13*($B$5+$B$6)/30-IF($B$11&lt;=13,$B$12,0)+0</f>
        <v>8876.66666666667</v>
      </c>
      <c r="S971" s="14" t="n">
        <f aca="false">$B$4-27*($B$5+$B$6)/30-IF($B$11&lt;=27,$B$12,0)+L971</f>
        <v>10118.567831681</v>
      </c>
      <c r="T971" s="14" t="n">
        <f aca="false">$B$4-41*($B$5+$B$6)/30-IF($B$11&lt;=41,$B$12,0)+L971+M971</f>
        <v>443.550966943677</v>
      </c>
      <c r="U971" s="14" t="n">
        <f aca="false">$B$4-55*($B$5+$B$6)/30-IF($B$11&lt;=55,$B$12,0)+L971+M971+N971</f>
        <v>2951.27817517336</v>
      </c>
      <c r="V971" s="14" t="n">
        <f aca="false">$B$4-69*($B$5+$B$6)/30-IF($B$11&lt;=69,$B$12,0)+L971+M971+N971+O971</f>
        <v>4694.67339107166</v>
      </c>
      <c r="W971" s="14" t="n">
        <f aca="false">$B$4-83*($B$5+$B$6)/30-IF($B$11&lt;=83,$B$12,0)+L971+M971+N971+O971+P971</f>
        <v>6562.84438412287</v>
      </c>
      <c r="X971" s="14" t="n">
        <f aca="false">$B$4-90*($B$5+$B$6)/30-IF($B$11&lt;=90,$B$12,0)+L971+M971+N971+O971+P971+Q971</f>
        <v>9920.70442997449</v>
      </c>
      <c r="AA971" s="14" t="n">
        <f aca="false">MIN(R971:X971)</f>
        <v>443.550966943677</v>
      </c>
    </row>
    <row r="972" customFormat="false" ht="15" hidden="false" customHeight="false" outlineLevel="0" collapsed="false">
      <c r="K972" s="2" t="n">
        <v>967</v>
      </c>
      <c r="L972" s="14" t="n">
        <f aca="true">$B$16+NORMINV(RAND(),0,SQRT($B$13*($B$7+$B$8^2))*$B$9*(1-$B$10))</f>
        <v>3749.60840926343</v>
      </c>
      <c r="M972" s="14" t="n">
        <f aca="true">$B$16+NORMINV(RAND(),0,SQRT($B$13*($B$7+$B$8^2))*$B$9*(1-$B$10))</f>
        <v>4683.00563567757</v>
      </c>
      <c r="N972" s="14" t="n">
        <f aca="true">$B$16+NORMINV(RAND(),0,SQRT($B$13*($B$7+$B$8^2))*$B$9*(1-$B$10))</f>
        <v>4164.51681385723</v>
      </c>
      <c r="O972" s="14" t="n">
        <f aca="true">$B$16+NORMINV(RAND(),0,SQRT($B$13*($B$7+$B$8^2))*$B$9*(1-$B$10))</f>
        <v>3913.4832382883</v>
      </c>
      <c r="P972" s="14" t="n">
        <f aca="true">$B$16+NORMINV(RAND(),0,SQRT($B$13*($B$7+$B$8^2))*$B$9*(1-$B$10))</f>
        <v>3712.69547418998</v>
      </c>
      <c r="Q972" s="14" t="n">
        <f aca="true">$B$16+NORMINV(RAND(),0,SQRT($B$13*($B$7+$B$8^2))*$B$9*(1-$B$10))</f>
        <v>4146.94822911174</v>
      </c>
      <c r="R972" s="14" t="n">
        <f aca="false">$B$4-13*($B$5+$B$6)/30-IF($B$11&lt;=13,$B$12,0)+0</f>
        <v>8876.66666666667</v>
      </c>
      <c r="S972" s="14" t="n">
        <f aca="false">$B$4-27*($B$5+$B$6)/30-IF($B$11&lt;=27,$B$12,0)+L972</f>
        <v>10339.6084092634</v>
      </c>
      <c r="T972" s="14" t="n">
        <f aca="false">$B$4-41*($B$5+$B$6)/30-IF($B$11&lt;=41,$B$12,0)+L972+M972</f>
        <v>1551.14737827433</v>
      </c>
      <c r="U972" s="14" t="n">
        <f aca="false">$B$4-55*($B$5+$B$6)/30-IF($B$11&lt;=55,$B$12,0)+L972+M972+N972</f>
        <v>3428.99752546489</v>
      </c>
      <c r="V972" s="14" t="n">
        <f aca="false">$B$4-69*($B$5+$B$6)/30-IF($B$11&lt;=69,$B$12,0)+L972+M972+N972+O972</f>
        <v>5055.81409708653</v>
      </c>
      <c r="W972" s="14" t="n">
        <f aca="false">$B$4-83*($B$5+$B$6)/30-IF($B$11&lt;=83,$B$12,0)+L972+M972+N972+O972+P972</f>
        <v>6481.84290460984</v>
      </c>
      <c r="X972" s="14" t="n">
        <f aca="false">$B$4-90*($B$5+$B$6)/30-IF($B$11&lt;=90,$B$12,0)+L972+M972+N972+O972+P972+Q972</f>
        <v>9485.45780038825</v>
      </c>
      <c r="AA972" s="14" t="n">
        <f aca="false">MIN(R972:X972)</f>
        <v>1551.14737827433</v>
      </c>
    </row>
    <row r="973" customFormat="false" ht="15" hidden="false" customHeight="false" outlineLevel="0" collapsed="false">
      <c r="K973" s="2" t="n">
        <v>968</v>
      </c>
      <c r="L973" s="14" t="n">
        <f aca="true">$B$16+NORMINV(RAND(),0,SQRT($B$13*($B$7+$B$8^2))*$B$9*(1-$B$10))</f>
        <v>4341.29354724455</v>
      </c>
      <c r="M973" s="14" t="n">
        <f aca="true">$B$16+NORMINV(RAND(),0,SQRT($B$13*($B$7+$B$8^2))*$B$9*(1-$B$10))</f>
        <v>3781.15747267718</v>
      </c>
      <c r="N973" s="14" t="n">
        <f aca="true">$B$16+NORMINV(RAND(),0,SQRT($B$13*($B$7+$B$8^2))*$B$9*(1-$B$10))</f>
        <v>4058.50816383811</v>
      </c>
      <c r="O973" s="14" t="n">
        <f aca="true">$B$16+NORMINV(RAND(),0,SQRT($B$13*($B$7+$B$8^2))*$B$9*(1-$B$10))</f>
        <v>4093.84315298689</v>
      </c>
      <c r="P973" s="14" t="n">
        <f aca="true">$B$16+NORMINV(RAND(),0,SQRT($B$13*($B$7+$B$8^2))*$B$9*(1-$B$10))</f>
        <v>4229.34867964551</v>
      </c>
      <c r="Q973" s="14" t="n">
        <f aca="true">$B$16+NORMINV(RAND(),0,SQRT($B$13*($B$7+$B$8^2))*$B$9*(1-$B$10))</f>
        <v>3634.67173968961</v>
      </c>
      <c r="R973" s="14" t="n">
        <f aca="false">$B$4-13*($B$5+$B$6)/30-IF($B$11&lt;=13,$B$12,0)+0</f>
        <v>8876.66666666667</v>
      </c>
      <c r="S973" s="14" t="n">
        <f aca="false">$B$4-27*($B$5+$B$6)/30-IF($B$11&lt;=27,$B$12,0)+L973</f>
        <v>10931.2935472445</v>
      </c>
      <c r="T973" s="14" t="n">
        <f aca="false">$B$4-41*($B$5+$B$6)/30-IF($B$11&lt;=41,$B$12,0)+L973+M973</f>
        <v>1240.98435325506</v>
      </c>
      <c r="U973" s="14" t="n">
        <f aca="false">$B$4-55*($B$5+$B$6)/30-IF($B$11&lt;=55,$B$12,0)+L973+M973+N973</f>
        <v>3012.82585042651</v>
      </c>
      <c r="V973" s="14" t="n">
        <f aca="false">$B$4-69*($B$5+$B$6)/30-IF($B$11&lt;=69,$B$12,0)+L973+M973+N973+O973</f>
        <v>4820.00233674673</v>
      </c>
      <c r="W973" s="14" t="n">
        <f aca="false">$B$4-83*($B$5+$B$6)/30-IF($B$11&lt;=83,$B$12,0)+L973+M973+N973+O973+P973</f>
        <v>6762.68434972557</v>
      </c>
      <c r="X973" s="14" t="n">
        <f aca="false">$B$4-90*($B$5+$B$6)/30-IF($B$11&lt;=90,$B$12,0)+L973+M973+N973+O973+P973+Q973</f>
        <v>9254.02275608185</v>
      </c>
      <c r="AA973" s="14" t="n">
        <f aca="false">MIN(R973:X973)</f>
        <v>1240.98435325506</v>
      </c>
    </row>
    <row r="974" customFormat="false" ht="15" hidden="false" customHeight="false" outlineLevel="0" collapsed="false">
      <c r="K974" s="2" t="n">
        <v>969</v>
      </c>
      <c r="L974" s="14" t="n">
        <f aca="true">$B$16+NORMINV(RAND(),0,SQRT($B$13*($B$7+$B$8^2))*$B$9*(1-$B$10))</f>
        <v>4067.15584436978</v>
      </c>
      <c r="M974" s="14" t="n">
        <f aca="true">$B$16+NORMINV(RAND(),0,SQRT($B$13*($B$7+$B$8^2))*$B$9*(1-$B$10))</f>
        <v>3865.41946933985</v>
      </c>
      <c r="N974" s="14" t="n">
        <f aca="true">$B$16+NORMINV(RAND(),0,SQRT($B$13*($B$7+$B$8^2))*$B$9*(1-$B$10))</f>
        <v>3667.54938307198</v>
      </c>
      <c r="O974" s="14" t="n">
        <f aca="true">$B$16+NORMINV(RAND(),0,SQRT($B$13*($B$7+$B$8^2))*$B$9*(1-$B$10))</f>
        <v>3682.61805951295</v>
      </c>
      <c r="P974" s="14" t="n">
        <f aca="true">$B$16+NORMINV(RAND(),0,SQRT($B$13*($B$7+$B$8^2))*$B$9*(1-$B$10))</f>
        <v>4193.80761465089</v>
      </c>
      <c r="Q974" s="14" t="n">
        <f aca="true">$B$16+NORMINV(RAND(),0,SQRT($B$13*($B$7+$B$8^2))*$B$9*(1-$B$10))</f>
        <v>4439.41632245555</v>
      </c>
      <c r="R974" s="14" t="n">
        <f aca="false">$B$4-13*($B$5+$B$6)/30-IF($B$11&lt;=13,$B$12,0)+0</f>
        <v>8876.66666666667</v>
      </c>
      <c r="S974" s="14" t="n">
        <f aca="false">$B$4-27*($B$5+$B$6)/30-IF($B$11&lt;=27,$B$12,0)+L974</f>
        <v>10657.1558443698</v>
      </c>
      <c r="T974" s="14" t="n">
        <f aca="false">$B$4-41*($B$5+$B$6)/30-IF($B$11&lt;=41,$B$12,0)+L974+M974</f>
        <v>1051.10864704296</v>
      </c>
      <c r="U974" s="14" t="n">
        <f aca="false">$B$4-55*($B$5+$B$6)/30-IF($B$11&lt;=55,$B$12,0)+L974+M974+N974</f>
        <v>2431.99136344828</v>
      </c>
      <c r="V974" s="14" t="n">
        <f aca="false">$B$4-69*($B$5+$B$6)/30-IF($B$11&lt;=69,$B$12,0)+L974+M974+N974+O974</f>
        <v>3827.94275629456</v>
      </c>
      <c r="W974" s="14" t="n">
        <f aca="false">$B$4-83*($B$5+$B$6)/30-IF($B$11&lt;=83,$B$12,0)+L974+M974+N974+O974+P974</f>
        <v>5735.08370427878</v>
      </c>
      <c r="X974" s="14" t="n">
        <f aca="false">$B$4-90*($B$5+$B$6)/30-IF($B$11&lt;=90,$B$12,0)+L974+M974+N974+O974+P974+Q974</f>
        <v>9031.166693401</v>
      </c>
      <c r="AA974" s="14" t="n">
        <f aca="false">MIN(R974:X974)</f>
        <v>1051.10864704296</v>
      </c>
    </row>
    <row r="975" customFormat="false" ht="15" hidden="false" customHeight="false" outlineLevel="0" collapsed="false">
      <c r="K975" s="2" t="n">
        <v>970</v>
      </c>
      <c r="L975" s="14" t="n">
        <f aca="true">$B$16+NORMINV(RAND(),0,SQRT($B$13*($B$7+$B$8^2))*$B$9*(1-$B$10))</f>
        <v>4496.70153582809</v>
      </c>
      <c r="M975" s="14" t="n">
        <f aca="true">$B$16+NORMINV(RAND(),0,SQRT($B$13*($B$7+$B$8^2))*$B$9*(1-$B$10))</f>
        <v>3817.40984909549</v>
      </c>
      <c r="N975" s="14" t="n">
        <f aca="true">$B$16+NORMINV(RAND(),0,SQRT($B$13*($B$7+$B$8^2))*$B$9*(1-$B$10))</f>
        <v>3843.0644818823</v>
      </c>
      <c r="O975" s="14" t="n">
        <f aca="true">$B$16+NORMINV(RAND(),0,SQRT($B$13*($B$7+$B$8^2))*$B$9*(1-$B$10))</f>
        <v>3788.67711927188</v>
      </c>
      <c r="P975" s="14" t="n">
        <f aca="true">$B$16+NORMINV(RAND(),0,SQRT($B$13*($B$7+$B$8^2))*$B$9*(1-$B$10))</f>
        <v>4192.08435962085</v>
      </c>
      <c r="Q975" s="14" t="n">
        <f aca="true">$B$16+NORMINV(RAND(),0,SQRT($B$13*($B$7+$B$8^2))*$B$9*(1-$B$10))</f>
        <v>4320.25749932256</v>
      </c>
      <c r="R975" s="14" t="n">
        <f aca="false">$B$4-13*($B$5+$B$6)/30-IF($B$11&lt;=13,$B$12,0)+0</f>
        <v>8876.66666666667</v>
      </c>
      <c r="S975" s="14" t="n">
        <f aca="false">$B$4-27*($B$5+$B$6)/30-IF($B$11&lt;=27,$B$12,0)+L975</f>
        <v>11086.7015358281</v>
      </c>
      <c r="T975" s="14" t="n">
        <f aca="false">$B$4-41*($B$5+$B$6)/30-IF($B$11&lt;=41,$B$12,0)+L975+M975</f>
        <v>1432.64471825691</v>
      </c>
      <c r="U975" s="14" t="n">
        <f aca="false">$B$4-55*($B$5+$B$6)/30-IF($B$11&lt;=55,$B$12,0)+L975+M975+N975</f>
        <v>2989.04253347255</v>
      </c>
      <c r="V975" s="14" t="n">
        <f aca="false">$B$4-69*($B$5+$B$6)/30-IF($B$11&lt;=69,$B$12,0)+L975+M975+N975+O975</f>
        <v>4491.05298607777</v>
      </c>
      <c r="W975" s="14" t="n">
        <f aca="false">$B$4-83*($B$5+$B$6)/30-IF($B$11&lt;=83,$B$12,0)+L975+M975+N975+O975+P975</f>
        <v>6396.47067903194</v>
      </c>
      <c r="X975" s="14" t="n">
        <f aca="false">$B$4-90*($B$5+$B$6)/30-IF($B$11&lt;=90,$B$12,0)+L975+M975+N975+O975+P975+Q975</f>
        <v>9573.39484502117</v>
      </c>
      <c r="AA975" s="14" t="n">
        <f aca="false">MIN(R975:X975)</f>
        <v>1432.64471825691</v>
      </c>
    </row>
    <row r="976" customFormat="false" ht="15" hidden="false" customHeight="false" outlineLevel="0" collapsed="false">
      <c r="K976" s="2" t="n">
        <v>971</v>
      </c>
      <c r="L976" s="14" t="n">
        <f aca="true">$B$16+NORMINV(RAND(),0,SQRT($B$13*($B$7+$B$8^2))*$B$9*(1-$B$10))</f>
        <v>4269.57591256195</v>
      </c>
      <c r="M976" s="14" t="n">
        <f aca="true">$B$16+NORMINV(RAND(),0,SQRT($B$13*($B$7+$B$8^2))*$B$9*(1-$B$10))</f>
        <v>4134.47213689005</v>
      </c>
      <c r="N976" s="14" t="n">
        <f aca="true">$B$16+NORMINV(RAND(),0,SQRT($B$13*($B$7+$B$8^2))*$B$9*(1-$B$10))</f>
        <v>3930.06079323148</v>
      </c>
      <c r="O976" s="14" t="n">
        <f aca="true">$B$16+NORMINV(RAND(),0,SQRT($B$13*($B$7+$B$8^2))*$B$9*(1-$B$10))</f>
        <v>3940.01585330565</v>
      </c>
      <c r="P976" s="14" t="n">
        <f aca="true">$B$16+NORMINV(RAND(),0,SQRT($B$13*($B$7+$B$8^2))*$B$9*(1-$B$10))</f>
        <v>4303.96347673828</v>
      </c>
      <c r="Q976" s="14" t="n">
        <f aca="true">$B$16+NORMINV(RAND(),0,SQRT($B$13*($B$7+$B$8^2))*$B$9*(1-$B$10))</f>
        <v>4125.29362479803</v>
      </c>
      <c r="R976" s="14" t="n">
        <f aca="false">$B$4-13*($B$5+$B$6)/30-IF($B$11&lt;=13,$B$12,0)+0</f>
        <v>8876.66666666667</v>
      </c>
      <c r="S976" s="14" t="n">
        <f aca="false">$B$4-27*($B$5+$B$6)/30-IF($B$11&lt;=27,$B$12,0)+L976</f>
        <v>10859.5759125619</v>
      </c>
      <c r="T976" s="14" t="n">
        <f aca="false">$B$4-41*($B$5+$B$6)/30-IF($B$11&lt;=41,$B$12,0)+L976+M976</f>
        <v>1522.58138278533</v>
      </c>
      <c r="U976" s="14" t="n">
        <f aca="false">$B$4-55*($B$5+$B$6)/30-IF($B$11&lt;=55,$B$12,0)+L976+M976+N976</f>
        <v>3165.97550935014</v>
      </c>
      <c r="V976" s="14" t="n">
        <f aca="false">$B$4-69*($B$5+$B$6)/30-IF($B$11&lt;=69,$B$12,0)+L976+M976+N976+O976</f>
        <v>4819.32469598913</v>
      </c>
      <c r="W976" s="14" t="n">
        <f aca="false">$B$4-83*($B$5+$B$6)/30-IF($B$11&lt;=83,$B$12,0)+L976+M976+N976+O976+P976</f>
        <v>6836.62150606074</v>
      </c>
      <c r="X976" s="14" t="n">
        <f aca="false">$B$4-90*($B$5+$B$6)/30-IF($B$11&lt;=90,$B$12,0)+L976+M976+N976+O976+P976+Q976</f>
        <v>9818.58179752544</v>
      </c>
      <c r="AA976" s="14" t="n">
        <f aca="false">MIN(R976:X976)</f>
        <v>1522.58138278533</v>
      </c>
    </row>
    <row r="977" customFormat="false" ht="15" hidden="false" customHeight="false" outlineLevel="0" collapsed="false">
      <c r="K977" s="2" t="n">
        <v>972</v>
      </c>
      <c r="L977" s="14" t="n">
        <f aca="true">$B$16+NORMINV(RAND(),0,SQRT($B$13*($B$7+$B$8^2))*$B$9*(1-$B$10))</f>
        <v>3737.04690680014</v>
      </c>
      <c r="M977" s="14" t="n">
        <f aca="true">$B$16+NORMINV(RAND(),0,SQRT($B$13*($B$7+$B$8^2))*$B$9*(1-$B$10))</f>
        <v>4275.15134427378</v>
      </c>
      <c r="N977" s="14" t="n">
        <f aca="true">$B$16+NORMINV(RAND(),0,SQRT($B$13*($B$7+$B$8^2))*$B$9*(1-$B$10))</f>
        <v>4411.8221485954</v>
      </c>
      <c r="O977" s="14" t="n">
        <f aca="true">$B$16+NORMINV(RAND(),0,SQRT($B$13*($B$7+$B$8^2))*$B$9*(1-$B$10))</f>
        <v>3722.98954815603</v>
      </c>
      <c r="P977" s="14" t="n">
        <f aca="true">$B$16+NORMINV(RAND(),0,SQRT($B$13*($B$7+$B$8^2))*$B$9*(1-$B$10))</f>
        <v>4493.753077897</v>
      </c>
      <c r="Q977" s="14" t="n">
        <f aca="true">$B$16+NORMINV(RAND(),0,SQRT($B$13*($B$7+$B$8^2))*$B$9*(1-$B$10))</f>
        <v>3565.54535246097</v>
      </c>
      <c r="R977" s="14" t="n">
        <f aca="false">$B$4-13*($B$5+$B$6)/30-IF($B$11&lt;=13,$B$12,0)+0</f>
        <v>8876.66666666667</v>
      </c>
      <c r="S977" s="14" t="n">
        <f aca="false">$B$4-27*($B$5+$B$6)/30-IF($B$11&lt;=27,$B$12,0)+L977</f>
        <v>10327.0469068001</v>
      </c>
      <c r="T977" s="14" t="n">
        <f aca="false">$B$4-41*($B$5+$B$6)/30-IF($B$11&lt;=41,$B$12,0)+L977+M977</f>
        <v>1130.73158440725</v>
      </c>
      <c r="U977" s="14" t="n">
        <f aca="false">$B$4-55*($B$5+$B$6)/30-IF($B$11&lt;=55,$B$12,0)+L977+M977+N977</f>
        <v>3255.88706633599</v>
      </c>
      <c r="V977" s="14" t="n">
        <f aca="false">$B$4-69*($B$5+$B$6)/30-IF($B$11&lt;=69,$B$12,0)+L977+M977+N977+O977</f>
        <v>4692.20994782536</v>
      </c>
      <c r="W977" s="14" t="n">
        <f aca="false">$B$4-83*($B$5+$B$6)/30-IF($B$11&lt;=83,$B$12,0)+L977+M977+N977+O977+P977</f>
        <v>6899.29635905569</v>
      </c>
      <c r="X977" s="14" t="n">
        <f aca="false">$B$4-90*($B$5+$B$6)/30-IF($B$11&lt;=90,$B$12,0)+L977+M977+N977+O977+P977+Q977</f>
        <v>9321.50837818333</v>
      </c>
      <c r="AA977" s="14" t="n">
        <f aca="false">MIN(R977:X977)</f>
        <v>1130.73158440725</v>
      </c>
    </row>
    <row r="978" customFormat="false" ht="15" hidden="false" customHeight="false" outlineLevel="0" collapsed="false">
      <c r="K978" s="2" t="n">
        <v>973</v>
      </c>
      <c r="L978" s="14" t="n">
        <f aca="true">$B$16+NORMINV(RAND(),0,SQRT($B$13*($B$7+$B$8^2))*$B$9*(1-$B$10))</f>
        <v>4235.0430009612</v>
      </c>
      <c r="M978" s="14" t="n">
        <f aca="true">$B$16+NORMINV(RAND(),0,SQRT($B$13*($B$7+$B$8^2))*$B$9*(1-$B$10))</f>
        <v>4246.2206412238</v>
      </c>
      <c r="N978" s="14" t="n">
        <f aca="true">$B$16+NORMINV(RAND(),0,SQRT($B$13*($B$7+$B$8^2))*$B$9*(1-$B$10))</f>
        <v>4086.67463438542</v>
      </c>
      <c r="O978" s="14" t="n">
        <f aca="true">$B$16+NORMINV(RAND(),0,SQRT($B$13*($B$7+$B$8^2))*$B$9*(1-$B$10))</f>
        <v>3784.41063867066</v>
      </c>
      <c r="P978" s="14" t="n">
        <f aca="true">$B$16+NORMINV(RAND(),0,SQRT($B$13*($B$7+$B$8^2))*$B$9*(1-$B$10))</f>
        <v>3851.69917890045</v>
      </c>
      <c r="Q978" s="14" t="n">
        <f aca="true">$B$16+NORMINV(RAND(),0,SQRT($B$13*($B$7+$B$8^2))*$B$9*(1-$B$10))</f>
        <v>4249.99267915936</v>
      </c>
      <c r="R978" s="14" t="n">
        <f aca="false">$B$4-13*($B$5+$B$6)/30-IF($B$11&lt;=13,$B$12,0)+0</f>
        <v>8876.66666666667</v>
      </c>
      <c r="S978" s="14" t="n">
        <f aca="false">$B$4-27*($B$5+$B$6)/30-IF($B$11&lt;=27,$B$12,0)+L978</f>
        <v>10825.0430009612</v>
      </c>
      <c r="T978" s="14" t="n">
        <f aca="false">$B$4-41*($B$5+$B$6)/30-IF($B$11&lt;=41,$B$12,0)+L978+M978</f>
        <v>1599.79697551833</v>
      </c>
      <c r="U978" s="14" t="n">
        <f aca="false">$B$4-55*($B$5+$B$6)/30-IF($B$11&lt;=55,$B$12,0)+L978+M978+N978</f>
        <v>3399.80494323708</v>
      </c>
      <c r="V978" s="14" t="n">
        <f aca="false">$B$4-69*($B$5+$B$6)/30-IF($B$11&lt;=69,$B$12,0)+L978+M978+N978+O978</f>
        <v>4897.54891524107</v>
      </c>
      <c r="W978" s="14" t="n">
        <f aca="false">$B$4-83*($B$5+$B$6)/30-IF($B$11&lt;=83,$B$12,0)+L978+M978+N978+O978+P978</f>
        <v>6462.58142747486</v>
      </c>
      <c r="X978" s="14" t="n">
        <f aca="false">$B$4-90*($B$5+$B$6)/30-IF($B$11&lt;=90,$B$12,0)+L978+M978+N978+O978+P978+Q978</f>
        <v>9569.24077330088</v>
      </c>
      <c r="AA978" s="14" t="n">
        <f aca="false">MIN(R978:X978)</f>
        <v>1599.79697551833</v>
      </c>
    </row>
    <row r="979" customFormat="false" ht="15" hidden="false" customHeight="false" outlineLevel="0" collapsed="false">
      <c r="K979" s="2" t="n">
        <v>974</v>
      </c>
      <c r="L979" s="14" t="n">
        <f aca="true">$B$16+NORMINV(RAND(),0,SQRT($B$13*($B$7+$B$8^2))*$B$9*(1-$B$10))</f>
        <v>3780.79155841299</v>
      </c>
      <c r="M979" s="14" t="n">
        <f aca="true">$B$16+NORMINV(RAND(),0,SQRT($B$13*($B$7+$B$8^2))*$B$9*(1-$B$10))</f>
        <v>4568.79036742437</v>
      </c>
      <c r="N979" s="14" t="n">
        <f aca="true">$B$16+NORMINV(RAND(),0,SQRT($B$13*($B$7+$B$8^2))*$B$9*(1-$B$10))</f>
        <v>3867.39295990178</v>
      </c>
      <c r="O979" s="14" t="n">
        <f aca="true">$B$16+NORMINV(RAND(),0,SQRT($B$13*($B$7+$B$8^2))*$B$9*(1-$B$10))</f>
        <v>4594.80565098686</v>
      </c>
      <c r="P979" s="14" t="n">
        <f aca="true">$B$16+NORMINV(RAND(),0,SQRT($B$13*($B$7+$B$8^2))*$B$9*(1-$B$10))</f>
        <v>4223.91186716988</v>
      </c>
      <c r="Q979" s="14" t="n">
        <f aca="true">$B$16+NORMINV(RAND(),0,SQRT($B$13*($B$7+$B$8^2))*$B$9*(1-$B$10))</f>
        <v>3431.02968753009</v>
      </c>
      <c r="R979" s="14" t="n">
        <f aca="false">$B$4-13*($B$5+$B$6)/30-IF($B$11&lt;=13,$B$12,0)+0</f>
        <v>8876.66666666667</v>
      </c>
      <c r="S979" s="14" t="n">
        <f aca="false">$B$4-27*($B$5+$B$6)/30-IF($B$11&lt;=27,$B$12,0)+L979</f>
        <v>10370.791558413</v>
      </c>
      <c r="T979" s="14" t="n">
        <f aca="false">$B$4-41*($B$5+$B$6)/30-IF($B$11&lt;=41,$B$12,0)+L979+M979</f>
        <v>1468.11525917069</v>
      </c>
      <c r="U979" s="14" t="n">
        <f aca="false">$B$4-55*($B$5+$B$6)/30-IF($B$11&lt;=55,$B$12,0)+L979+M979+N979</f>
        <v>3048.8415524058</v>
      </c>
      <c r="V979" s="14" t="n">
        <f aca="false">$B$4-69*($B$5+$B$6)/30-IF($B$11&lt;=69,$B$12,0)+L979+M979+N979+O979</f>
        <v>5356.98053672599</v>
      </c>
      <c r="W979" s="14" t="n">
        <f aca="false">$B$4-83*($B$5+$B$6)/30-IF($B$11&lt;=83,$B$12,0)+L979+M979+N979+O979+P979</f>
        <v>7294.2257372292</v>
      </c>
      <c r="X979" s="14" t="n">
        <f aca="false">$B$4-90*($B$5+$B$6)/30-IF($B$11&lt;=90,$B$12,0)+L979+M979+N979+O979+P979+Q979</f>
        <v>9581.92209142595</v>
      </c>
      <c r="AA979" s="14" t="n">
        <f aca="false">MIN(R979:X979)</f>
        <v>1468.11525917069</v>
      </c>
    </row>
    <row r="980" customFormat="false" ht="15" hidden="false" customHeight="false" outlineLevel="0" collapsed="false">
      <c r="K980" s="2" t="n">
        <v>975</v>
      </c>
      <c r="L980" s="14" t="n">
        <f aca="true">$B$16+NORMINV(RAND(),0,SQRT($B$13*($B$7+$B$8^2))*$B$9*(1-$B$10))</f>
        <v>4142.26303208268</v>
      </c>
      <c r="M980" s="14" t="n">
        <f aca="true">$B$16+NORMINV(RAND(),0,SQRT($B$13*($B$7+$B$8^2))*$B$9*(1-$B$10))</f>
        <v>3944.44562162077</v>
      </c>
      <c r="N980" s="14" t="n">
        <f aca="true">$B$16+NORMINV(RAND(),0,SQRT($B$13*($B$7+$B$8^2))*$B$9*(1-$B$10))</f>
        <v>3981.95184660758</v>
      </c>
      <c r="O980" s="14" t="n">
        <f aca="true">$B$16+NORMINV(RAND(),0,SQRT($B$13*($B$7+$B$8^2))*$B$9*(1-$B$10))</f>
        <v>4301.42722704877</v>
      </c>
      <c r="P980" s="14" t="n">
        <f aca="true">$B$16+NORMINV(RAND(),0,SQRT($B$13*($B$7+$B$8^2))*$B$9*(1-$B$10))</f>
        <v>3409.2705321729</v>
      </c>
      <c r="Q980" s="14" t="n">
        <f aca="true">$B$16+NORMINV(RAND(),0,SQRT($B$13*($B$7+$B$8^2))*$B$9*(1-$B$10))</f>
        <v>3866.94382638753</v>
      </c>
      <c r="R980" s="14" t="n">
        <f aca="false">$B$4-13*($B$5+$B$6)/30-IF($B$11&lt;=13,$B$12,0)+0</f>
        <v>8876.66666666667</v>
      </c>
      <c r="S980" s="14" t="n">
        <f aca="false">$B$4-27*($B$5+$B$6)/30-IF($B$11&lt;=27,$B$12,0)+L980</f>
        <v>10732.2630320827</v>
      </c>
      <c r="T980" s="14" t="n">
        <f aca="false">$B$4-41*($B$5+$B$6)/30-IF($B$11&lt;=41,$B$12,0)+L980+M980</f>
        <v>1205.24198703678</v>
      </c>
      <c r="U980" s="14" t="n">
        <f aca="false">$B$4-55*($B$5+$B$6)/30-IF($B$11&lt;=55,$B$12,0)+L980+M980+N980</f>
        <v>2900.52716697769</v>
      </c>
      <c r="V980" s="14" t="n">
        <f aca="false">$B$4-69*($B$5+$B$6)/30-IF($B$11&lt;=69,$B$12,0)+L980+M980+N980+O980</f>
        <v>4915.2877273598</v>
      </c>
      <c r="W980" s="14" t="n">
        <f aca="false">$B$4-83*($B$5+$B$6)/30-IF($B$11&lt;=83,$B$12,0)+L980+M980+N980+O980+P980</f>
        <v>6037.89159286603</v>
      </c>
      <c r="X980" s="14" t="n">
        <f aca="false">$B$4-90*($B$5+$B$6)/30-IF($B$11&lt;=90,$B$12,0)+L980+M980+N980+O980+P980+Q980</f>
        <v>8761.50208592023</v>
      </c>
      <c r="AA980" s="14" t="n">
        <f aca="false">MIN(R980:X980)</f>
        <v>1205.24198703678</v>
      </c>
    </row>
    <row r="981" customFormat="false" ht="15" hidden="false" customHeight="false" outlineLevel="0" collapsed="false">
      <c r="K981" s="2" t="n">
        <v>976</v>
      </c>
      <c r="L981" s="14" t="n">
        <f aca="true">$B$16+NORMINV(RAND(),0,SQRT($B$13*($B$7+$B$8^2))*$B$9*(1-$B$10))</f>
        <v>3799.26703500424</v>
      </c>
      <c r="M981" s="14" t="n">
        <f aca="true">$B$16+NORMINV(RAND(),0,SQRT($B$13*($B$7+$B$8^2))*$B$9*(1-$B$10))</f>
        <v>4054.00346019417</v>
      </c>
      <c r="N981" s="14" t="n">
        <f aca="true">$B$16+NORMINV(RAND(),0,SQRT($B$13*($B$7+$B$8^2))*$B$9*(1-$B$10))</f>
        <v>4632.14374357648</v>
      </c>
      <c r="O981" s="14" t="n">
        <f aca="true">$B$16+NORMINV(RAND(),0,SQRT($B$13*($B$7+$B$8^2))*$B$9*(1-$B$10))</f>
        <v>4610.00357073203</v>
      </c>
      <c r="P981" s="14" t="n">
        <f aca="true">$B$16+NORMINV(RAND(),0,SQRT($B$13*($B$7+$B$8^2))*$B$9*(1-$B$10))</f>
        <v>4076.78150363275</v>
      </c>
      <c r="Q981" s="14" t="n">
        <f aca="true">$B$16+NORMINV(RAND(),0,SQRT($B$13*($B$7+$B$8^2))*$B$9*(1-$B$10))</f>
        <v>3940.16282536682</v>
      </c>
      <c r="R981" s="14" t="n">
        <f aca="false">$B$4-13*($B$5+$B$6)/30-IF($B$11&lt;=13,$B$12,0)+0</f>
        <v>8876.66666666667</v>
      </c>
      <c r="S981" s="14" t="n">
        <f aca="false">$B$4-27*($B$5+$B$6)/30-IF($B$11&lt;=27,$B$12,0)+L981</f>
        <v>10389.2670350042</v>
      </c>
      <c r="T981" s="14" t="n">
        <f aca="false">$B$4-41*($B$5+$B$6)/30-IF($B$11&lt;=41,$B$12,0)+L981+M981</f>
        <v>971.803828531735</v>
      </c>
      <c r="U981" s="14" t="n">
        <f aca="false">$B$4-55*($B$5+$B$6)/30-IF($B$11&lt;=55,$B$12,0)+L981+M981+N981</f>
        <v>3317.28090544155</v>
      </c>
      <c r="V981" s="14" t="n">
        <f aca="false">$B$4-69*($B$5+$B$6)/30-IF($B$11&lt;=69,$B$12,0)+L981+M981+N981+O981</f>
        <v>5640.61780950692</v>
      </c>
      <c r="W981" s="14" t="n">
        <f aca="false">$B$4-83*($B$5+$B$6)/30-IF($B$11&lt;=83,$B$12,0)+L981+M981+N981+O981+P981</f>
        <v>7430.732646473</v>
      </c>
      <c r="X981" s="14" t="n">
        <f aca="false">$B$4-90*($B$5+$B$6)/30-IF($B$11&lt;=90,$B$12,0)+L981+M981+N981+O981+P981+Q981</f>
        <v>10227.5621385065</v>
      </c>
      <c r="AA981" s="14" t="n">
        <f aca="false">MIN(R981:X981)</f>
        <v>971.803828531735</v>
      </c>
    </row>
    <row r="982" customFormat="false" ht="15" hidden="false" customHeight="false" outlineLevel="0" collapsed="false">
      <c r="K982" s="2" t="n">
        <v>977</v>
      </c>
      <c r="L982" s="14" t="n">
        <f aca="true">$B$16+NORMINV(RAND(),0,SQRT($B$13*($B$7+$B$8^2))*$B$9*(1-$B$10))</f>
        <v>3986.69203782555</v>
      </c>
      <c r="M982" s="14" t="n">
        <f aca="true">$B$16+NORMINV(RAND(),0,SQRT($B$13*($B$7+$B$8^2))*$B$9*(1-$B$10))</f>
        <v>4504.82401564958</v>
      </c>
      <c r="N982" s="14" t="n">
        <f aca="true">$B$16+NORMINV(RAND(),0,SQRT($B$13*($B$7+$B$8^2))*$B$9*(1-$B$10))</f>
        <v>3646.73787867154</v>
      </c>
      <c r="O982" s="14" t="n">
        <f aca="true">$B$16+NORMINV(RAND(),0,SQRT($B$13*($B$7+$B$8^2))*$B$9*(1-$B$10))</f>
        <v>4495.93696354107</v>
      </c>
      <c r="P982" s="14" t="n">
        <f aca="true">$B$16+NORMINV(RAND(),0,SQRT($B$13*($B$7+$B$8^2))*$B$9*(1-$B$10))</f>
        <v>4000.02845741168</v>
      </c>
      <c r="Q982" s="14" t="n">
        <f aca="true">$B$16+NORMINV(RAND(),0,SQRT($B$13*($B$7+$B$8^2))*$B$9*(1-$B$10))</f>
        <v>3775.15399124108</v>
      </c>
      <c r="R982" s="14" t="n">
        <f aca="false">$B$4-13*($B$5+$B$6)/30-IF($B$11&lt;=13,$B$12,0)+0</f>
        <v>8876.66666666667</v>
      </c>
      <c r="S982" s="14" t="n">
        <f aca="false">$B$4-27*($B$5+$B$6)/30-IF($B$11&lt;=27,$B$12,0)+L982</f>
        <v>10576.6920378255</v>
      </c>
      <c r="T982" s="14" t="n">
        <f aca="false">$B$4-41*($B$5+$B$6)/30-IF($B$11&lt;=41,$B$12,0)+L982+M982</f>
        <v>1610.04938680846</v>
      </c>
      <c r="U982" s="14" t="n">
        <f aca="false">$B$4-55*($B$5+$B$6)/30-IF($B$11&lt;=55,$B$12,0)+L982+M982+N982</f>
        <v>2970.12059881333</v>
      </c>
      <c r="V982" s="14" t="n">
        <f aca="false">$B$4-69*($B$5+$B$6)/30-IF($B$11&lt;=69,$B$12,0)+L982+M982+N982+O982</f>
        <v>5179.39089568773</v>
      </c>
      <c r="W982" s="14" t="n">
        <f aca="false">$B$4-83*($B$5+$B$6)/30-IF($B$11&lt;=83,$B$12,0)+L982+M982+N982+O982+P982</f>
        <v>6892.75268643274</v>
      </c>
      <c r="X982" s="14" t="n">
        <f aca="false">$B$4-90*($B$5+$B$6)/30-IF($B$11&lt;=90,$B$12,0)+L982+M982+N982+O982+P982+Q982</f>
        <v>9524.57334434049</v>
      </c>
      <c r="AA982" s="14" t="n">
        <f aca="false">MIN(R982:X982)</f>
        <v>1610.04938680846</v>
      </c>
    </row>
    <row r="983" customFormat="false" ht="15" hidden="false" customHeight="false" outlineLevel="0" collapsed="false">
      <c r="K983" s="2" t="n">
        <v>978</v>
      </c>
      <c r="L983" s="14" t="n">
        <f aca="true">$B$16+NORMINV(RAND(),0,SQRT($B$13*($B$7+$B$8^2))*$B$9*(1-$B$10))</f>
        <v>4006.08191388918</v>
      </c>
      <c r="M983" s="14" t="n">
        <f aca="true">$B$16+NORMINV(RAND(),0,SQRT($B$13*($B$7+$B$8^2))*$B$9*(1-$B$10))</f>
        <v>3247.03957327901</v>
      </c>
      <c r="N983" s="14" t="n">
        <f aca="true">$B$16+NORMINV(RAND(),0,SQRT($B$13*($B$7+$B$8^2))*$B$9*(1-$B$10))</f>
        <v>4147.26447150486</v>
      </c>
      <c r="O983" s="14" t="n">
        <f aca="true">$B$16+NORMINV(RAND(),0,SQRT($B$13*($B$7+$B$8^2))*$B$9*(1-$B$10))</f>
        <v>3969.28551365054</v>
      </c>
      <c r="P983" s="14" t="n">
        <f aca="true">$B$16+NORMINV(RAND(),0,SQRT($B$13*($B$7+$B$8^2))*$B$9*(1-$B$10))</f>
        <v>3387.60496836861</v>
      </c>
      <c r="Q983" s="14" t="n">
        <f aca="true">$B$16+NORMINV(RAND(),0,SQRT($B$13*($B$7+$B$8^2))*$B$9*(1-$B$10))</f>
        <v>4156.41266543539</v>
      </c>
      <c r="R983" s="14" t="n">
        <f aca="false">$B$4-13*($B$5+$B$6)/30-IF($B$11&lt;=13,$B$12,0)+0</f>
        <v>8876.66666666667</v>
      </c>
      <c r="S983" s="14" t="n">
        <f aca="false">$B$4-27*($B$5+$B$6)/30-IF($B$11&lt;=27,$B$12,0)+L983</f>
        <v>10596.0819138892</v>
      </c>
      <c r="T983" s="14" t="n">
        <f aca="false">$B$4-41*($B$5+$B$6)/30-IF($B$11&lt;=41,$B$12,0)+L983+M983</f>
        <v>371.654820501528</v>
      </c>
      <c r="U983" s="14" t="n">
        <f aca="false">$B$4-55*($B$5+$B$6)/30-IF($B$11&lt;=55,$B$12,0)+L983+M983+N983</f>
        <v>2232.25262533972</v>
      </c>
      <c r="V983" s="14" t="n">
        <f aca="false">$B$4-69*($B$5+$B$6)/30-IF($B$11&lt;=69,$B$12,0)+L983+M983+N983+O983</f>
        <v>3914.87147232359</v>
      </c>
      <c r="W983" s="14" t="n">
        <f aca="false">$B$4-83*($B$5+$B$6)/30-IF($B$11&lt;=83,$B$12,0)+L983+M983+N983+O983+P983</f>
        <v>5015.80977402553</v>
      </c>
      <c r="X983" s="14" t="n">
        <f aca="false">$B$4-90*($B$5+$B$6)/30-IF($B$11&lt;=90,$B$12,0)+L983+M983+N983+O983+P983+Q983</f>
        <v>8028.88910612759</v>
      </c>
      <c r="AA983" s="14" t="n">
        <f aca="false">MIN(R983:X983)</f>
        <v>371.654820501528</v>
      </c>
    </row>
    <row r="984" customFormat="false" ht="15" hidden="false" customHeight="false" outlineLevel="0" collapsed="false">
      <c r="K984" s="2" t="n">
        <v>979</v>
      </c>
      <c r="L984" s="14" t="n">
        <f aca="true">$B$16+NORMINV(RAND(),0,SQRT($B$13*($B$7+$B$8^2))*$B$9*(1-$B$10))</f>
        <v>4253.95350622817</v>
      </c>
      <c r="M984" s="14" t="n">
        <f aca="true">$B$16+NORMINV(RAND(),0,SQRT($B$13*($B$7+$B$8^2))*$B$9*(1-$B$10))</f>
        <v>3867.76224691605</v>
      </c>
      <c r="N984" s="14" t="n">
        <f aca="true">$B$16+NORMINV(RAND(),0,SQRT($B$13*($B$7+$B$8^2))*$B$9*(1-$B$10))</f>
        <v>4044.80302028673</v>
      </c>
      <c r="O984" s="14" t="n">
        <f aca="true">$B$16+NORMINV(RAND(),0,SQRT($B$13*($B$7+$B$8^2))*$B$9*(1-$B$10))</f>
        <v>4061.9584349399</v>
      </c>
      <c r="P984" s="14" t="n">
        <f aca="true">$B$16+NORMINV(RAND(),0,SQRT($B$13*($B$7+$B$8^2))*$B$9*(1-$B$10))</f>
        <v>4271.61495120304</v>
      </c>
      <c r="Q984" s="14" t="n">
        <f aca="true">$B$16+NORMINV(RAND(),0,SQRT($B$13*($B$7+$B$8^2))*$B$9*(1-$B$10))</f>
        <v>4013.38266054882</v>
      </c>
      <c r="R984" s="14" t="n">
        <f aca="false">$B$4-13*($B$5+$B$6)/30-IF($B$11&lt;=13,$B$12,0)+0</f>
        <v>8876.66666666667</v>
      </c>
      <c r="S984" s="14" t="n">
        <f aca="false">$B$4-27*($B$5+$B$6)/30-IF($B$11&lt;=27,$B$12,0)+L984</f>
        <v>10843.9535062282</v>
      </c>
      <c r="T984" s="14" t="n">
        <f aca="false">$B$4-41*($B$5+$B$6)/30-IF($B$11&lt;=41,$B$12,0)+L984+M984</f>
        <v>1240.24908647755</v>
      </c>
      <c r="U984" s="14" t="n">
        <f aca="false">$B$4-55*($B$5+$B$6)/30-IF($B$11&lt;=55,$B$12,0)+L984+M984+N984</f>
        <v>2998.38544009762</v>
      </c>
      <c r="V984" s="14" t="n">
        <f aca="false">$B$4-69*($B$5+$B$6)/30-IF($B$11&lt;=69,$B$12,0)+L984+M984+N984+O984</f>
        <v>4773.67720837085</v>
      </c>
      <c r="W984" s="14" t="n">
        <f aca="false">$B$4-83*($B$5+$B$6)/30-IF($B$11&lt;=83,$B$12,0)+L984+M984+N984+O984+P984</f>
        <v>6758.62549290722</v>
      </c>
      <c r="X984" s="14" t="n">
        <f aca="false">$B$4-90*($B$5+$B$6)/30-IF($B$11&lt;=90,$B$12,0)+L984+M984+N984+O984+P984+Q984</f>
        <v>9628.67482012271</v>
      </c>
      <c r="AA984" s="14" t="n">
        <f aca="false">MIN(R984:X984)</f>
        <v>1240.24908647755</v>
      </c>
    </row>
    <row r="985" customFormat="false" ht="15" hidden="false" customHeight="false" outlineLevel="0" collapsed="false">
      <c r="K985" s="2" t="n">
        <v>980</v>
      </c>
      <c r="L985" s="14" t="n">
        <f aca="true">$B$16+NORMINV(RAND(),0,SQRT($B$13*($B$7+$B$8^2))*$B$9*(1-$B$10))</f>
        <v>3329.02596129507</v>
      </c>
      <c r="M985" s="14" t="n">
        <f aca="true">$B$16+NORMINV(RAND(),0,SQRT($B$13*($B$7+$B$8^2))*$B$9*(1-$B$10))</f>
        <v>4560.39096912272</v>
      </c>
      <c r="N985" s="14" t="n">
        <f aca="true">$B$16+NORMINV(RAND(),0,SQRT($B$13*($B$7+$B$8^2))*$B$9*(1-$B$10))</f>
        <v>3966.70419752195</v>
      </c>
      <c r="O985" s="14" t="n">
        <f aca="true">$B$16+NORMINV(RAND(),0,SQRT($B$13*($B$7+$B$8^2))*$B$9*(1-$B$10))</f>
        <v>4084.00144177382</v>
      </c>
      <c r="P985" s="14" t="n">
        <f aca="true">$B$16+NORMINV(RAND(),0,SQRT($B$13*($B$7+$B$8^2))*$B$9*(1-$B$10))</f>
        <v>3741.90460027175</v>
      </c>
      <c r="Q985" s="14" t="n">
        <f aca="true">$B$16+NORMINV(RAND(),0,SQRT($B$13*($B$7+$B$8^2))*$B$9*(1-$B$10))</f>
        <v>3821.2708856781</v>
      </c>
      <c r="R985" s="14" t="n">
        <f aca="false">$B$4-13*($B$5+$B$6)/30-IF($B$11&lt;=13,$B$12,0)+0</f>
        <v>8876.66666666667</v>
      </c>
      <c r="S985" s="14" t="n">
        <f aca="false">$B$4-27*($B$5+$B$6)/30-IF($B$11&lt;=27,$B$12,0)+L985</f>
        <v>9919.02596129507</v>
      </c>
      <c r="T985" s="14" t="n">
        <f aca="false">$B$4-41*($B$5+$B$6)/30-IF($B$11&lt;=41,$B$12,0)+L985+M985</f>
        <v>1007.95026375112</v>
      </c>
      <c r="U985" s="14" t="n">
        <f aca="false">$B$4-55*($B$5+$B$6)/30-IF($B$11&lt;=55,$B$12,0)+L985+M985+N985</f>
        <v>2687.98779460641</v>
      </c>
      <c r="V985" s="14" t="n">
        <f aca="false">$B$4-69*($B$5+$B$6)/30-IF($B$11&lt;=69,$B$12,0)+L985+M985+N985+O985</f>
        <v>4485.32256971356</v>
      </c>
      <c r="W985" s="14" t="n">
        <f aca="false">$B$4-83*($B$5+$B$6)/30-IF($B$11&lt;=83,$B$12,0)+L985+M985+N985+O985+P985</f>
        <v>5940.56050331865</v>
      </c>
      <c r="X985" s="14" t="n">
        <f aca="false">$B$4-90*($B$5+$B$6)/30-IF($B$11&lt;=90,$B$12,0)+L985+M985+N985+O985+P985+Q985</f>
        <v>8618.49805566342</v>
      </c>
      <c r="AA985" s="14" t="n">
        <f aca="false">MIN(R985:X985)</f>
        <v>1007.95026375112</v>
      </c>
    </row>
    <row r="986" customFormat="false" ht="15" hidden="false" customHeight="false" outlineLevel="0" collapsed="false">
      <c r="K986" s="2" t="n">
        <v>981</v>
      </c>
      <c r="L986" s="14" t="n">
        <f aca="true">$B$16+NORMINV(RAND(),0,SQRT($B$13*($B$7+$B$8^2))*$B$9*(1-$B$10))</f>
        <v>4712.05572670625</v>
      </c>
      <c r="M986" s="14" t="n">
        <f aca="true">$B$16+NORMINV(RAND(),0,SQRT($B$13*($B$7+$B$8^2))*$B$9*(1-$B$10))</f>
        <v>3885.93654502875</v>
      </c>
      <c r="N986" s="14" t="n">
        <f aca="true">$B$16+NORMINV(RAND(),0,SQRT($B$13*($B$7+$B$8^2))*$B$9*(1-$B$10))</f>
        <v>4387.33823196443</v>
      </c>
      <c r="O986" s="14" t="n">
        <f aca="true">$B$16+NORMINV(RAND(),0,SQRT($B$13*($B$7+$B$8^2))*$B$9*(1-$B$10))</f>
        <v>4479.58367184214</v>
      </c>
      <c r="P986" s="14" t="n">
        <f aca="true">$B$16+NORMINV(RAND(),0,SQRT($B$13*($B$7+$B$8^2))*$B$9*(1-$B$10))</f>
        <v>3741.69956640379</v>
      </c>
      <c r="Q986" s="14" t="n">
        <f aca="true">$B$16+NORMINV(RAND(),0,SQRT($B$13*($B$7+$B$8^2))*$B$9*(1-$B$10))</f>
        <v>4361.48961674583</v>
      </c>
      <c r="R986" s="14" t="n">
        <f aca="false">$B$4-13*($B$5+$B$6)/30-IF($B$11&lt;=13,$B$12,0)+0</f>
        <v>8876.66666666667</v>
      </c>
      <c r="S986" s="14" t="n">
        <f aca="false">$B$4-27*($B$5+$B$6)/30-IF($B$11&lt;=27,$B$12,0)+L986</f>
        <v>11302.0557267063</v>
      </c>
      <c r="T986" s="14" t="n">
        <f aca="false">$B$4-41*($B$5+$B$6)/30-IF($B$11&lt;=41,$B$12,0)+L986+M986</f>
        <v>1716.52560506834</v>
      </c>
      <c r="U986" s="14" t="n">
        <f aca="false">$B$4-55*($B$5+$B$6)/30-IF($B$11&lt;=55,$B$12,0)+L986+M986+N986</f>
        <v>3817.19717036609</v>
      </c>
      <c r="V986" s="14" t="n">
        <f aca="false">$B$4-69*($B$5+$B$6)/30-IF($B$11&lt;=69,$B$12,0)+L986+M986+N986+O986</f>
        <v>6010.11417554157</v>
      </c>
      <c r="W986" s="14" t="n">
        <f aca="false">$B$4-83*($B$5+$B$6)/30-IF($B$11&lt;=83,$B$12,0)+L986+M986+N986+O986+P986</f>
        <v>7465.1470752787</v>
      </c>
      <c r="X986" s="14" t="n">
        <f aca="false">$B$4-90*($B$5+$B$6)/30-IF($B$11&lt;=90,$B$12,0)+L986+M986+N986+O986+P986+Q986</f>
        <v>10683.3033586912</v>
      </c>
      <c r="AA986" s="14" t="n">
        <f aca="false">MIN(R986:X986)</f>
        <v>1716.52560506834</v>
      </c>
    </row>
    <row r="987" customFormat="false" ht="15" hidden="false" customHeight="false" outlineLevel="0" collapsed="false">
      <c r="K987" s="2" t="n">
        <v>982</v>
      </c>
      <c r="L987" s="14" t="n">
        <f aca="true">$B$16+NORMINV(RAND(),0,SQRT($B$13*($B$7+$B$8^2))*$B$9*(1-$B$10))</f>
        <v>3754.70222441128</v>
      </c>
      <c r="M987" s="14" t="n">
        <f aca="true">$B$16+NORMINV(RAND(),0,SQRT($B$13*($B$7+$B$8^2))*$B$9*(1-$B$10))</f>
        <v>3998.70661385421</v>
      </c>
      <c r="N987" s="14" t="n">
        <f aca="true">$B$16+NORMINV(RAND(),0,SQRT($B$13*($B$7+$B$8^2))*$B$9*(1-$B$10))</f>
        <v>4074.49314089795</v>
      </c>
      <c r="O987" s="14" t="n">
        <f aca="true">$B$16+NORMINV(RAND(),0,SQRT($B$13*($B$7+$B$8^2))*$B$9*(1-$B$10))</f>
        <v>4179.31752405395</v>
      </c>
      <c r="P987" s="14" t="n">
        <f aca="true">$B$16+NORMINV(RAND(),0,SQRT($B$13*($B$7+$B$8^2))*$B$9*(1-$B$10))</f>
        <v>3468.03376789545</v>
      </c>
      <c r="Q987" s="14" t="n">
        <f aca="true">$B$16+NORMINV(RAND(),0,SQRT($B$13*($B$7+$B$8^2))*$B$9*(1-$B$10))</f>
        <v>4278.92868452929</v>
      </c>
      <c r="R987" s="14" t="n">
        <f aca="false">$B$4-13*($B$5+$B$6)/30-IF($B$11&lt;=13,$B$12,0)+0</f>
        <v>8876.66666666667</v>
      </c>
      <c r="S987" s="14" t="n">
        <f aca="false">$B$4-27*($B$5+$B$6)/30-IF($B$11&lt;=27,$B$12,0)+L987</f>
        <v>10344.7022244113</v>
      </c>
      <c r="T987" s="14" t="n">
        <f aca="false">$B$4-41*($B$5+$B$6)/30-IF($B$11&lt;=41,$B$12,0)+L987+M987</f>
        <v>871.942171598825</v>
      </c>
      <c r="U987" s="14" t="n">
        <f aca="false">$B$4-55*($B$5+$B$6)/30-IF($B$11&lt;=55,$B$12,0)+L987+M987+N987</f>
        <v>2659.76864583011</v>
      </c>
      <c r="V987" s="14" t="n">
        <f aca="false">$B$4-69*($B$5+$B$6)/30-IF($B$11&lt;=69,$B$12,0)+L987+M987+N987+O987</f>
        <v>4552.41950321739</v>
      </c>
      <c r="W987" s="14" t="n">
        <f aca="false">$B$4-83*($B$5+$B$6)/30-IF($B$11&lt;=83,$B$12,0)+L987+M987+N987+O987+P987</f>
        <v>5733.78660444618</v>
      </c>
      <c r="X987" s="14" t="n">
        <f aca="false">$B$4-90*($B$5+$B$6)/30-IF($B$11&lt;=90,$B$12,0)+L987+M987+N987+O987+P987+Q987</f>
        <v>8869.38195564213</v>
      </c>
      <c r="AA987" s="14" t="n">
        <f aca="false">MIN(R987:X987)</f>
        <v>871.942171598825</v>
      </c>
    </row>
    <row r="988" customFormat="false" ht="15" hidden="false" customHeight="false" outlineLevel="0" collapsed="false">
      <c r="K988" s="2" t="n">
        <v>983</v>
      </c>
      <c r="L988" s="14" t="n">
        <f aca="true">$B$16+NORMINV(RAND(),0,SQRT($B$13*($B$7+$B$8^2))*$B$9*(1-$B$10))</f>
        <v>3621.32112158506</v>
      </c>
      <c r="M988" s="14" t="n">
        <f aca="true">$B$16+NORMINV(RAND(),0,SQRT($B$13*($B$7+$B$8^2))*$B$9*(1-$B$10))</f>
        <v>4521.89588555832</v>
      </c>
      <c r="N988" s="14" t="n">
        <f aca="true">$B$16+NORMINV(RAND(),0,SQRT($B$13*($B$7+$B$8^2))*$B$9*(1-$B$10))</f>
        <v>4506.40841159976</v>
      </c>
      <c r="O988" s="14" t="n">
        <f aca="true">$B$16+NORMINV(RAND(),0,SQRT($B$13*($B$7+$B$8^2))*$B$9*(1-$B$10))</f>
        <v>4645.19231047526</v>
      </c>
      <c r="P988" s="14" t="n">
        <f aca="true">$B$16+NORMINV(RAND(),0,SQRT($B$13*($B$7+$B$8^2))*$B$9*(1-$B$10))</f>
        <v>3681.92807690949</v>
      </c>
      <c r="Q988" s="14" t="n">
        <f aca="true">$B$16+NORMINV(RAND(),0,SQRT($B$13*($B$7+$B$8^2))*$B$9*(1-$B$10))</f>
        <v>3768.08522799905</v>
      </c>
      <c r="R988" s="14" t="n">
        <f aca="false">$B$4-13*($B$5+$B$6)/30-IF($B$11&lt;=13,$B$12,0)+0</f>
        <v>8876.66666666667</v>
      </c>
      <c r="S988" s="14" t="n">
        <f aca="false">$B$4-27*($B$5+$B$6)/30-IF($B$11&lt;=27,$B$12,0)+L988</f>
        <v>10211.3211215851</v>
      </c>
      <c r="T988" s="14" t="n">
        <f aca="false">$B$4-41*($B$5+$B$6)/30-IF($B$11&lt;=41,$B$12,0)+L988+M988</f>
        <v>1261.75034047671</v>
      </c>
      <c r="U988" s="14" t="n">
        <f aca="false">$B$4-55*($B$5+$B$6)/30-IF($B$11&lt;=55,$B$12,0)+L988+M988+N988</f>
        <v>3481.4920854098</v>
      </c>
      <c r="V988" s="14" t="n">
        <f aca="false">$B$4-69*($B$5+$B$6)/30-IF($B$11&lt;=69,$B$12,0)+L988+M988+N988+O988</f>
        <v>5840.01772921839</v>
      </c>
      <c r="W988" s="14" t="n">
        <f aca="false">$B$4-83*($B$5+$B$6)/30-IF($B$11&lt;=83,$B$12,0)+L988+M988+N988+O988+P988</f>
        <v>7235.27913946122</v>
      </c>
      <c r="X988" s="14" t="n">
        <f aca="false">$B$4-90*($B$5+$B$6)/30-IF($B$11&lt;=90,$B$12,0)+L988+M988+N988+O988+P988+Q988</f>
        <v>9860.03103412693</v>
      </c>
      <c r="AA988" s="14" t="n">
        <f aca="false">MIN(R988:X988)</f>
        <v>1261.75034047671</v>
      </c>
    </row>
    <row r="989" customFormat="false" ht="15" hidden="false" customHeight="false" outlineLevel="0" collapsed="false">
      <c r="K989" s="2" t="n">
        <v>984</v>
      </c>
      <c r="L989" s="14" t="n">
        <f aca="true">$B$16+NORMINV(RAND(),0,SQRT($B$13*($B$7+$B$8^2))*$B$9*(1-$B$10))</f>
        <v>4585.4435163928</v>
      </c>
      <c r="M989" s="14" t="n">
        <f aca="true">$B$16+NORMINV(RAND(),0,SQRT($B$13*($B$7+$B$8^2))*$B$9*(1-$B$10))</f>
        <v>4407.48462894662</v>
      </c>
      <c r="N989" s="14" t="n">
        <f aca="true">$B$16+NORMINV(RAND(),0,SQRT($B$13*($B$7+$B$8^2))*$B$9*(1-$B$10))</f>
        <v>4660.8093343569</v>
      </c>
      <c r="O989" s="14" t="n">
        <f aca="true">$B$16+NORMINV(RAND(),0,SQRT($B$13*($B$7+$B$8^2))*$B$9*(1-$B$10))</f>
        <v>4481.80080536743</v>
      </c>
      <c r="P989" s="14" t="n">
        <f aca="true">$B$16+NORMINV(RAND(),0,SQRT($B$13*($B$7+$B$8^2))*$B$9*(1-$B$10))</f>
        <v>3512.43184910139</v>
      </c>
      <c r="Q989" s="14" t="n">
        <f aca="true">$B$16+NORMINV(RAND(),0,SQRT($B$13*($B$7+$B$8^2))*$B$9*(1-$B$10))</f>
        <v>3574.9934109009</v>
      </c>
      <c r="R989" s="14" t="n">
        <f aca="false">$B$4-13*($B$5+$B$6)/30-IF($B$11&lt;=13,$B$12,0)+0</f>
        <v>8876.66666666667</v>
      </c>
      <c r="S989" s="14" t="n">
        <f aca="false">$B$4-27*($B$5+$B$6)/30-IF($B$11&lt;=27,$B$12,0)+L989</f>
        <v>11175.4435163928</v>
      </c>
      <c r="T989" s="14" t="n">
        <f aca="false">$B$4-41*($B$5+$B$6)/30-IF($B$11&lt;=41,$B$12,0)+L989+M989</f>
        <v>2111.46147867275</v>
      </c>
      <c r="U989" s="14" t="n">
        <f aca="false">$B$4-55*($B$5+$B$6)/30-IF($B$11&lt;=55,$B$12,0)+L989+M989+N989</f>
        <v>4485.60414636298</v>
      </c>
      <c r="V989" s="14" t="n">
        <f aca="false">$B$4-69*($B$5+$B$6)/30-IF($B$11&lt;=69,$B$12,0)+L989+M989+N989+O989</f>
        <v>6680.73828506374</v>
      </c>
      <c r="W989" s="14" t="n">
        <f aca="false">$B$4-83*($B$5+$B$6)/30-IF($B$11&lt;=83,$B$12,0)+L989+M989+N989+O989+P989</f>
        <v>7906.50346749846</v>
      </c>
      <c r="X989" s="14" t="n">
        <f aca="false">$B$4-90*($B$5+$B$6)/30-IF($B$11&lt;=90,$B$12,0)+L989+M989+N989+O989+P989+Q989</f>
        <v>10338.163545066</v>
      </c>
      <c r="AA989" s="14" t="n">
        <f aca="false">MIN(R989:X989)</f>
        <v>2111.46147867275</v>
      </c>
    </row>
    <row r="990" customFormat="false" ht="15" hidden="false" customHeight="false" outlineLevel="0" collapsed="false">
      <c r="K990" s="2" t="n">
        <v>985</v>
      </c>
      <c r="L990" s="14" t="n">
        <f aca="true">$B$16+NORMINV(RAND(),0,SQRT($B$13*($B$7+$B$8^2))*$B$9*(1-$B$10))</f>
        <v>3982.22246849224</v>
      </c>
      <c r="M990" s="14" t="n">
        <f aca="true">$B$16+NORMINV(RAND(),0,SQRT($B$13*($B$7+$B$8^2))*$B$9*(1-$B$10))</f>
        <v>4026.29248417649</v>
      </c>
      <c r="N990" s="14" t="n">
        <f aca="true">$B$16+NORMINV(RAND(),0,SQRT($B$13*($B$7+$B$8^2))*$B$9*(1-$B$10))</f>
        <v>4151.23374477582</v>
      </c>
      <c r="O990" s="14" t="n">
        <f aca="true">$B$16+NORMINV(RAND(),0,SQRT($B$13*($B$7+$B$8^2))*$B$9*(1-$B$10))</f>
        <v>4166.00791364951</v>
      </c>
      <c r="P990" s="14" t="n">
        <f aca="true">$B$16+NORMINV(RAND(),0,SQRT($B$13*($B$7+$B$8^2))*$B$9*(1-$B$10))</f>
        <v>4512.65584306923</v>
      </c>
      <c r="Q990" s="14" t="n">
        <f aca="true">$B$16+NORMINV(RAND(),0,SQRT($B$13*($B$7+$B$8^2))*$B$9*(1-$B$10))</f>
        <v>3987.20373228745</v>
      </c>
      <c r="R990" s="14" t="n">
        <f aca="false">$B$4-13*($B$5+$B$6)/30-IF($B$11&lt;=13,$B$12,0)+0</f>
        <v>8876.66666666667</v>
      </c>
      <c r="S990" s="14" t="n">
        <f aca="false">$B$4-27*($B$5+$B$6)/30-IF($B$11&lt;=27,$B$12,0)+L990</f>
        <v>10572.2224684922</v>
      </c>
      <c r="T990" s="14" t="n">
        <f aca="false">$B$4-41*($B$5+$B$6)/30-IF($B$11&lt;=41,$B$12,0)+L990+M990</f>
        <v>1127.04828600206</v>
      </c>
      <c r="U990" s="14" t="n">
        <f aca="false">$B$4-55*($B$5+$B$6)/30-IF($B$11&lt;=55,$B$12,0)+L990+M990+N990</f>
        <v>2991.61536411122</v>
      </c>
      <c r="V990" s="14" t="n">
        <f aca="false">$B$4-69*($B$5+$B$6)/30-IF($B$11&lt;=69,$B$12,0)+L990+M990+N990+O990</f>
        <v>4870.95661109406</v>
      </c>
      <c r="W990" s="14" t="n">
        <f aca="false">$B$4-83*($B$5+$B$6)/30-IF($B$11&lt;=83,$B$12,0)+L990+M990+N990+O990+P990</f>
        <v>7096.94578749662</v>
      </c>
      <c r="X990" s="14" t="n">
        <f aca="false">$B$4-90*($B$5+$B$6)/30-IF($B$11&lt;=90,$B$12,0)+L990+M990+N990+O990+P990+Q990</f>
        <v>9940.81618645074</v>
      </c>
      <c r="AA990" s="14" t="n">
        <f aca="false">MIN(R990:X990)</f>
        <v>1127.04828600206</v>
      </c>
    </row>
    <row r="991" customFormat="false" ht="15" hidden="false" customHeight="false" outlineLevel="0" collapsed="false">
      <c r="K991" s="2" t="n">
        <v>986</v>
      </c>
      <c r="L991" s="14" t="n">
        <f aca="true">$B$16+NORMINV(RAND(),0,SQRT($B$13*($B$7+$B$8^2))*$B$9*(1-$B$10))</f>
        <v>3681.02966622894</v>
      </c>
      <c r="M991" s="14" t="n">
        <f aca="true">$B$16+NORMINV(RAND(),0,SQRT($B$13*($B$7+$B$8^2))*$B$9*(1-$B$10))</f>
        <v>4746.97175970702</v>
      </c>
      <c r="N991" s="14" t="n">
        <f aca="true">$B$16+NORMINV(RAND(),0,SQRT($B$13*($B$7+$B$8^2))*$B$9*(1-$B$10))</f>
        <v>4503.00377996281</v>
      </c>
      <c r="O991" s="14" t="n">
        <f aca="true">$B$16+NORMINV(RAND(),0,SQRT($B$13*($B$7+$B$8^2))*$B$9*(1-$B$10))</f>
        <v>3913.79454405948</v>
      </c>
      <c r="P991" s="14" t="n">
        <f aca="true">$B$16+NORMINV(RAND(),0,SQRT($B$13*($B$7+$B$8^2))*$B$9*(1-$B$10))</f>
        <v>4186.06807286587</v>
      </c>
      <c r="Q991" s="14" t="n">
        <f aca="true">$B$16+NORMINV(RAND(),0,SQRT($B$13*($B$7+$B$8^2))*$B$9*(1-$B$10))</f>
        <v>4550.04170194322</v>
      </c>
      <c r="R991" s="14" t="n">
        <f aca="false">$B$4-13*($B$5+$B$6)/30-IF($B$11&lt;=13,$B$12,0)+0</f>
        <v>8876.66666666667</v>
      </c>
      <c r="S991" s="14" t="n">
        <f aca="false">$B$4-27*($B$5+$B$6)/30-IF($B$11&lt;=27,$B$12,0)+L991</f>
        <v>10271.0296662289</v>
      </c>
      <c r="T991" s="14" t="n">
        <f aca="false">$B$4-41*($B$5+$B$6)/30-IF($B$11&lt;=41,$B$12,0)+L991+M991</f>
        <v>1546.53475926929</v>
      </c>
      <c r="U991" s="14" t="n">
        <f aca="false">$B$4-55*($B$5+$B$6)/30-IF($B$11&lt;=55,$B$12,0)+L991+M991+N991</f>
        <v>3762.87187256543</v>
      </c>
      <c r="V991" s="14" t="n">
        <f aca="false">$B$4-69*($B$5+$B$6)/30-IF($B$11&lt;=69,$B$12,0)+L991+M991+N991+O991</f>
        <v>5389.99974995824</v>
      </c>
      <c r="W991" s="14" t="n">
        <f aca="false">$B$4-83*($B$5+$B$6)/30-IF($B$11&lt;=83,$B$12,0)+L991+M991+N991+O991+P991</f>
        <v>7289.40115615744</v>
      </c>
      <c r="X991" s="14" t="n">
        <f aca="false">$B$4-90*($B$5+$B$6)/30-IF($B$11&lt;=90,$B$12,0)+L991+M991+N991+O991+P991+Q991</f>
        <v>10696.1095247673</v>
      </c>
      <c r="AA991" s="14" t="n">
        <f aca="false">MIN(R991:X991)</f>
        <v>1546.53475926929</v>
      </c>
    </row>
    <row r="992" customFormat="false" ht="15" hidden="false" customHeight="false" outlineLevel="0" collapsed="false">
      <c r="K992" s="2" t="n">
        <v>987</v>
      </c>
      <c r="L992" s="14" t="n">
        <f aca="true">$B$16+NORMINV(RAND(),0,SQRT($B$13*($B$7+$B$8^2))*$B$9*(1-$B$10))</f>
        <v>3499.42419547024</v>
      </c>
      <c r="M992" s="14" t="n">
        <f aca="true">$B$16+NORMINV(RAND(),0,SQRT($B$13*($B$7+$B$8^2))*$B$9*(1-$B$10))</f>
        <v>3194.51093695521</v>
      </c>
      <c r="N992" s="14" t="n">
        <f aca="true">$B$16+NORMINV(RAND(),0,SQRT($B$13*($B$7+$B$8^2))*$B$9*(1-$B$10))</f>
        <v>4352.85569817953</v>
      </c>
      <c r="O992" s="14" t="n">
        <f aca="true">$B$16+NORMINV(RAND(),0,SQRT($B$13*($B$7+$B$8^2))*$B$9*(1-$B$10))</f>
        <v>3686.44854753223</v>
      </c>
      <c r="P992" s="14" t="n">
        <f aca="true">$B$16+NORMINV(RAND(),0,SQRT($B$13*($B$7+$B$8^2))*$B$9*(1-$B$10))</f>
        <v>4295.02763891794</v>
      </c>
      <c r="Q992" s="14" t="n">
        <f aca="true">$B$16+NORMINV(RAND(),0,SQRT($B$13*($B$7+$B$8^2))*$B$9*(1-$B$10))</f>
        <v>4040.40713230191</v>
      </c>
      <c r="R992" s="14" t="n">
        <f aca="false">$B$4-13*($B$5+$B$6)/30-IF($B$11&lt;=13,$B$12,0)+0</f>
        <v>8876.66666666667</v>
      </c>
      <c r="S992" s="14" t="n">
        <f aca="false">$B$4-27*($B$5+$B$6)/30-IF($B$11&lt;=27,$B$12,0)+L992</f>
        <v>10089.4241954702</v>
      </c>
      <c r="T992" s="14" t="n">
        <f aca="false">$B$4-41*($B$5+$B$6)/30-IF($B$11&lt;=41,$B$12,0)+L992+M992</f>
        <v>-187.531534241221</v>
      </c>
      <c r="U992" s="14" t="n">
        <f aca="false">$B$4-55*($B$5+$B$6)/30-IF($B$11&lt;=55,$B$12,0)+L992+M992+N992</f>
        <v>1878.65749727164</v>
      </c>
      <c r="V992" s="14" t="n">
        <f aca="false">$B$4-69*($B$5+$B$6)/30-IF($B$11&lt;=69,$B$12,0)+L992+M992+N992+O992</f>
        <v>3278.43937813721</v>
      </c>
      <c r="W992" s="14" t="n">
        <f aca="false">$B$4-83*($B$5+$B$6)/30-IF($B$11&lt;=83,$B$12,0)+L992+M992+N992+O992+P992</f>
        <v>5286.80035038848</v>
      </c>
      <c r="X992" s="14" t="n">
        <f aca="false">$B$4-90*($B$5+$B$6)/30-IF($B$11&lt;=90,$B$12,0)+L992+M992+N992+O992+P992+Q992</f>
        <v>8183.87414935706</v>
      </c>
      <c r="AA992" s="14" t="n">
        <f aca="false">MIN(R992:X992)</f>
        <v>-187.531534241221</v>
      </c>
    </row>
    <row r="993" customFormat="false" ht="15" hidden="false" customHeight="false" outlineLevel="0" collapsed="false">
      <c r="K993" s="2" t="n">
        <v>988</v>
      </c>
      <c r="L993" s="14" t="n">
        <f aca="true">$B$16+NORMINV(RAND(),0,SQRT($B$13*($B$7+$B$8^2))*$B$9*(1-$B$10))</f>
        <v>4367.34996189387</v>
      </c>
      <c r="M993" s="14" t="n">
        <f aca="true">$B$16+NORMINV(RAND(),0,SQRT($B$13*($B$7+$B$8^2))*$B$9*(1-$B$10))</f>
        <v>3949.71020814716</v>
      </c>
      <c r="N993" s="14" t="n">
        <f aca="true">$B$16+NORMINV(RAND(),0,SQRT($B$13*($B$7+$B$8^2))*$B$9*(1-$B$10))</f>
        <v>3688.31199239062</v>
      </c>
      <c r="O993" s="14" t="n">
        <f aca="true">$B$16+NORMINV(RAND(),0,SQRT($B$13*($B$7+$B$8^2))*$B$9*(1-$B$10))</f>
        <v>3887.35707466974</v>
      </c>
      <c r="P993" s="14" t="n">
        <f aca="true">$B$16+NORMINV(RAND(),0,SQRT($B$13*($B$7+$B$8^2))*$B$9*(1-$B$10))</f>
        <v>4069.27865628686</v>
      </c>
      <c r="Q993" s="14" t="n">
        <f aca="true">$B$16+NORMINV(RAND(),0,SQRT($B$13*($B$7+$B$8^2))*$B$9*(1-$B$10))</f>
        <v>4262.81396003919</v>
      </c>
      <c r="R993" s="14" t="n">
        <f aca="false">$B$4-13*($B$5+$B$6)/30-IF($B$11&lt;=13,$B$12,0)+0</f>
        <v>8876.66666666667</v>
      </c>
      <c r="S993" s="14" t="n">
        <f aca="false">$B$4-27*($B$5+$B$6)/30-IF($B$11&lt;=27,$B$12,0)+L993</f>
        <v>10957.3499618939</v>
      </c>
      <c r="T993" s="14" t="n">
        <f aca="false">$B$4-41*($B$5+$B$6)/30-IF($B$11&lt;=41,$B$12,0)+L993+M993</f>
        <v>1435.59350337435</v>
      </c>
      <c r="U993" s="14" t="n">
        <f aca="false">$B$4-55*($B$5+$B$6)/30-IF($B$11&lt;=55,$B$12,0)+L993+M993+N993</f>
        <v>2837.2388290983</v>
      </c>
      <c r="V993" s="14" t="n">
        <f aca="false">$B$4-69*($B$5+$B$6)/30-IF($B$11&lt;=69,$B$12,0)+L993+M993+N993+O993</f>
        <v>4437.92923710138</v>
      </c>
      <c r="W993" s="14" t="n">
        <f aca="false">$B$4-83*($B$5+$B$6)/30-IF($B$11&lt;=83,$B$12,0)+L993+M993+N993+O993+P993</f>
        <v>6220.54122672157</v>
      </c>
      <c r="X993" s="14" t="n">
        <f aca="false">$B$4-90*($B$5+$B$6)/30-IF($B$11&lt;=90,$B$12,0)+L993+M993+N993+O993+P993+Q993</f>
        <v>9340.02185342742</v>
      </c>
      <c r="AA993" s="14" t="n">
        <f aca="false">MIN(R993:X993)</f>
        <v>1435.59350337435</v>
      </c>
    </row>
    <row r="994" customFormat="false" ht="15" hidden="false" customHeight="false" outlineLevel="0" collapsed="false">
      <c r="K994" s="2" t="n">
        <v>989</v>
      </c>
      <c r="L994" s="14" t="n">
        <f aca="true">$B$16+NORMINV(RAND(),0,SQRT($B$13*($B$7+$B$8^2))*$B$9*(1-$B$10))</f>
        <v>3748.32316256132</v>
      </c>
      <c r="M994" s="14" t="n">
        <f aca="true">$B$16+NORMINV(RAND(),0,SQRT($B$13*($B$7+$B$8^2))*$B$9*(1-$B$10))</f>
        <v>4240.24455960253</v>
      </c>
      <c r="N994" s="14" t="n">
        <f aca="true">$B$16+NORMINV(RAND(),0,SQRT($B$13*($B$7+$B$8^2))*$B$9*(1-$B$10))</f>
        <v>4352.41631991002</v>
      </c>
      <c r="O994" s="14" t="n">
        <f aca="true">$B$16+NORMINV(RAND(),0,SQRT($B$13*($B$7+$B$8^2))*$B$9*(1-$B$10))</f>
        <v>3918.96269923739</v>
      </c>
      <c r="P994" s="14" t="n">
        <f aca="true">$B$16+NORMINV(RAND(),0,SQRT($B$13*($B$7+$B$8^2))*$B$9*(1-$B$10))</f>
        <v>3876.65676363219</v>
      </c>
      <c r="Q994" s="14" t="n">
        <f aca="true">$B$16+NORMINV(RAND(),0,SQRT($B$13*($B$7+$B$8^2))*$B$9*(1-$B$10))</f>
        <v>3939.78301611567</v>
      </c>
      <c r="R994" s="14" t="n">
        <f aca="false">$B$4-13*($B$5+$B$6)/30-IF($B$11&lt;=13,$B$12,0)+0</f>
        <v>8876.66666666667</v>
      </c>
      <c r="S994" s="14" t="n">
        <f aca="false">$B$4-27*($B$5+$B$6)/30-IF($B$11&lt;=27,$B$12,0)+L994</f>
        <v>10338.3231625613</v>
      </c>
      <c r="T994" s="14" t="n">
        <f aca="false">$B$4-41*($B$5+$B$6)/30-IF($B$11&lt;=41,$B$12,0)+L994+M994</f>
        <v>1107.10105549719</v>
      </c>
      <c r="U994" s="14" t="n">
        <f aca="false">$B$4-55*($B$5+$B$6)/30-IF($B$11&lt;=55,$B$12,0)+L994+M994+N994</f>
        <v>3172.85070874054</v>
      </c>
      <c r="V994" s="14" t="n">
        <f aca="false">$B$4-69*($B$5+$B$6)/30-IF($B$11&lt;=69,$B$12,0)+L994+M994+N994+O994</f>
        <v>4805.14674131126</v>
      </c>
      <c r="W994" s="14" t="n">
        <f aca="false">$B$4-83*($B$5+$B$6)/30-IF($B$11&lt;=83,$B$12,0)+L994+M994+N994+O994+P994</f>
        <v>6395.13683827679</v>
      </c>
      <c r="X994" s="14" t="n">
        <f aca="false">$B$4-90*($B$5+$B$6)/30-IF($B$11&lt;=90,$B$12,0)+L994+M994+N994+O994+P994+Q994</f>
        <v>9191.58652105912</v>
      </c>
      <c r="AA994" s="14" t="n">
        <f aca="false">MIN(R994:X994)</f>
        <v>1107.10105549719</v>
      </c>
    </row>
    <row r="995" customFormat="false" ht="15" hidden="false" customHeight="false" outlineLevel="0" collapsed="false">
      <c r="K995" s="2" t="n">
        <v>990</v>
      </c>
      <c r="L995" s="14" t="n">
        <f aca="true">$B$16+NORMINV(RAND(),0,SQRT($B$13*($B$7+$B$8^2))*$B$9*(1-$B$10))</f>
        <v>4011.05066838212</v>
      </c>
      <c r="M995" s="14" t="n">
        <f aca="true">$B$16+NORMINV(RAND(),0,SQRT($B$13*($B$7+$B$8^2))*$B$9*(1-$B$10))</f>
        <v>3901.07617641316</v>
      </c>
      <c r="N995" s="14" t="n">
        <f aca="true">$B$16+NORMINV(RAND(),0,SQRT($B$13*($B$7+$B$8^2))*$B$9*(1-$B$10))</f>
        <v>4087.62346006268</v>
      </c>
      <c r="O995" s="14" t="n">
        <f aca="true">$B$16+NORMINV(RAND(),0,SQRT($B$13*($B$7+$B$8^2))*$B$9*(1-$B$10))</f>
        <v>4137.62420898544</v>
      </c>
      <c r="P995" s="14" t="n">
        <f aca="true">$B$16+NORMINV(RAND(),0,SQRT($B$13*($B$7+$B$8^2))*$B$9*(1-$B$10))</f>
        <v>3427.74408263837</v>
      </c>
      <c r="Q995" s="14" t="n">
        <f aca="true">$B$16+NORMINV(RAND(),0,SQRT($B$13*($B$7+$B$8^2))*$B$9*(1-$B$10))</f>
        <v>4267.48823626785</v>
      </c>
      <c r="R995" s="14" t="n">
        <f aca="false">$B$4-13*($B$5+$B$6)/30-IF($B$11&lt;=13,$B$12,0)+0</f>
        <v>8876.66666666667</v>
      </c>
      <c r="S995" s="14" t="n">
        <f aca="false">$B$4-27*($B$5+$B$6)/30-IF($B$11&lt;=27,$B$12,0)+L995</f>
        <v>10601.0506683821</v>
      </c>
      <c r="T995" s="14" t="n">
        <f aca="false">$B$4-41*($B$5+$B$6)/30-IF($B$11&lt;=41,$B$12,0)+L995+M995</f>
        <v>1030.66017812861</v>
      </c>
      <c r="U995" s="14" t="n">
        <f aca="false">$B$4-55*($B$5+$B$6)/30-IF($B$11&lt;=55,$B$12,0)+L995+M995+N995</f>
        <v>2831.61697152463</v>
      </c>
      <c r="V995" s="14" t="n">
        <f aca="false">$B$4-69*($B$5+$B$6)/30-IF($B$11&lt;=69,$B$12,0)+L995+M995+N995+O995</f>
        <v>4682.5745138434</v>
      </c>
      <c r="W995" s="14" t="n">
        <f aca="false">$B$4-83*($B$5+$B$6)/30-IF($B$11&lt;=83,$B$12,0)+L995+M995+N995+O995+P995</f>
        <v>5823.6519298151</v>
      </c>
      <c r="X995" s="14" t="n">
        <f aca="false">$B$4-90*($B$5+$B$6)/30-IF($B$11&lt;=90,$B$12,0)+L995+M995+N995+O995+P995+Q995</f>
        <v>8947.80683274962</v>
      </c>
      <c r="AA995" s="14" t="n">
        <f aca="false">MIN(R995:X995)</f>
        <v>1030.66017812861</v>
      </c>
    </row>
    <row r="996" customFormat="false" ht="15" hidden="false" customHeight="false" outlineLevel="0" collapsed="false">
      <c r="K996" s="2" t="n">
        <v>991</v>
      </c>
      <c r="L996" s="14" t="n">
        <f aca="true">$B$16+NORMINV(RAND(),0,SQRT($B$13*($B$7+$B$8^2))*$B$9*(1-$B$10))</f>
        <v>3868.63946344815</v>
      </c>
      <c r="M996" s="14" t="n">
        <f aca="true">$B$16+NORMINV(RAND(),0,SQRT($B$13*($B$7+$B$8^2))*$B$9*(1-$B$10))</f>
        <v>4180.45260024701</v>
      </c>
      <c r="N996" s="14" t="n">
        <f aca="true">$B$16+NORMINV(RAND(),0,SQRT($B$13*($B$7+$B$8^2))*$B$9*(1-$B$10))</f>
        <v>4487.75341679214</v>
      </c>
      <c r="O996" s="14" t="n">
        <f aca="true">$B$16+NORMINV(RAND(),0,SQRT($B$13*($B$7+$B$8^2))*$B$9*(1-$B$10))</f>
        <v>4091.17619522941</v>
      </c>
      <c r="P996" s="14" t="n">
        <f aca="true">$B$16+NORMINV(RAND(),0,SQRT($B$13*($B$7+$B$8^2))*$B$9*(1-$B$10))</f>
        <v>4332.61220176377</v>
      </c>
      <c r="Q996" s="14" t="n">
        <f aca="true">$B$16+NORMINV(RAND(),0,SQRT($B$13*($B$7+$B$8^2))*$B$9*(1-$B$10))</f>
        <v>4149.96786258427</v>
      </c>
      <c r="R996" s="14" t="n">
        <f aca="false">$B$4-13*($B$5+$B$6)/30-IF($B$11&lt;=13,$B$12,0)+0</f>
        <v>8876.66666666667</v>
      </c>
      <c r="S996" s="14" t="n">
        <f aca="false">$B$4-27*($B$5+$B$6)/30-IF($B$11&lt;=27,$B$12,0)+L996</f>
        <v>10458.6394634481</v>
      </c>
      <c r="T996" s="14" t="n">
        <f aca="false">$B$4-41*($B$5+$B$6)/30-IF($B$11&lt;=41,$B$12,0)+L996+M996</f>
        <v>1167.62539702848</v>
      </c>
      <c r="U996" s="14" t="n">
        <f aca="false">$B$4-55*($B$5+$B$6)/30-IF($B$11&lt;=55,$B$12,0)+L996+M996+N996</f>
        <v>3368.71214715396</v>
      </c>
      <c r="V996" s="14" t="n">
        <f aca="false">$B$4-69*($B$5+$B$6)/30-IF($B$11&lt;=69,$B$12,0)+L996+M996+N996+O996</f>
        <v>5173.2216757167</v>
      </c>
      <c r="W996" s="14" t="n">
        <f aca="false">$B$4-83*($B$5+$B$6)/30-IF($B$11&lt;=83,$B$12,0)+L996+M996+N996+O996+P996</f>
        <v>7219.16721081381</v>
      </c>
      <c r="X996" s="14" t="n">
        <f aca="false">$B$4-90*($B$5+$B$6)/30-IF($B$11&lt;=90,$B$12,0)+L996+M996+N996+O996+P996+Q996</f>
        <v>10225.8017400647</v>
      </c>
      <c r="AA996" s="14" t="n">
        <f aca="false">MIN(R996:X996)</f>
        <v>1167.62539702848</v>
      </c>
    </row>
    <row r="997" customFormat="false" ht="15" hidden="false" customHeight="false" outlineLevel="0" collapsed="false">
      <c r="K997" s="2" t="n">
        <v>992</v>
      </c>
      <c r="L997" s="14" t="n">
        <f aca="true">$B$16+NORMINV(RAND(),0,SQRT($B$13*($B$7+$B$8^2))*$B$9*(1-$B$10))</f>
        <v>4808.0974280168</v>
      </c>
      <c r="M997" s="14" t="n">
        <f aca="true">$B$16+NORMINV(RAND(),0,SQRT($B$13*($B$7+$B$8^2))*$B$9*(1-$B$10))</f>
        <v>3671.3000476591</v>
      </c>
      <c r="N997" s="14" t="n">
        <f aca="true">$B$16+NORMINV(RAND(),0,SQRT($B$13*($B$7+$B$8^2))*$B$9*(1-$B$10))</f>
        <v>4036.00195111039</v>
      </c>
      <c r="O997" s="14" t="n">
        <f aca="true">$B$16+NORMINV(RAND(),0,SQRT($B$13*($B$7+$B$8^2))*$B$9*(1-$B$10))</f>
        <v>3937.45632487514</v>
      </c>
      <c r="P997" s="14" t="n">
        <f aca="true">$B$16+NORMINV(RAND(),0,SQRT($B$13*($B$7+$B$8^2))*$B$9*(1-$B$10))</f>
        <v>3583.43889125234</v>
      </c>
      <c r="Q997" s="14" t="n">
        <f aca="true">$B$16+NORMINV(RAND(),0,SQRT($B$13*($B$7+$B$8^2))*$B$9*(1-$B$10))</f>
        <v>4549.40398368958</v>
      </c>
      <c r="R997" s="14" t="n">
        <f aca="false">$B$4-13*($B$5+$B$6)/30-IF($B$11&lt;=13,$B$12,0)+0</f>
        <v>8876.66666666667</v>
      </c>
      <c r="S997" s="14" t="n">
        <f aca="false">$B$4-27*($B$5+$B$6)/30-IF($B$11&lt;=27,$B$12,0)+L997</f>
        <v>11398.0974280168</v>
      </c>
      <c r="T997" s="14" t="n">
        <f aca="false">$B$4-41*($B$5+$B$6)/30-IF($B$11&lt;=41,$B$12,0)+L997+M997</f>
        <v>1597.93080900923</v>
      </c>
      <c r="U997" s="14" t="n">
        <f aca="false">$B$4-55*($B$5+$B$6)/30-IF($B$11&lt;=55,$B$12,0)+L997+M997+N997</f>
        <v>3347.26609345295</v>
      </c>
      <c r="V997" s="14" t="n">
        <f aca="false">$B$4-69*($B$5+$B$6)/30-IF($B$11&lt;=69,$B$12,0)+L997+M997+N997+O997</f>
        <v>4998.05575166142</v>
      </c>
      <c r="W997" s="14" t="n">
        <f aca="false">$B$4-83*($B$5+$B$6)/30-IF($B$11&lt;=83,$B$12,0)+L997+M997+N997+O997+P997</f>
        <v>6294.8279762471</v>
      </c>
      <c r="X997" s="14" t="n">
        <f aca="false">$B$4-90*($B$5+$B$6)/30-IF($B$11&lt;=90,$B$12,0)+L997+M997+N997+O997+P997+Q997</f>
        <v>9700.89862660334</v>
      </c>
      <c r="AA997" s="14" t="n">
        <f aca="false">MIN(R997:X997)</f>
        <v>1597.93080900923</v>
      </c>
    </row>
    <row r="998" customFormat="false" ht="15" hidden="false" customHeight="false" outlineLevel="0" collapsed="false">
      <c r="K998" s="2" t="n">
        <v>993</v>
      </c>
      <c r="L998" s="14" t="n">
        <f aca="true">$B$16+NORMINV(RAND(),0,SQRT($B$13*($B$7+$B$8^2))*$B$9*(1-$B$10))</f>
        <v>3939.97434356225</v>
      </c>
      <c r="M998" s="14" t="n">
        <f aca="true">$B$16+NORMINV(RAND(),0,SQRT($B$13*($B$7+$B$8^2))*$B$9*(1-$B$10))</f>
        <v>3890.67173075143</v>
      </c>
      <c r="N998" s="14" t="n">
        <f aca="true">$B$16+NORMINV(RAND(),0,SQRT($B$13*($B$7+$B$8^2))*$B$9*(1-$B$10))</f>
        <v>3911.74690736892</v>
      </c>
      <c r="O998" s="14" t="n">
        <f aca="true">$B$16+NORMINV(RAND(),0,SQRT($B$13*($B$7+$B$8^2))*$B$9*(1-$B$10))</f>
        <v>4289.09907187091</v>
      </c>
      <c r="P998" s="14" t="n">
        <f aca="true">$B$16+NORMINV(RAND(),0,SQRT($B$13*($B$7+$B$8^2))*$B$9*(1-$B$10))</f>
        <v>4191.03815560927</v>
      </c>
      <c r="Q998" s="14" t="n">
        <f aca="true">$B$16+NORMINV(RAND(),0,SQRT($B$13*($B$7+$B$8^2))*$B$9*(1-$B$10))</f>
        <v>3771.39634671161</v>
      </c>
      <c r="R998" s="14" t="n">
        <f aca="false">$B$4-13*($B$5+$B$6)/30-IF($B$11&lt;=13,$B$12,0)+0</f>
        <v>8876.66666666667</v>
      </c>
      <c r="S998" s="14" t="n">
        <f aca="false">$B$4-27*($B$5+$B$6)/30-IF($B$11&lt;=27,$B$12,0)+L998</f>
        <v>10529.9743435623</v>
      </c>
      <c r="T998" s="14" t="n">
        <f aca="false">$B$4-41*($B$5+$B$6)/30-IF($B$11&lt;=41,$B$12,0)+L998+M998</f>
        <v>949.179407647018</v>
      </c>
      <c r="U998" s="14" t="n">
        <f aca="false">$B$4-55*($B$5+$B$6)/30-IF($B$11&lt;=55,$B$12,0)+L998+M998+N998</f>
        <v>2574.25964834928</v>
      </c>
      <c r="V998" s="14" t="n">
        <f aca="false">$B$4-69*($B$5+$B$6)/30-IF($B$11&lt;=69,$B$12,0)+L998+M998+N998+O998</f>
        <v>4576.69205355352</v>
      </c>
      <c r="W998" s="14" t="n">
        <f aca="false">$B$4-83*($B$5+$B$6)/30-IF($B$11&lt;=83,$B$12,0)+L998+M998+N998+O998+P998</f>
        <v>6481.06354249612</v>
      </c>
      <c r="X998" s="14" t="n">
        <f aca="false">$B$4-90*($B$5+$B$6)/30-IF($B$11&lt;=90,$B$12,0)+L998+M998+N998+O998+P998+Q998</f>
        <v>9109.12655587439</v>
      </c>
      <c r="AA998" s="14" t="n">
        <f aca="false">MIN(R998:X998)</f>
        <v>949.179407647018</v>
      </c>
    </row>
    <row r="999" customFormat="false" ht="15" hidden="false" customHeight="false" outlineLevel="0" collapsed="false">
      <c r="K999" s="2" t="n">
        <v>994</v>
      </c>
      <c r="L999" s="14" t="n">
        <f aca="true">$B$16+NORMINV(RAND(),0,SQRT($B$13*($B$7+$B$8^2))*$B$9*(1-$B$10))</f>
        <v>3700.86151702134</v>
      </c>
      <c r="M999" s="14" t="n">
        <f aca="true">$B$16+NORMINV(RAND(),0,SQRT($B$13*($B$7+$B$8^2))*$B$9*(1-$B$10))</f>
        <v>3645.94092294126</v>
      </c>
      <c r="N999" s="14" t="n">
        <f aca="true">$B$16+NORMINV(RAND(),0,SQRT($B$13*($B$7+$B$8^2))*$B$9*(1-$B$10))</f>
        <v>4060.45769311979</v>
      </c>
      <c r="O999" s="14" t="n">
        <f aca="true">$B$16+NORMINV(RAND(),0,SQRT($B$13*($B$7+$B$8^2))*$B$9*(1-$B$10))</f>
        <v>4134.07835900318</v>
      </c>
      <c r="P999" s="14" t="n">
        <f aca="true">$B$16+NORMINV(RAND(),0,SQRT($B$13*($B$7+$B$8^2))*$B$9*(1-$B$10))</f>
        <v>4309.05716833632</v>
      </c>
      <c r="Q999" s="14" t="n">
        <f aca="true">$B$16+NORMINV(RAND(),0,SQRT($B$13*($B$7+$B$8^2))*$B$9*(1-$B$10))</f>
        <v>3964.69567658991</v>
      </c>
      <c r="R999" s="14" t="n">
        <f aca="false">$B$4-13*($B$5+$B$6)/30-IF($B$11&lt;=13,$B$12,0)+0</f>
        <v>8876.66666666667</v>
      </c>
      <c r="S999" s="14" t="n">
        <f aca="false">$B$4-27*($B$5+$B$6)/30-IF($B$11&lt;=27,$B$12,0)+L999</f>
        <v>10290.8615170213</v>
      </c>
      <c r="T999" s="14" t="n">
        <f aca="false">$B$4-41*($B$5+$B$6)/30-IF($B$11&lt;=41,$B$12,0)+L999+M999</f>
        <v>465.335773295938</v>
      </c>
      <c r="U999" s="14" t="n">
        <f aca="false">$B$4-55*($B$5+$B$6)/30-IF($B$11&lt;=55,$B$12,0)+L999+M999+N999</f>
        <v>2239.12679974906</v>
      </c>
      <c r="V999" s="14" t="n">
        <f aca="false">$B$4-69*($B$5+$B$6)/30-IF($B$11&lt;=69,$B$12,0)+L999+M999+N999+O999</f>
        <v>4086.53849208557</v>
      </c>
      <c r="W999" s="14" t="n">
        <f aca="false">$B$4-83*($B$5+$B$6)/30-IF($B$11&lt;=83,$B$12,0)+L999+M999+N999+O999+P999</f>
        <v>6108.92899375523</v>
      </c>
      <c r="X999" s="14" t="n">
        <f aca="false">$B$4-90*($B$5+$B$6)/30-IF($B$11&lt;=90,$B$12,0)+L999+M999+N999+O999+P999+Q999</f>
        <v>8930.29133701181</v>
      </c>
      <c r="AA999" s="14" t="n">
        <f aca="false">MIN(R999:X999)</f>
        <v>465.335773295938</v>
      </c>
    </row>
    <row r="1000" customFormat="false" ht="15" hidden="false" customHeight="false" outlineLevel="0" collapsed="false">
      <c r="K1000" s="2" t="n">
        <v>995</v>
      </c>
      <c r="L1000" s="14" t="n">
        <f aca="true">$B$16+NORMINV(RAND(),0,SQRT($B$13*($B$7+$B$8^2))*$B$9*(1-$B$10))</f>
        <v>4439.48357470352</v>
      </c>
      <c r="M1000" s="14" t="n">
        <f aca="true">$B$16+NORMINV(RAND(),0,SQRT($B$13*($B$7+$B$8^2))*$B$9*(1-$B$10))</f>
        <v>3822.42802519284</v>
      </c>
      <c r="N1000" s="14" t="n">
        <f aca="true">$B$16+NORMINV(RAND(),0,SQRT($B$13*($B$7+$B$8^2))*$B$9*(1-$B$10))</f>
        <v>3780.7540695174</v>
      </c>
      <c r="O1000" s="14" t="n">
        <f aca="true">$B$16+NORMINV(RAND(),0,SQRT($B$13*($B$7+$B$8^2))*$B$9*(1-$B$10))</f>
        <v>4671.79908062574</v>
      </c>
      <c r="P1000" s="14" t="n">
        <f aca="true">$B$16+NORMINV(RAND(),0,SQRT($B$13*($B$7+$B$8^2))*$B$9*(1-$B$10))</f>
        <v>3340.38880781062</v>
      </c>
      <c r="Q1000" s="14" t="n">
        <f aca="true">$B$16+NORMINV(RAND(),0,SQRT($B$13*($B$7+$B$8^2))*$B$9*(1-$B$10))</f>
        <v>4106.78261413601</v>
      </c>
      <c r="R1000" s="14" t="n">
        <f aca="false">$B$4-13*($B$5+$B$6)/30-IF($B$11&lt;=13,$B$12,0)+0</f>
        <v>8876.66666666667</v>
      </c>
      <c r="S1000" s="14" t="n">
        <f aca="false">$B$4-27*($B$5+$B$6)/30-IF($B$11&lt;=27,$B$12,0)+L1000</f>
        <v>11029.4835747035</v>
      </c>
      <c r="T1000" s="14" t="n">
        <f aca="false">$B$4-41*($B$5+$B$6)/30-IF($B$11&lt;=41,$B$12,0)+L1000+M1000</f>
        <v>1380.44493322969</v>
      </c>
      <c r="U1000" s="14" t="n">
        <f aca="false">$B$4-55*($B$5+$B$6)/30-IF($B$11&lt;=55,$B$12,0)+L1000+M1000+N1000</f>
        <v>2874.53233608043</v>
      </c>
      <c r="V1000" s="14" t="n">
        <f aca="false">$B$4-69*($B$5+$B$6)/30-IF($B$11&lt;=69,$B$12,0)+L1000+M1000+N1000+O1000</f>
        <v>5259.6647500395</v>
      </c>
      <c r="W1000" s="14" t="n">
        <f aca="false">$B$4-83*($B$5+$B$6)/30-IF($B$11&lt;=83,$B$12,0)+L1000+M1000+N1000+O1000+P1000</f>
        <v>6313.38689118345</v>
      </c>
      <c r="X1000" s="14" t="n">
        <f aca="false">$B$4-90*($B$5+$B$6)/30-IF($B$11&lt;=90,$B$12,0)+L1000+M1000+N1000+O1000+P1000+Q1000</f>
        <v>9276.83617198612</v>
      </c>
      <c r="AA1000" s="14" t="n">
        <f aca="false">MIN(R1000:X1000)</f>
        <v>1380.44493322969</v>
      </c>
    </row>
    <row r="1001" customFormat="false" ht="15" hidden="false" customHeight="false" outlineLevel="0" collapsed="false">
      <c r="K1001" s="2" t="n">
        <v>996</v>
      </c>
      <c r="L1001" s="14" t="n">
        <f aca="true">$B$16+NORMINV(RAND(),0,SQRT($B$13*($B$7+$B$8^2))*$B$9*(1-$B$10))</f>
        <v>3948.76565418698</v>
      </c>
      <c r="M1001" s="14" t="n">
        <f aca="true">$B$16+NORMINV(RAND(),0,SQRT($B$13*($B$7+$B$8^2))*$B$9*(1-$B$10))</f>
        <v>3995.74317469292</v>
      </c>
      <c r="N1001" s="14" t="n">
        <f aca="true">$B$16+NORMINV(RAND(),0,SQRT($B$13*($B$7+$B$8^2))*$B$9*(1-$B$10))</f>
        <v>4143.58244870259</v>
      </c>
      <c r="O1001" s="14" t="n">
        <f aca="true">$B$16+NORMINV(RAND(),0,SQRT($B$13*($B$7+$B$8^2))*$B$9*(1-$B$10))</f>
        <v>3735.3936254014</v>
      </c>
      <c r="P1001" s="14" t="n">
        <f aca="true">$B$16+NORMINV(RAND(),0,SQRT($B$13*($B$7+$B$8^2))*$B$9*(1-$B$10))</f>
        <v>4187.15983446479</v>
      </c>
      <c r="Q1001" s="14" t="n">
        <f aca="true">$B$16+NORMINV(RAND(),0,SQRT($B$13*($B$7+$B$8^2))*$B$9*(1-$B$10))</f>
        <v>4154.1714052815</v>
      </c>
      <c r="R1001" s="14" t="n">
        <f aca="false">$B$4-13*($B$5+$B$6)/30-IF($B$11&lt;=13,$B$12,0)+0</f>
        <v>8876.66666666667</v>
      </c>
      <c r="S1001" s="14" t="n">
        <f aca="false">$B$4-27*($B$5+$B$6)/30-IF($B$11&lt;=27,$B$12,0)+L1001</f>
        <v>10538.765654187</v>
      </c>
      <c r="T1001" s="14" t="n">
        <f aca="false">$B$4-41*($B$5+$B$6)/30-IF($B$11&lt;=41,$B$12,0)+L1001+M1001</f>
        <v>1063.04216221323</v>
      </c>
      <c r="U1001" s="14" t="n">
        <f aca="false">$B$4-55*($B$5+$B$6)/30-IF($B$11&lt;=55,$B$12,0)+L1001+M1001+N1001</f>
        <v>2919.95794424915</v>
      </c>
      <c r="V1001" s="14" t="n">
        <f aca="false">$B$4-69*($B$5+$B$6)/30-IF($B$11&lt;=69,$B$12,0)+L1001+M1001+N1001+O1001</f>
        <v>4368.68490298388</v>
      </c>
      <c r="W1001" s="14" t="n">
        <f aca="false">$B$4-83*($B$5+$B$6)/30-IF($B$11&lt;=83,$B$12,0)+L1001+M1001+N1001+O1001+P1001</f>
        <v>6269.178070782</v>
      </c>
      <c r="X1001" s="14" t="n">
        <f aca="false">$B$4-90*($B$5+$B$6)/30-IF($B$11&lt;=90,$B$12,0)+L1001+M1001+N1001+O1001+P1001+Q1001</f>
        <v>9280.01614273017</v>
      </c>
      <c r="AA1001" s="14" t="n">
        <f aca="false">MIN(R1001:X1001)</f>
        <v>1063.04216221323</v>
      </c>
    </row>
    <row r="1002" customFormat="false" ht="15" hidden="false" customHeight="false" outlineLevel="0" collapsed="false">
      <c r="K1002" s="2" t="n">
        <v>997</v>
      </c>
      <c r="L1002" s="14" t="n">
        <f aca="true">$B$16+NORMINV(RAND(),0,SQRT($B$13*($B$7+$B$8^2))*$B$9*(1-$B$10))</f>
        <v>3723.99542700367</v>
      </c>
      <c r="M1002" s="14" t="n">
        <f aca="true">$B$16+NORMINV(RAND(),0,SQRT($B$13*($B$7+$B$8^2))*$B$9*(1-$B$10))</f>
        <v>3694.83787570293</v>
      </c>
      <c r="N1002" s="14" t="n">
        <f aca="true">$B$16+NORMINV(RAND(),0,SQRT($B$13*($B$7+$B$8^2))*$B$9*(1-$B$10))</f>
        <v>4388.71059218755</v>
      </c>
      <c r="O1002" s="14" t="n">
        <f aca="true">$B$16+NORMINV(RAND(),0,SQRT($B$13*($B$7+$B$8^2))*$B$9*(1-$B$10))</f>
        <v>4035.67509055036</v>
      </c>
      <c r="P1002" s="14" t="n">
        <f aca="true">$B$16+NORMINV(RAND(),0,SQRT($B$13*($B$7+$B$8^2))*$B$9*(1-$B$10))</f>
        <v>4277.55796777215</v>
      </c>
      <c r="Q1002" s="14" t="n">
        <f aca="true">$B$16+NORMINV(RAND(),0,SQRT($B$13*($B$7+$B$8^2))*$B$9*(1-$B$10))</f>
        <v>4198.43496182382</v>
      </c>
      <c r="R1002" s="14" t="n">
        <f aca="false">$B$4-13*($B$5+$B$6)/30-IF($B$11&lt;=13,$B$12,0)+0</f>
        <v>8876.66666666667</v>
      </c>
      <c r="S1002" s="14" t="n">
        <f aca="false">$B$4-27*($B$5+$B$6)/30-IF($B$11&lt;=27,$B$12,0)+L1002</f>
        <v>10313.9954270037</v>
      </c>
      <c r="T1002" s="14" t="n">
        <f aca="false">$B$4-41*($B$5+$B$6)/30-IF($B$11&lt;=41,$B$12,0)+L1002+M1002</f>
        <v>537.36663603993</v>
      </c>
      <c r="U1002" s="14" t="n">
        <f aca="false">$B$4-55*($B$5+$B$6)/30-IF($B$11&lt;=55,$B$12,0)+L1002+M1002+N1002</f>
        <v>2639.41056156081</v>
      </c>
      <c r="V1002" s="14" t="n">
        <f aca="false">$B$4-69*($B$5+$B$6)/30-IF($B$11&lt;=69,$B$12,0)+L1002+M1002+N1002+O1002</f>
        <v>4388.41898544451</v>
      </c>
      <c r="W1002" s="14" t="n">
        <f aca="false">$B$4-83*($B$5+$B$6)/30-IF($B$11&lt;=83,$B$12,0)+L1002+M1002+N1002+O1002+P1002</f>
        <v>6379.31028654999</v>
      </c>
      <c r="X1002" s="14" t="n">
        <f aca="false">$B$4-90*($B$5+$B$6)/30-IF($B$11&lt;=90,$B$12,0)+L1002+M1002+N1002+O1002+P1002+Q1002</f>
        <v>9434.41191504047</v>
      </c>
      <c r="AA1002" s="14" t="n">
        <f aca="false">MIN(R1002:X1002)</f>
        <v>537.36663603993</v>
      </c>
    </row>
    <row r="1003" customFormat="false" ht="15" hidden="false" customHeight="false" outlineLevel="0" collapsed="false">
      <c r="K1003" s="2" t="n">
        <v>998</v>
      </c>
      <c r="L1003" s="14" t="n">
        <f aca="true">$B$16+NORMINV(RAND(),0,SQRT($B$13*($B$7+$B$8^2))*$B$9*(1-$B$10))</f>
        <v>3240.05741251621</v>
      </c>
      <c r="M1003" s="14" t="n">
        <f aca="true">$B$16+NORMINV(RAND(),0,SQRT($B$13*($B$7+$B$8^2))*$B$9*(1-$B$10))</f>
        <v>3994.54901564612</v>
      </c>
      <c r="N1003" s="14" t="n">
        <f aca="true">$B$16+NORMINV(RAND(),0,SQRT($B$13*($B$7+$B$8^2))*$B$9*(1-$B$10))</f>
        <v>4482.9677790047</v>
      </c>
      <c r="O1003" s="14" t="n">
        <f aca="true">$B$16+NORMINV(RAND(),0,SQRT($B$13*($B$7+$B$8^2))*$B$9*(1-$B$10))</f>
        <v>3845.61612814113</v>
      </c>
      <c r="P1003" s="14" t="n">
        <f aca="true">$B$16+NORMINV(RAND(),0,SQRT($B$13*($B$7+$B$8^2))*$B$9*(1-$B$10))</f>
        <v>4223.07216104561</v>
      </c>
      <c r="Q1003" s="14" t="n">
        <f aca="true">$B$16+NORMINV(RAND(),0,SQRT($B$13*($B$7+$B$8^2))*$B$9*(1-$B$10))</f>
        <v>4453.22167351829</v>
      </c>
      <c r="R1003" s="14" t="n">
        <f aca="false">$B$4-13*($B$5+$B$6)/30-IF($B$11&lt;=13,$B$12,0)+0</f>
        <v>8876.66666666667</v>
      </c>
      <c r="S1003" s="14" t="n">
        <f aca="false">$B$4-27*($B$5+$B$6)/30-IF($B$11&lt;=27,$B$12,0)+L1003</f>
        <v>9830.05741251621</v>
      </c>
      <c r="T1003" s="14" t="n">
        <f aca="false">$B$4-41*($B$5+$B$6)/30-IF($B$11&lt;=41,$B$12,0)+L1003+M1003</f>
        <v>353.139761495663</v>
      </c>
      <c r="U1003" s="14" t="n">
        <f aca="false">$B$4-55*($B$5+$B$6)/30-IF($B$11&lt;=55,$B$12,0)+L1003+M1003+N1003</f>
        <v>2549.44087383369</v>
      </c>
      <c r="V1003" s="14" t="n">
        <f aca="false">$B$4-69*($B$5+$B$6)/30-IF($B$11&lt;=69,$B$12,0)+L1003+M1003+N1003+O1003</f>
        <v>4108.39033530816</v>
      </c>
      <c r="W1003" s="14" t="n">
        <f aca="false">$B$4-83*($B$5+$B$6)/30-IF($B$11&lt;=83,$B$12,0)+L1003+M1003+N1003+O1003+P1003</f>
        <v>6044.7958296871</v>
      </c>
      <c r="X1003" s="14" t="n">
        <f aca="false">$B$4-90*($B$5+$B$6)/30-IF($B$11&lt;=90,$B$12,0)+L1003+M1003+N1003+O1003+P1003+Q1003</f>
        <v>9354.68416987206</v>
      </c>
      <c r="AA1003" s="14" t="n">
        <f aca="false">MIN(R1003:X1003)</f>
        <v>353.139761495663</v>
      </c>
    </row>
    <row r="1004" customFormat="false" ht="15" hidden="false" customHeight="false" outlineLevel="0" collapsed="false">
      <c r="K1004" s="2" t="n">
        <v>999</v>
      </c>
      <c r="L1004" s="14" t="n">
        <f aca="true">$B$16+NORMINV(RAND(),0,SQRT($B$13*($B$7+$B$8^2))*$B$9*(1-$B$10))</f>
        <v>4247.63422788719</v>
      </c>
      <c r="M1004" s="14" t="n">
        <f aca="true">$B$16+NORMINV(RAND(),0,SQRT($B$13*($B$7+$B$8^2))*$B$9*(1-$B$10))</f>
        <v>3636.63677295306</v>
      </c>
      <c r="N1004" s="14" t="n">
        <f aca="true">$B$16+NORMINV(RAND(),0,SQRT($B$13*($B$7+$B$8^2))*$B$9*(1-$B$10))</f>
        <v>4220.12737832608</v>
      </c>
      <c r="O1004" s="14" t="n">
        <f aca="true">$B$16+NORMINV(RAND(),0,SQRT($B$13*($B$7+$B$8^2))*$B$9*(1-$B$10))</f>
        <v>4773.26668574003</v>
      </c>
      <c r="P1004" s="14" t="n">
        <f aca="true">$B$16+NORMINV(RAND(),0,SQRT($B$13*($B$7+$B$8^2))*$B$9*(1-$B$10))</f>
        <v>3753.80346643079</v>
      </c>
      <c r="Q1004" s="14" t="n">
        <f aca="true">$B$16+NORMINV(RAND(),0,SQRT($B$13*($B$7+$B$8^2))*$B$9*(1-$B$10))</f>
        <v>4615.09810146529</v>
      </c>
      <c r="R1004" s="14" t="n">
        <f aca="false">$B$4-13*($B$5+$B$6)/30-IF($B$11&lt;=13,$B$12,0)+0</f>
        <v>8876.66666666667</v>
      </c>
      <c r="S1004" s="14" t="n">
        <f aca="false">$B$4-27*($B$5+$B$6)/30-IF($B$11&lt;=27,$B$12,0)+L1004</f>
        <v>10837.6342278872</v>
      </c>
      <c r="T1004" s="14" t="n">
        <f aca="false">$B$4-41*($B$5+$B$6)/30-IF($B$11&lt;=41,$B$12,0)+L1004+M1004</f>
        <v>1002.80433417358</v>
      </c>
      <c r="U1004" s="14" t="n">
        <f aca="false">$B$4-55*($B$5+$B$6)/30-IF($B$11&lt;=55,$B$12,0)+L1004+M1004+N1004</f>
        <v>2936.26504583299</v>
      </c>
      <c r="V1004" s="14" t="n">
        <f aca="false">$B$4-69*($B$5+$B$6)/30-IF($B$11&lt;=69,$B$12,0)+L1004+M1004+N1004+O1004</f>
        <v>5422.86506490636</v>
      </c>
      <c r="W1004" s="14" t="n">
        <f aca="false">$B$4-83*($B$5+$B$6)/30-IF($B$11&lt;=83,$B$12,0)+L1004+M1004+N1004+O1004+P1004</f>
        <v>6890.00186467048</v>
      </c>
      <c r="X1004" s="14" t="n">
        <f aca="false">$B$4-90*($B$5+$B$6)/30-IF($B$11&lt;=90,$B$12,0)+L1004+M1004+N1004+O1004+P1004+Q1004</f>
        <v>10361.7666328024</v>
      </c>
      <c r="AA1004" s="14" t="n">
        <f aca="false">MIN(R1004:X1004)</f>
        <v>1002.80433417358</v>
      </c>
    </row>
    <row r="1005" customFormat="false" ht="15" hidden="false" customHeight="false" outlineLevel="0" collapsed="false">
      <c r="K1005" s="2" t="n">
        <v>1000</v>
      </c>
      <c r="L1005" s="14" t="n">
        <f aca="true">$B$16+NORMINV(RAND(),0,SQRT($B$13*($B$7+$B$8^2))*$B$9*(1-$B$10))</f>
        <v>3923.97504989621</v>
      </c>
      <c r="M1005" s="14" t="n">
        <f aca="true">$B$16+NORMINV(RAND(),0,SQRT($B$13*($B$7+$B$8^2))*$B$9*(1-$B$10))</f>
        <v>3542.94110593123</v>
      </c>
      <c r="N1005" s="14" t="n">
        <f aca="true">$B$16+NORMINV(RAND(),0,SQRT($B$13*($B$7+$B$8^2))*$B$9*(1-$B$10))</f>
        <v>4175.94815890404</v>
      </c>
      <c r="O1005" s="14" t="n">
        <f aca="true">$B$16+NORMINV(RAND(),0,SQRT($B$13*($B$7+$B$8^2))*$B$9*(1-$B$10))</f>
        <v>3893.252636423</v>
      </c>
      <c r="P1005" s="14" t="n">
        <f aca="true">$B$16+NORMINV(RAND(),0,SQRT($B$13*($B$7+$B$8^2))*$B$9*(1-$B$10))</f>
        <v>4149.17322530292</v>
      </c>
      <c r="Q1005" s="14" t="n">
        <f aca="true">$B$16+NORMINV(RAND(),0,SQRT($B$13*($B$7+$B$8^2))*$B$9*(1-$B$10))</f>
        <v>3717.7386485816</v>
      </c>
      <c r="R1005" s="14" t="n">
        <f aca="false">$B$4-13*($B$5+$B$6)/30-IF($B$11&lt;=13,$B$12,0)+0</f>
        <v>8876.66666666667</v>
      </c>
      <c r="S1005" s="14" t="n">
        <f aca="false">$B$4-27*($B$5+$B$6)/30-IF($B$11&lt;=27,$B$12,0)+L1005</f>
        <v>10513.9750498962</v>
      </c>
      <c r="T1005" s="14" t="n">
        <f aca="false">$B$4-41*($B$5+$B$6)/30-IF($B$11&lt;=41,$B$12,0)+L1005+M1005</f>
        <v>585.449489160768</v>
      </c>
      <c r="U1005" s="14" t="n">
        <f aca="false">$B$4-55*($B$5+$B$6)/30-IF($B$11&lt;=55,$B$12,0)+L1005+M1005+N1005</f>
        <v>2474.73098139814</v>
      </c>
      <c r="V1005" s="14" t="n">
        <f aca="false">$B$4-69*($B$5+$B$6)/30-IF($B$11&lt;=69,$B$12,0)+L1005+M1005+N1005+O1005</f>
        <v>4081.31695115447</v>
      </c>
      <c r="W1005" s="14" t="n">
        <f aca="false">$B$4-83*($B$5+$B$6)/30-IF($B$11&lt;=83,$B$12,0)+L1005+M1005+N1005+O1005+P1005</f>
        <v>5943.82350979072</v>
      </c>
      <c r="X1005" s="14" t="n">
        <f aca="false">$B$4-90*($B$5+$B$6)/30-IF($B$11&lt;=90,$B$12,0)+L1005+M1005+N1005+O1005+P1005+Q1005</f>
        <v>8518.22882503899</v>
      </c>
      <c r="AA1005" s="14" t="n">
        <f aca="false">MIN(R1005:X1005)</f>
        <v>585.449489160768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</cols>
  <sheetData>
    <row r="1" customFormat="false" ht="19.7" hidden="false" customHeight="false" outlineLevel="0" collapsed="false">
      <c r="A1" s="1" t="s">
        <v>73</v>
      </c>
    </row>
    <row r="2" customFormat="false" ht="15" hidden="false" customHeight="false" outlineLevel="0" collapsed="false">
      <c r="A2" s="4" t="s">
        <v>74</v>
      </c>
    </row>
    <row r="4" customFormat="false" ht="15" hidden="false" customHeight="false" outlineLevel="0" collapsed="false">
      <c r="A4" s="2" t="s">
        <v>75</v>
      </c>
      <c r="B4" s="6" t="n">
        <v>17.1809</v>
      </c>
    </row>
    <row r="5" customFormat="false" ht="15" hidden="false" customHeight="false" outlineLevel="0" collapsed="false">
      <c r="A5" s="2" t="s">
        <v>76</v>
      </c>
      <c r="B5" s="6" t="n">
        <v>3.1829</v>
      </c>
    </row>
    <row r="6" customFormat="false" ht="15" hidden="false" customHeight="false" outlineLevel="0" collapsed="false">
      <c r="A6" s="2" t="s">
        <v>17</v>
      </c>
      <c r="B6" s="5" t="n">
        <v>75</v>
      </c>
    </row>
    <row r="7" customFormat="false" ht="15" hidden="false" customHeight="false" outlineLevel="0" collapsed="false">
      <c r="A7" s="2" t="s">
        <v>77</v>
      </c>
      <c r="B7" s="8" t="n">
        <v>0.2</v>
      </c>
    </row>
    <row r="8" customFormat="false" ht="15" hidden="false" customHeight="false" outlineLevel="0" collapsed="false">
      <c r="A8" s="2" t="s">
        <v>78</v>
      </c>
      <c r="B8" s="8" t="n">
        <v>0.95</v>
      </c>
    </row>
    <row r="9" customFormat="false" ht="15" hidden="false" customHeight="false" outlineLevel="0" collapsed="false">
      <c r="A9" s="2" t="s">
        <v>79</v>
      </c>
      <c r="B9" s="5" t="n">
        <v>2500</v>
      </c>
    </row>
    <row r="10" customFormat="false" ht="15" hidden="false" customHeight="false" outlineLevel="0" collapsed="false">
      <c r="A10" s="2" t="s">
        <v>20</v>
      </c>
      <c r="B10" s="7" t="n">
        <v>6.2</v>
      </c>
    </row>
    <row r="11" customFormat="false" ht="15" hidden="false" customHeight="false" outlineLevel="0" collapsed="false">
      <c r="A11" s="2" t="s">
        <v>80</v>
      </c>
      <c r="B11" s="5" t="n">
        <v>30</v>
      </c>
    </row>
    <row r="12" customFormat="false" ht="15" hidden="false" customHeight="false" outlineLevel="0" collapsed="false">
      <c r="A12" s="2" t="s">
        <v>81</v>
      </c>
      <c r="B12" s="18" t="n">
        <v>46296</v>
      </c>
    </row>
    <row r="14" customFormat="false" ht="15" hidden="false" customHeight="false" outlineLevel="0" collapsed="false">
      <c r="A14" s="2" t="s">
        <v>82</v>
      </c>
      <c r="B14" s="19" t="n">
        <f aca="false">IF(AND(B4&gt;0,B5&gt;0),SQRT(LN(1+(B5/B4)^2)),0)</f>
        <v>0.183697393328325</v>
      </c>
    </row>
    <row r="15" customFormat="false" ht="15" hidden="false" customHeight="false" outlineLevel="0" collapsed="false">
      <c r="A15" s="2" t="s">
        <v>83</v>
      </c>
      <c r="B15" s="19" t="n">
        <f aca="false">LN(B4*B6)-B14^2/2</f>
        <v>7.14441404905841</v>
      </c>
    </row>
    <row r="16" customFormat="false" ht="15" hidden="false" customHeight="false" outlineLevel="0" collapsed="false">
      <c r="A16" s="2" t="s">
        <v>84</v>
      </c>
      <c r="B16" s="19" t="n">
        <f aca="false">SQRT(B14^2+B7^2)</f>
        <v>0.271559813513748</v>
      </c>
    </row>
    <row r="17" customFormat="false" ht="15" hidden="false" customHeight="false" outlineLevel="0" collapsed="false">
      <c r="A17" s="2" t="s">
        <v>85</v>
      </c>
      <c r="B17" s="9" t="n">
        <f aca="false">B4*B6*EXP(0.5*B7^2)</f>
        <v>1314.59829021493</v>
      </c>
    </row>
    <row r="18" customFormat="false" ht="15" hidden="false" customHeight="false" outlineLevel="0" collapsed="false">
      <c r="A18" s="10" t="s">
        <v>86</v>
      </c>
      <c r="B18" s="20" t="n">
        <f aca="false">CEILING(LOGINV(B8,B15,B16),1)</f>
        <v>1981</v>
      </c>
    </row>
    <row r="19" customFormat="false" ht="15" hidden="false" customHeight="false" outlineLevel="0" collapsed="false">
      <c r="A19" s="2" t="s">
        <v>87</v>
      </c>
      <c r="B19" s="17" t="n">
        <f aca="false">B18-ROUND(B17,0)</f>
        <v>666</v>
      </c>
    </row>
    <row r="20" customFormat="false" ht="15" hidden="false" customHeight="false" outlineLevel="0" collapsed="false">
      <c r="A20" s="2" t="s">
        <v>88</v>
      </c>
      <c r="B20" s="9" t="n">
        <f aca="false">B4*B6+1.645*SQRT(B6*(B4+B5^2)+(B4*B7*B6)^2)</f>
        <v>1718.9940315683</v>
      </c>
    </row>
    <row r="21" customFormat="false" ht="15" hidden="false" customHeight="false" outlineLevel="0" collapsed="false">
      <c r="A21" s="10" t="s">
        <v>89</v>
      </c>
      <c r="B21" s="20" t="n">
        <f aca="false">CEILING(B4*(B6+B11),1)</f>
        <v>1804</v>
      </c>
    </row>
    <row r="22" customFormat="false" ht="15" hidden="false" customHeight="false" outlineLevel="0" collapsed="false">
      <c r="A22" s="10" t="s">
        <v>64</v>
      </c>
      <c r="B22" s="21" t="n">
        <f aca="false">B21*B10</f>
        <v>11184.8</v>
      </c>
    </row>
    <row r="23" customFormat="false" ht="15" hidden="false" customHeight="false" outlineLevel="0" collapsed="false">
      <c r="A23" s="2" t="s">
        <v>90</v>
      </c>
      <c r="B23" s="17" t="n">
        <f aca="false">MAX(0,INT((B9-B18)/B4))+1</f>
        <v>31</v>
      </c>
    </row>
    <row r="24" customFormat="false" ht="15" hidden="false" customHeight="false" outlineLevel="0" collapsed="false">
      <c r="A24" s="10" t="s">
        <v>91</v>
      </c>
      <c r="B24" s="22" t="n">
        <f aca="false">B12+B23</f>
        <v>46327</v>
      </c>
    </row>
    <row r="25" customFormat="false" ht="15" hidden="false" customHeight="false" outlineLevel="0" collapsed="false">
      <c r="A25" s="2" t="s">
        <v>92</v>
      </c>
      <c r="B25" s="17" t="n">
        <f aca="false">MAX(1,INT(B21/B4))</f>
        <v>105</v>
      </c>
    </row>
    <row r="27" customFormat="false" ht="15" hidden="false" customHeight="false" outlineLevel="0" collapsed="false">
      <c r="A27" s="4" t="s">
        <v>93</v>
      </c>
    </row>
    <row r="28" customFormat="false" ht="15" hidden="false" customHeight="false" outlineLevel="0" collapsed="false">
      <c r="A28" s="4" t="s">
        <v>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18"/>
    <col collapsed="false" customWidth="true" hidden="false" outlineLevel="0" max="21" min="2" style="0" width="14"/>
  </cols>
  <sheetData>
    <row r="1" customFormat="false" ht="19.7" hidden="false" customHeight="false" outlineLevel="0" collapsed="false">
      <c r="A1" s="1" t="s">
        <v>95</v>
      </c>
    </row>
    <row r="2" customFormat="false" ht="15" hidden="false" customHeight="false" outlineLevel="0" collapsed="false">
      <c r="A2" s="4" t="s">
        <v>96</v>
      </c>
    </row>
    <row r="3" customFormat="false" ht="15" hidden="false" customHeight="false" outlineLevel="0" collapsed="false">
      <c r="A3" s="2" t="s">
        <v>97</v>
      </c>
      <c r="B3" s="5" t="n">
        <v>10</v>
      </c>
    </row>
    <row r="5" customFormat="false" ht="15" hidden="false" customHeight="false" outlineLevel="0" collapsed="false">
      <c r="A5" s="10" t="s">
        <v>98</v>
      </c>
      <c r="B5" s="10" t="s">
        <v>61</v>
      </c>
      <c r="C5" s="10" t="s">
        <v>99</v>
      </c>
      <c r="D5" s="10" t="s">
        <v>100</v>
      </c>
      <c r="E5" s="10" t="s">
        <v>101</v>
      </c>
      <c r="F5" s="10" t="s">
        <v>102</v>
      </c>
      <c r="G5" s="10" t="s">
        <v>103</v>
      </c>
      <c r="H5" s="10" t="s">
        <v>60</v>
      </c>
      <c r="I5" s="10" t="s">
        <v>104</v>
      </c>
      <c r="J5" s="10" t="s">
        <v>105</v>
      </c>
      <c r="K5" s="10" t="s">
        <v>106</v>
      </c>
      <c r="L5" s="10" t="s">
        <v>107</v>
      </c>
      <c r="M5" s="10" t="s">
        <v>108</v>
      </c>
      <c r="N5" s="10" t="s">
        <v>109</v>
      </c>
      <c r="O5" s="10" t="s">
        <v>110</v>
      </c>
      <c r="P5" s="10" t="s">
        <v>111</v>
      </c>
      <c r="Q5" s="10" t="s">
        <v>112</v>
      </c>
      <c r="R5" s="10" t="s">
        <v>113</v>
      </c>
      <c r="S5" s="10" t="s">
        <v>114</v>
      </c>
      <c r="T5" s="10" t="s">
        <v>115</v>
      </c>
      <c r="U5" s="10" t="s">
        <v>116</v>
      </c>
    </row>
    <row r="6" customFormat="false" ht="15" hidden="false" customHeight="false" outlineLevel="0" collapsed="false">
      <c r="A6" s="23" t="s">
        <v>117</v>
      </c>
      <c r="B6" s="7" t="n">
        <v>24.99</v>
      </c>
      <c r="C6" s="8" t="n">
        <v>0.15</v>
      </c>
      <c r="D6" s="7" t="n">
        <v>4.347</v>
      </c>
      <c r="E6" s="7" t="n">
        <v>6.2</v>
      </c>
      <c r="F6" s="24" t="n">
        <v>0.046</v>
      </c>
      <c r="G6" s="6" t="n">
        <v>17.1809</v>
      </c>
      <c r="H6" s="6" t="n">
        <v>3.1829</v>
      </c>
      <c r="I6" s="5" t="n">
        <v>75</v>
      </c>
      <c r="J6" s="7" t="n">
        <v>0.97</v>
      </c>
      <c r="K6" s="25" t="n">
        <f aca="false">IF(OR($B6="",$E6=""),"",B6*(1-C6)-D6)</f>
        <v>16.8945</v>
      </c>
      <c r="L6" s="16" t="n">
        <f aca="false">IF(OR($B6="",$E6=""),"",K6-E6)</f>
        <v>10.6945</v>
      </c>
      <c r="M6" s="17" t="n">
        <f aca="false">IF(OR($B6="",$E6=""),"",I6+7)</f>
        <v>82</v>
      </c>
      <c r="N6" s="16" t="n">
        <f aca="false">IF(OR($B6="",$E6=""),"",IF(OR($B$3=10,$B$3=11,$B$3=12),2.4,0.78)*F6*M6/30)</f>
        <v>0.30176</v>
      </c>
      <c r="O6" s="16" t="n">
        <f aca="false">IF(OR($B6="",$E6=""),"",E6*0.12*M6/365)</f>
        <v>0.167145205479452</v>
      </c>
      <c r="P6" s="16" t="n">
        <f aca="false">IF(OR($B6="",$E6=""),"",E6*0.02)</f>
        <v>0.124</v>
      </c>
      <c r="Q6" s="16" t="n">
        <f aca="false">IF(OR($B6="",$E6=""),"",N6+O6+P6)</f>
        <v>0.592905205479452</v>
      </c>
      <c r="R6" s="16" t="n">
        <f aca="false">IF(OR($B6="",$E6=""),"",MAX(0,L6)+J6)</f>
        <v>11.6645</v>
      </c>
      <c r="S6" s="26" t="n">
        <f aca="false">IF(OR($B6="",$E6=""),"",MIN(0.995,MAX(0.5,IF(R6+Q6&gt;0,R6/(R6+Q6),0.5))))</f>
        <v>0.951628815761561</v>
      </c>
      <c r="T6" s="17" t="n">
        <f aca="false">IF(OR($B6="",$E6=""),"",CEILING(LOGINV(S6,LN(G6*M6)-(IF(AND(G6&gt;0,H6&gt;0),SQRT(LN(1+(H6/G6)^2)),0))^2/2,SQRT((IF(AND(G6&gt;0,H6&gt;0),SQRT(LN(1+(H6/G6)^2)),0))^2+(0.2*I6/M6)^2)),1))</f>
        <v>2131</v>
      </c>
      <c r="U6" s="17" t="n">
        <f aca="false">IF(OR($B6="",$E6=""),"",CEILING(LOGINV(0.95,LN(G6*M6)-(IF(AND(G6&gt;0,H6&gt;0),SQRT(LN(1+(H6/G6)^2)),0))^2/2,SQRT((IF(AND(G6&gt;0,H6&gt;0),SQRT(LN(1+(H6/G6)^2)),0))^2+(0.2*I6/M6)^2)),1))</f>
        <v>2122</v>
      </c>
    </row>
    <row r="7" customFormat="false" ht="15" hidden="false" customHeight="false" outlineLevel="0" collapsed="false">
      <c r="A7" s="23" t="s">
        <v>118</v>
      </c>
      <c r="B7" s="7" t="n">
        <v>12.99</v>
      </c>
      <c r="C7" s="8" t="n">
        <v>0.15</v>
      </c>
      <c r="D7" s="7" t="n">
        <v>4.347</v>
      </c>
      <c r="E7" s="7" t="n">
        <v>5.4</v>
      </c>
      <c r="F7" s="24" t="n">
        <v>0.031</v>
      </c>
      <c r="G7" s="6" t="n">
        <v>3</v>
      </c>
      <c r="H7" s="6" t="n">
        <v>0.6</v>
      </c>
      <c r="I7" s="5" t="n">
        <v>75</v>
      </c>
      <c r="J7" s="7" t="n">
        <v>0.97</v>
      </c>
      <c r="K7" s="25" t="n">
        <f aca="false">IF(OR($B7="",$E7=""),"",B7*(1-C7)-D7)</f>
        <v>6.6945</v>
      </c>
      <c r="L7" s="16" t="n">
        <f aca="false">IF(OR($B7="",$E7=""),"",K7-E7)</f>
        <v>1.2945</v>
      </c>
      <c r="M7" s="17" t="n">
        <f aca="false">IF(OR($B7="",$E7=""),"",I7+7)</f>
        <v>82</v>
      </c>
      <c r="N7" s="16" t="n">
        <f aca="false">IF(OR($B7="",$E7=""),"",IF(OR($B$3=10,$B$3=11,$B$3=12),2.4,0.78)*F7*M7/30)</f>
        <v>0.20336</v>
      </c>
      <c r="O7" s="16" t="n">
        <f aca="false">IF(OR($B7="",$E7=""),"",E7*0.12*M7/365)</f>
        <v>0.145578082191781</v>
      </c>
      <c r="P7" s="16" t="n">
        <f aca="false">IF(OR($B7="",$E7=""),"",E7*0.02)</f>
        <v>0.108</v>
      </c>
      <c r="Q7" s="16" t="n">
        <f aca="false">IF(OR($B7="",$E7=""),"",N7+O7+P7)</f>
        <v>0.456938082191781</v>
      </c>
      <c r="R7" s="16" t="n">
        <f aca="false">IF(OR($B7="",$E7=""),"",MAX(0,L7)+J7)</f>
        <v>2.2645</v>
      </c>
      <c r="S7" s="26" t="n">
        <f aca="false">IF(OR($B7="",$E7=""),"",MIN(0.995,MAX(0.5,IF(R7+Q7&gt;0,R7/(R7+Q7),0.5))))</f>
        <v>0.832096829546909</v>
      </c>
      <c r="T7" s="17" t="n">
        <f aca="false">IF(OR($B7="",$E7=""),"",CEILING(LOGINV(S7,LN(G7*M7)-(IF(AND(G7&gt;0,H7&gt;0),SQRT(LN(1+(H7/G7)^2)),0))^2/2,SQRT((IF(AND(G7&gt;0,H7&gt;0),SQRT(LN(1+(H7/G7)^2)),0))^2+(0.2*I7/M7)^2)),1))</f>
        <v>313</v>
      </c>
      <c r="U7" s="17" t="n">
        <f aca="false">IF(OR($B7="",$E7=""),"",CEILING(LOGINV(0.95,LN(G7*M7)-(IF(AND(G7&gt;0,H7&gt;0),SQRT(LN(1+(H7/G7)^2)),0))^2/2,SQRT((IF(AND(G7&gt;0,H7&gt;0),SQRT(LN(1+(H7/G7)^2)),0))^2+(0.2*I7/M7)^2)),1))</f>
        <v>376</v>
      </c>
    </row>
    <row r="8" customFormat="false" ht="15" hidden="false" customHeight="false" outlineLevel="0" collapsed="false">
      <c r="A8" s="23"/>
      <c r="B8" s="7"/>
      <c r="C8" s="8"/>
      <c r="D8" s="7"/>
      <c r="E8" s="7"/>
      <c r="F8" s="24"/>
      <c r="G8" s="6"/>
      <c r="H8" s="6"/>
      <c r="I8" s="5"/>
      <c r="J8" s="7"/>
      <c r="K8" s="25" t="str">
        <f aca="false">IF(OR($B8="",$E8=""),"",B8*(1-C8)-D8)</f>
        <v/>
      </c>
      <c r="L8" s="16" t="str">
        <f aca="false">IF(OR($B8="",$E8=""),"",K8-E8)</f>
        <v/>
      </c>
      <c r="M8" s="17" t="str">
        <f aca="false">IF(OR($B8="",$E8=""),"",I8+7)</f>
        <v/>
      </c>
      <c r="N8" s="16" t="str">
        <f aca="false">IF(OR($B8="",$E8=""),"",IF(OR($B$3=10,$B$3=11,$B$3=12),2.4,0.78)*F8*M8/30)</f>
        <v/>
      </c>
      <c r="O8" s="16" t="str">
        <f aca="false">IF(OR($B8="",$E8=""),"",E8*0.12*M8/365)</f>
        <v/>
      </c>
      <c r="P8" s="16" t="str">
        <f aca="false">IF(OR($B8="",$E8=""),"",E8*0.02)</f>
        <v/>
      </c>
      <c r="Q8" s="16" t="str">
        <f aca="false">IF(OR($B8="",$E8=""),"",N8+O8+P8)</f>
        <v/>
      </c>
      <c r="R8" s="16" t="str">
        <f aca="false">IF(OR($B8="",$E8=""),"",MAX(0,L8)+J8)</f>
        <v/>
      </c>
      <c r="S8" s="26" t="str">
        <f aca="false">IF(OR($B8="",$E8=""),"",MIN(0.995,MAX(0.5,IF(R8+Q8&gt;0,R8/(R8+Q8),0.5))))</f>
        <v/>
      </c>
      <c r="T8" s="17" t="str">
        <f aca="false">IF(OR($B8="",$E8=""),"",CEILING(LOGINV(S8,LN(G8*M8)-(IF(AND(G8&gt;0,H8&gt;0),SQRT(LN(1+(H8/G8)^2)),0))^2/2,SQRT((IF(AND(G8&gt;0,H8&gt;0),SQRT(LN(1+(H8/G8)^2)),0))^2+(0.2*I8/M8)^2)),1))</f>
        <v/>
      </c>
      <c r="U8" s="17" t="str">
        <f aca="false">IF(OR($B8="",$E8=""),"",CEILING(LOGINV(0.95,LN(G8*M8)-(IF(AND(G8&gt;0,H8&gt;0),SQRT(LN(1+(H8/G8)^2)),0))^2/2,SQRT((IF(AND(G8&gt;0,H8&gt;0),SQRT(LN(1+(H8/G8)^2)),0))^2+(0.2*I8/M8)^2)),1))</f>
        <v/>
      </c>
    </row>
    <row r="9" customFormat="false" ht="15" hidden="false" customHeight="false" outlineLevel="0" collapsed="false">
      <c r="A9" s="23"/>
      <c r="B9" s="7"/>
      <c r="C9" s="8"/>
      <c r="D9" s="7"/>
      <c r="E9" s="7"/>
      <c r="F9" s="24"/>
      <c r="G9" s="6"/>
      <c r="H9" s="6"/>
      <c r="I9" s="5"/>
      <c r="J9" s="7"/>
      <c r="K9" s="25" t="str">
        <f aca="false">IF(OR($B9="",$E9=""),"",B9*(1-C9)-D9)</f>
        <v/>
      </c>
      <c r="L9" s="16" t="str">
        <f aca="false">IF(OR($B9="",$E9=""),"",K9-E9)</f>
        <v/>
      </c>
      <c r="M9" s="17" t="str">
        <f aca="false">IF(OR($B9="",$E9=""),"",I9+7)</f>
        <v/>
      </c>
      <c r="N9" s="16" t="str">
        <f aca="false">IF(OR($B9="",$E9=""),"",IF(OR($B$3=10,$B$3=11,$B$3=12),2.4,0.78)*F9*M9/30)</f>
        <v/>
      </c>
      <c r="O9" s="16" t="str">
        <f aca="false">IF(OR($B9="",$E9=""),"",E9*0.12*M9/365)</f>
        <v/>
      </c>
      <c r="P9" s="16" t="str">
        <f aca="false">IF(OR($B9="",$E9=""),"",E9*0.02)</f>
        <v/>
      </c>
      <c r="Q9" s="16" t="str">
        <f aca="false">IF(OR($B9="",$E9=""),"",N9+O9+P9)</f>
        <v/>
      </c>
      <c r="R9" s="16" t="str">
        <f aca="false">IF(OR($B9="",$E9=""),"",MAX(0,L9)+J9)</f>
        <v/>
      </c>
      <c r="S9" s="26" t="str">
        <f aca="false">IF(OR($B9="",$E9=""),"",MIN(0.995,MAX(0.5,IF(R9+Q9&gt;0,R9/(R9+Q9),0.5))))</f>
        <v/>
      </c>
      <c r="T9" s="17" t="str">
        <f aca="false">IF(OR($B9="",$E9=""),"",CEILING(LOGINV(S9,LN(G9*M9)-(IF(AND(G9&gt;0,H9&gt;0),SQRT(LN(1+(H9/G9)^2)),0))^2/2,SQRT((IF(AND(G9&gt;0,H9&gt;0),SQRT(LN(1+(H9/G9)^2)),0))^2+(0.2*I9/M9)^2)),1))</f>
        <v/>
      </c>
      <c r="U9" s="17" t="str">
        <f aca="false">IF(OR($B9="",$E9=""),"",CEILING(LOGINV(0.95,LN(G9*M9)-(IF(AND(G9&gt;0,H9&gt;0),SQRT(LN(1+(H9/G9)^2)),0))^2/2,SQRT((IF(AND(G9&gt;0,H9&gt;0),SQRT(LN(1+(H9/G9)^2)),0))^2+(0.2*I9/M9)^2)),1))</f>
        <v/>
      </c>
    </row>
    <row r="10" customFormat="false" ht="15" hidden="false" customHeight="false" outlineLevel="0" collapsed="false">
      <c r="A10" s="23"/>
      <c r="B10" s="7"/>
      <c r="C10" s="8"/>
      <c r="D10" s="7"/>
      <c r="E10" s="7"/>
      <c r="F10" s="24"/>
      <c r="G10" s="6"/>
      <c r="H10" s="6"/>
      <c r="I10" s="5"/>
      <c r="J10" s="7"/>
      <c r="K10" s="25" t="str">
        <f aca="false">IF(OR($B10="",$E10=""),"",B10*(1-C10)-D10)</f>
        <v/>
      </c>
      <c r="L10" s="16" t="str">
        <f aca="false">IF(OR($B10="",$E10=""),"",K10-E10)</f>
        <v/>
      </c>
      <c r="M10" s="17" t="str">
        <f aca="false">IF(OR($B10="",$E10=""),"",I10+7)</f>
        <v/>
      </c>
      <c r="N10" s="16" t="str">
        <f aca="false">IF(OR($B10="",$E10=""),"",IF(OR($B$3=10,$B$3=11,$B$3=12),2.4,0.78)*F10*M10/30)</f>
        <v/>
      </c>
      <c r="O10" s="16" t="str">
        <f aca="false">IF(OR($B10="",$E10=""),"",E10*0.12*M10/365)</f>
        <v/>
      </c>
      <c r="P10" s="16" t="str">
        <f aca="false">IF(OR($B10="",$E10=""),"",E10*0.02)</f>
        <v/>
      </c>
      <c r="Q10" s="16" t="str">
        <f aca="false">IF(OR($B10="",$E10=""),"",N10+O10+P10)</f>
        <v/>
      </c>
      <c r="R10" s="16" t="str">
        <f aca="false">IF(OR($B10="",$E10=""),"",MAX(0,L10)+J10)</f>
        <v/>
      </c>
      <c r="S10" s="26" t="str">
        <f aca="false">IF(OR($B10="",$E10=""),"",MIN(0.995,MAX(0.5,IF(R10+Q10&gt;0,R10/(R10+Q10),0.5))))</f>
        <v/>
      </c>
      <c r="T10" s="17" t="str">
        <f aca="false">IF(OR($B10="",$E10=""),"",CEILING(LOGINV(S10,LN(G10*M10)-(IF(AND(G10&gt;0,H10&gt;0),SQRT(LN(1+(H10/G10)^2)),0))^2/2,SQRT((IF(AND(G10&gt;0,H10&gt;0),SQRT(LN(1+(H10/G10)^2)),0))^2+(0.2*I10/M10)^2)),1))</f>
        <v/>
      </c>
      <c r="U10" s="17" t="str">
        <f aca="false">IF(OR($B10="",$E10=""),"",CEILING(LOGINV(0.95,LN(G10*M10)-(IF(AND(G10&gt;0,H10&gt;0),SQRT(LN(1+(H10/G10)^2)),0))^2/2,SQRT((IF(AND(G10&gt;0,H10&gt;0),SQRT(LN(1+(H10/G10)^2)),0))^2+(0.2*I10/M10)^2)),1))</f>
        <v/>
      </c>
    </row>
    <row r="11" customFormat="false" ht="15" hidden="false" customHeight="false" outlineLevel="0" collapsed="false">
      <c r="A11" s="23"/>
      <c r="B11" s="7"/>
      <c r="C11" s="8"/>
      <c r="D11" s="7"/>
      <c r="E11" s="7"/>
      <c r="F11" s="24"/>
      <c r="G11" s="6"/>
      <c r="H11" s="6"/>
      <c r="I11" s="5"/>
      <c r="J11" s="7"/>
      <c r="K11" s="25" t="str">
        <f aca="false">IF(OR($B11="",$E11=""),"",B11*(1-C11)-D11)</f>
        <v/>
      </c>
      <c r="L11" s="16" t="str">
        <f aca="false">IF(OR($B11="",$E11=""),"",K11-E11)</f>
        <v/>
      </c>
      <c r="M11" s="17" t="str">
        <f aca="false">IF(OR($B11="",$E11=""),"",I11+7)</f>
        <v/>
      </c>
      <c r="N11" s="16" t="str">
        <f aca="false">IF(OR($B11="",$E11=""),"",IF(OR($B$3=10,$B$3=11,$B$3=12),2.4,0.78)*F11*M11/30)</f>
        <v/>
      </c>
      <c r="O11" s="16" t="str">
        <f aca="false">IF(OR($B11="",$E11=""),"",E11*0.12*M11/365)</f>
        <v/>
      </c>
      <c r="P11" s="16" t="str">
        <f aca="false">IF(OR($B11="",$E11=""),"",E11*0.02)</f>
        <v/>
      </c>
      <c r="Q11" s="16" t="str">
        <f aca="false">IF(OR($B11="",$E11=""),"",N11+O11+P11)</f>
        <v/>
      </c>
      <c r="R11" s="16" t="str">
        <f aca="false">IF(OR($B11="",$E11=""),"",MAX(0,L11)+J11)</f>
        <v/>
      </c>
      <c r="S11" s="26" t="str">
        <f aca="false">IF(OR($B11="",$E11=""),"",MIN(0.995,MAX(0.5,IF(R11+Q11&gt;0,R11/(R11+Q11),0.5))))</f>
        <v/>
      </c>
      <c r="T11" s="17" t="str">
        <f aca="false">IF(OR($B11="",$E11=""),"",CEILING(LOGINV(S11,LN(G11*M11)-(IF(AND(G11&gt;0,H11&gt;0),SQRT(LN(1+(H11/G11)^2)),0))^2/2,SQRT((IF(AND(G11&gt;0,H11&gt;0),SQRT(LN(1+(H11/G11)^2)),0))^2+(0.2*I11/M11)^2)),1))</f>
        <v/>
      </c>
      <c r="U11" s="17" t="str">
        <f aca="false">IF(OR($B11="",$E11=""),"",CEILING(LOGINV(0.95,LN(G11*M11)-(IF(AND(G11&gt;0,H11&gt;0),SQRT(LN(1+(H11/G11)^2)),0))^2/2,SQRT((IF(AND(G11&gt;0,H11&gt;0),SQRT(LN(1+(H11/G11)^2)),0))^2+(0.2*I11/M11)^2)),1))</f>
        <v/>
      </c>
    </row>
    <row r="12" customFormat="false" ht="15" hidden="false" customHeight="false" outlineLevel="0" collapsed="false">
      <c r="A12" s="23"/>
      <c r="B12" s="7"/>
      <c r="C12" s="8"/>
      <c r="D12" s="7"/>
      <c r="E12" s="7"/>
      <c r="F12" s="24"/>
      <c r="G12" s="6"/>
      <c r="H12" s="6"/>
      <c r="I12" s="5"/>
      <c r="J12" s="7"/>
      <c r="K12" s="25" t="str">
        <f aca="false">IF(OR($B12="",$E12=""),"",B12*(1-C12)-D12)</f>
        <v/>
      </c>
      <c r="L12" s="16" t="str">
        <f aca="false">IF(OR($B12="",$E12=""),"",K12-E12)</f>
        <v/>
      </c>
      <c r="M12" s="17" t="str">
        <f aca="false">IF(OR($B12="",$E12=""),"",I12+7)</f>
        <v/>
      </c>
      <c r="N12" s="16" t="str">
        <f aca="false">IF(OR($B12="",$E12=""),"",IF(OR($B$3=10,$B$3=11,$B$3=12),2.4,0.78)*F12*M12/30)</f>
        <v/>
      </c>
      <c r="O12" s="16" t="str">
        <f aca="false">IF(OR($B12="",$E12=""),"",E12*0.12*M12/365)</f>
        <v/>
      </c>
      <c r="P12" s="16" t="str">
        <f aca="false">IF(OR($B12="",$E12=""),"",E12*0.02)</f>
        <v/>
      </c>
      <c r="Q12" s="16" t="str">
        <f aca="false">IF(OR($B12="",$E12=""),"",N12+O12+P12)</f>
        <v/>
      </c>
      <c r="R12" s="16" t="str">
        <f aca="false">IF(OR($B12="",$E12=""),"",MAX(0,L12)+J12)</f>
        <v/>
      </c>
      <c r="S12" s="26" t="str">
        <f aca="false">IF(OR($B12="",$E12=""),"",MIN(0.995,MAX(0.5,IF(R12+Q12&gt;0,R12/(R12+Q12),0.5))))</f>
        <v/>
      </c>
      <c r="T12" s="17" t="str">
        <f aca="false">IF(OR($B12="",$E12=""),"",CEILING(LOGINV(S12,LN(G12*M12)-(IF(AND(G12&gt;0,H12&gt;0),SQRT(LN(1+(H12/G12)^2)),0))^2/2,SQRT((IF(AND(G12&gt;0,H12&gt;0),SQRT(LN(1+(H12/G12)^2)),0))^2+(0.2*I12/M12)^2)),1))</f>
        <v/>
      </c>
      <c r="U12" s="17" t="str">
        <f aca="false">IF(OR($B12="",$E12=""),"",CEILING(LOGINV(0.95,LN(G12*M12)-(IF(AND(G12&gt;0,H12&gt;0),SQRT(LN(1+(H12/G12)^2)),0))^2/2,SQRT((IF(AND(G12&gt;0,H12&gt;0),SQRT(LN(1+(H12/G12)^2)),0))^2+(0.2*I12/M12)^2)),1))</f>
        <v/>
      </c>
    </row>
    <row r="13" customFormat="false" ht="15" hidden="false" customHeight="false" outlineLevel="0" collapsed="false">
      <c r="A13" s="23"/>
      <c r="B13" s="7"/>
      <c r="C13" s="8"/>
      <c r="D13" s="7"/>
      <c r="E13" s="7"/>
      <c r="F13" s="24"/>
      <c r="G13" s="6"/>
      <c r="H13" s="6"/>
      <c r="I13" s="5"/>
      <c r="J13" s="7"/>
      <c r="K13" s="25" t="str">
        <f aca="false">IF(OR($B13="",$E13=""),"",B13*(1-C13)-D13)</f>
        <v/>
      </c>
      <c r="L13" s="16" t="str">
        <f aca="false">IF(OR($B13="",$E13=""),"",K13-E13)</f>
        <v/>
      </c>
      <c r="M13" s="17" t="str">
        <f aca="false">IF(OR($B13="",$E13=""),"",I13+7)</f>
        <v/>
      </c>
      <c r="N13" s="16" t="str">
        <f aca="false">IF(OR($B13="",$E13=""),"",IF(OR($B$3=10,$B$3=11,$B$3=12),2.4,0.78)*F13*M13/30)</f>
        <v/>
      </c>
      <c r="O13" s="16" t="str">
        <f aca="false">IF(OR($B13="",$E13=""),"",E13*0.12*M13/365)</f>
        <v/>
      </c>
      <c r="P13" s="16" t="str">
        <f aca="false">IF(OR($B13="",$E13=""),"",E13*0.02)</f>
        <v/>
      </c>
      <c r="Q13" s="16" t="str">
        <f aca="false">IF(OR($B13="",$E13=""),"",N13+O13+P13)</f>
        <v/>
      </c>
      <c r="R13" s="16" t="str">
        <f aca="false">IF(OR($B13="",$E13=""),"",MAX(0,L13)+J13)</f>
        <v/>
      </c>
      <c r="S13" s="26" t="str">
        <f aca="false">IF(OR($B13="",$E13=""),"",MIN(0.995,MAX(0.5,IF(R13+Q13&gt;0,R13/(R13+Q13),0.5))))</f>
        <v/>
      </c>
      <c r="T13" s="17" t="str">
        <f aca="false">IF(OR($B13="",$E13=""),"",CEILING(LOGINV(S13,LN(G13*M13)-(IF(AND(G13&gt;0,H13&gt;0),SQRT(LN(1+(H13/G13)^2)),0))^2/2,SQRT((IF(AND(G13&gt;0,H13&gt;0),SQRT(LN(1+(H13/G13)^2)),0))^2+(0.2*I13/M13)^2)),1))</f>
        <v/>
      </c>
      <c r="U13" s="17" t="str">
        <f aca="false">IF(OR($B13="",$E13=""),"",CEILING(LOGINV(0.95,LN(G13*M13)-(IF(AND(G13&gt;0,H13&gt;0),SQRT(LN(1+(H13/G13)^2)),0))^2/2,SQRT((IF(AND(G13&gt;0,H13&gt;0),SQRT(LN(1+(H13/G13)^2)),0))^2+(0.2*I13/M13)^2)),1))</f>
        <v/>
      </c>
    </row>
    <row r="14" customFormat="false" ht="15" hidden="false" customHeight="false" outlineLevel="0" collapsed="false">
      <c r="A14" s="23"/>
      <c r="B14" s="7"/>
      <c r="C14" s="8"/>
      <c r="D14" s="7"/>
      <c r="E14" s="7"/>
      <c r="F14" s="24"/>
      <c r="G14" s="6"/>
      <c r="H14" s="6"/>
      <c r="I14" s="5"/>
      <c r="J14" s="7"/>
      <c r="K14" s="25" t="str">
        <f aca="false">IF(OR($B14="",$E14=""),"",B14*(1-C14)-D14)</f>
        <v/>
      </c>
      <c r="L14" s="16" t="str">
        <f aca="false">IF(OR($B14="",$E14=""),"",K14-E14)</f>
        <v/>
      </c>
      <c r="M14" s="17" t="str">
        <f aca="false">IF(OR($B14="",$E14=""),"",I14+7)</f>
        <v/>
      </c>
      <c r="N14" s="16" t="str">
        <f aca="false">IF(OR($B14="",$E14=""),"",IF(OR($B$3=10,$B$3=11,$B$3=12),2.4,0.78)*F14*M14/30)</f>
        <v/>
      </c>
      <c r="O14" s="16" t="str">
        <f aca="false">IF(OR($B14="",$E14=""),"",E14*0.12*M14/365)</f>
        <v/>
      </c>
      <c r="P14" s="16" t="str">
        <f aca="false">IF(OR($B14="",$E14=""),"",E14*0.02)</f>
        <v/>
      </c>
      <c r="Q14" s="16" t="str">
        <f aca="false">IF(OR($B14="",$E14=""),"",N14+O14+P14)</f>
        <v/>
      </c>
      <c r="R14" s="16" t="str">
        <f aca="false">IF(OR($B14="",$E14=""),"",MAX(0,L14)+J14)</f>
        <v/>
      </c>
      <c r="S14" s="26" t="str">
        <f aca="false">IF(OR($B14="",$E14=""),"",MIN(0.995,MAX(0.5,IF(R14+Q14&gt;0,R14/(R14+Q14),0.5))))</f>
        <v/>
      </c>
      <c r="T14" s="17" t="str">
        <f aca="false">IF(OR($B14="",$E14=""),"",CEILING(LOGINV(S14,LN(G14*M14)-(IF(AND(G14&gt;0,H14&gt;0),SQRT(LN(1+(H14/G14)^2)),0))^2/2,SQRT((IF(AND(G14&gt;0,H14&gt;0),SQRT(LN(1+(H14/G14)^2)),0))^2+(0.2*I14/M14)^2)),1))</f>
        <v/>
      </c>
      <c r="U14" s="17" t="str">
        <f aca="false">IF(OR($B14="",$E14=""),"",CEILING(LOGINV(0.95,LN(G14*M14)-(IF(AND(G14&gt;0,H14&gt;0),SQRT(LN(1+(H14/G14)^2)),0))^2/2,SQRT((IF(AND(G14&gt;0,H14&gt;0),SQRT(LN(1+(H14/G14)^2)),0))^2+(0.2*I14/M14)^2)),1))</f>
        <v/>
      </c>
    </row>
    <row r="15" customFormat="false" ht="15" hidden="false" customHeight="false" outlineLevel="0" collapsed="false">
      <c r="A15" s="23"/>
      <c r="B15" s="7"/>
      <c r="C15" s="8"/>
      <c r="D15" s="7"/>
      <c r="E15" s="7"/>
      <c r="F15" s="24"/>
      <c r="G15" s="6"/>
      <c r="H15" s="6"/>
      <c r="I15" s="5"/>
      <c r="J15" s="7"/>
      <c r="K15" s="25" t="str">
        <f aca="false">IF(OR($B15="",$E15=""),"",B15*(1-C15)-D15)</f>
        <v/>
      </c>
      <c r="L15" s="16" t="str">
        <f aca="false">IF(OR($B15="",$E15=""),"",K15-E15)</f>
        <v/>
      </c>
      <c r="M15" s="17" t="str">
        <f aca="false">IF(OR($B15="",$E15=""),"",I15+7)</f>
        <v/>
      </c>
      <c r="N15" s="16" t="str">
        <f aca="false">IF(OR($B15="",$E15=""),"",IF(OR($B$3=10,$B$3=11,$B$3=12),2.4,0.78)*F15*M15/30)</f>
        <v/>
      </c>
      <c r="O15" s="16" t="str">
        <f aca="false">IF(OR($B15="",$E15=""),"",E15*0.12*M15/365)</f>
        <v/>
      </c>
      <c r="P15" s="16" t="str">
        <f aca="false">IF(OR($B15="",$E15=""),"",E15*0.02)</f>
        <v/>
      </c>
      <c r="Q15" s="16" t="str">
        <f aca="false">IF(OR($B15="",$E15=""),"",N15+O15+P15)</f>
        <v/>
      </c>
      <c r="R15" s="16" t="str">
        <f aca="false">IF(OR($B15="",$E15=""),"",MAX(0,L15)+J15)</f>
        <v/>
      </c>
      <c r="S15" s="26" t="str">
        <f aca="false">IF(OR($B15="",$E15=""),"",MIN(0.995,MAX(0.5,IF(R15+Q15&gt;0,R15/(R15+Q15),0.5))))</f>
        <v/>
      </c>
      <c r="T15" s="17" t="str">
        <f aca="false">IF(OR($B15="",$E15=""),"",CEILING(LOGINV(S15,LN(G15*M15)-(IF(AND(G15&gt;0,H15&gt;0),SQRT(LN(1+(H15/G15)^2)),0))^2/2,SQRT((IF(AND(G15&gt;0,H15&gt;0),SQRT(LN(1+(H15/G15)^2)),0))^2+(0.2*I15/M15)^2)),1))</f>
        <v/>
      </c>
      <c r="U15" s="17" t="str">
        <f aca="false">IF(OR($B15="",$E15=""),"",CEILING(LOGINV(0.95,LN(G15*M15)-(IF(AND(G15&gt;0,H15&gt;0),SQRT(LN(1+(H15/G15)^2)),0))^2/2,SQRT((IF(AND(G15&gt;0,H15&gt;0),SQRT(LN(1+(H15/G15)^2)),0))^2+(0.2*I15/M15)^2)),1))</f>
        <v/>
      </c>
    </row>
    <row r="16" customFormat="false" ht="15" hidden="false" customHeight="false" outlineLevel="0" collapsed="false">
      <c r="A16" s="23"/>
      <c r="B16" s="7"/>
      <c r="C16" s="8"/>
      <c r="D16" s="7"/>
      <c r="E16" s="7"/>
      <c r="F16" s="24"/>
      <c r="G16" s="6"/>
      <c r="H16" s="6"/>
      <c r="I16" s="5"/>
      <c r="J16" s="7"/>
      <c r="K16" s="25" t="str">
        <f aca="false">IF(OR($B16="",$E16=""),"",B16*(1-C16)-D16)</f>
        <v/>
      </c>
      <c r="L16" s="16" t="str">
        <f aca="false">IF(OR($B16="",$E16=""),"",K16-E16)</f>
        <v/>
      </c>
      <c r="M16" s="17" t="str">
        <f aca="false">IF(OR($B16="",$E16=""),"",I16+7)</f>
        <v/>
      </c>
      <c r="N16" s="16" t="str">
        <f aca="false">IF(OR($B16="",$E16=""),"",IF(OR($B$3=10,$B$3=11,$B$3=12),2.4,0.78)*F16*M16/30)</f>
        <v/>
      </c>
      <c r="O16" s="16" t="str">
        <f aca="false">IF(OR($B16="",$E16=""),"",E16*0.12*M16/365)</f>
        <v/>
      </c>
      <c r="P16" s="16" t="str">
        <f aca="false">IF(OR($B16="",$E16=""),"",E16*0.02)</f>
        <v/>
      </c>
      <c r="Q16" s="16" t="str">
        <f aca="false">IF(OR($B16="",$E16=""),"",N16+O16+P16)</f>
        <v/>
      </c>
      <c r="R16" s="16" t="str">
        <f aca="false">IF(OR($B16="",$E16=""),"",MAX(0,L16)+J16)</f>
        <v/>
      </c>
      <c r="S16" s="26" t="str">
        <f aca="false">IF(OR($B16="",$E16=""),"",MIN(0.995,MAX(0.5,IF(R16+Q16&gt;0,R16/(R16+Q16),0.5))))</f>
        <v/>
      </c>
      <c r="T16" s="17" t="str">
        <f aca="false">IF(OR($B16="",$E16=""),"",CEILING(LOGINV(S16,LN(G16*M16)-(IF(AND(G16&gt;0,H16&gt;0),SQRT(LN(1+(H16/G16)^2)),0))^2/2,SQRT((IF(AND(G16&gt;0,H16&gt;0),SQRT(LN(1+(H16/G16)^2)),0))^2+(0.2*I16/M16)^2)),1))</f>
        <v/>
      </c>
      <c r="U16" s="17" t="str">
        <f aca="false">IF(OR($B16="",$E16=""),"",CEILING(LOGINV(0.95,LN(G16*M16)-(IF(AND(G16&gt;0,H16&gt;0),SQRT(LN(1+(H16/G16)^2)),0))^2/2,SQRT((IF(AND(G16&gt;0,H16&gt;0),SQRT(LN(1+(H16/G16)^2)),0))^2+(0.2*I16/M16)^2)),1))</f>
        <v/>
      </c>
    </row>
    <row r="17" customFormat="false" ht="15" hidden="false" customHeight="false" outlineLevel="0" collapsed="false">
      <c r="A17" s="23"/>
      <c r="B17" s="7"/>
      <c r="C17" s="8"/>
      <c r="D17" s="7"/>
      <c r="E17" s="7"/>
      <c r="F17" s="24"/>
      <c r="G17" s="6"/>
      <c r="H17" s="6"/>
      <c r="I17" s="5"/>
      <c r="J17" s="7"/>
      <c r="K17" s="25" t="str">
        <f aca="false">IF(OR($B17="",$E17=""),"",B17*(1-C17)-D17)</f>
        <v/>
      </c>
      <c r="L17" s="16" t="str">
        <f aca="false">IF(OR($B17="",$E17=""),"",K17-E17)</f>
        <v/>
      </c>
      <c r="M17" s="17" t="str">
        <f aca="false">IF(OR($B17="",$E17=""),"",I17+7)</f>
        <v/>
      </c>
      <c r="N17" s="16" t="str">
        <f aca="false">IF(OR($B17="",$E17=""),"",IF(OR($B$3=10,$B$3=11,$B$3=12),2.4,0.78)*F17*M17/30)</f>
        <v/>
      </c>
      <c r="O17" s="16" t="str">
        <f aca="false">IF(OR($B17="",$E17=""),"",E17*0.12*M17/365)</f>
        <v/>
      </c>
      <c r="P17" s="16" t="str">
        <f aca="false">IF(OR($B17="",$E17=""),"",E17*0.02)</f>
        <v/>
      </c>
      <c r="Q17" s="16" t="str">
        <f aca="false">IF(OR($B17="",$E17=""),"",N17+O17+P17)</f>
        <v/>
      </c>
      <c r="R17" s="16" t="str">
        <f aca="false">IF(OR($B17="",$E17=""),"",MAX(0,L17)+J17)</f>
        <v/>
      </c>
      <c r="S17" s="26" t="str">
        <f aca="false">IF(OR($B17="",$E17=""),"",MIN(0.995,MAX(0.5,IF(R17+Q17&gt;0,R17/(R17+Q17),0.5))))</f>
        <v/>
      </c>
      <c r="T17" s="17" t="str">
        <f aca="false">IF(OR($B17="",$E17=""),"",CEILING(LOGINV(S17,LN(G17*M17)-(IF(AND(G17&gt;0,H17&gt;0),SQRT(LN(1+(H17/G17)^2)),0))^2/2,SQRT((IF(AND(G17&gt;0,H17&gt;0),SQRT(LN(1+(H17/G17)^2)),0))^2+(0.2*I17/M17)^2)),1))</f>
        <v/>
      </c>
      <c r="U17" s="17" t="str">
        <f aca="false">IF(OR($B17="",$E17=""),"",CEILING(LOGINV(0.95,LN(G17*M17)-(IF(AND(G17&gt;0,H17&gt;0),SQRT(LN(1+(H17/G17)^2)),0))^2/2,SQRT((IF(AND(G17&gt;0,H17&gt;0),SQRT(LN(1+(H17/G17)^2)),0))^2+(0.2*I17/M17)^2)),1))</f>
        <v/>
      </c>
    </row>
    <row r="19" customFormat="false" ht="15" hidden="false" customHeight="false" outlineLevel="0" collapsed="false">
      <c r="A19" s="4" t="s">
        <v>119</v>
      </c>
    </row>
    <row r="20" customFormat="false" ht="15" hidden="false" customHeight="false" outlineLevel="0" collapsed="false">
      <c r="A20" s="4" t="s">
        <v>120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121</v>
      </c>
    </row>
    <row r="2" customFormat="false" ht="15" hidden="false" customHeight="false" outlineLevel="0" collapsed="false">
      <c r="A2" s="4" t="s">
        <v>122</v>
      </c>
    </row>
    <row r="4" customFormat="false" ht="15" hidden="false" customHeight="false" outlineLevel="0" collapsed="false">
      <c r="A4" s="2" t="s">
        <v>123</v>
      </c>
      <c r="B4" s="5" t="n">
        <v>1400</v>
      </c>
      <c r="Z4" s="10" t="s">
        <v>124</v>
      </c>
    </row>
    <row r="5" customFormat="false" ht="15" hidden="false" customHeight="false" outlineLevel="0" collapsed="false">
      <c r="A5" s="2" t="s">
        <v>18</v>
      </c>
      <c r="B5" s="6" t="n">
        <v>3</v>
      </c>
      <c r="Z5" s="10" t="s">
        <v>125</v>
      </c>
      <c r="AA5" s="10" t="s">
        <v>126</v>
      </c>
    </row>
    <row r="6" customFormat="false" ht="15" hidden="false" customHeight="false" outlineLevel="0" collapsed="false">
      <c r="A6" s="2" t="s">
        <v>61</v>
      </c>
      <c r="B6" s="7" t="n">
        <v>12.99</v>
      </c>
      <c r="Z6" s="2" t="n">
        <v>0</v>
      </c>
      <c r="AA6" s="16" t="n">
        <v>0</v>
      </c>
    </row>
    <row r="7" customFormat="false" ht="15" hidden="false" customHeight="false" outlineLevel="0" collapsed="false">
      <c r="A7" s="2" t="s">
        <v>127</v>
      </c>
      <c r="B7" s="7" t="n">
        <v>6.6945</v>
      </c>
      <c r="Z7" s="2" t="n">
        <v>181</v>
      </c>
      <c r="AA7" s="16" t="n">
        <v>0.5</v>
      </c>
    </row>
    <row r="8" customFormat="false" ht="15" hidden="false" customHeight="false" outlineLevel="0" collapsed="false">
      <c r="A8" s="2" t="s">
        <v>102</v>
      </c>
      <c r="B8" s="24" t="n">
        <v>0.031</v>
      </c>
      <c r="Z8" s="2" t="n">
        <v>211</v>
      </c>
      <c r="AA8" s="16" t="n">
        <v>1</v>
      </c>
    </row>
    <row r="9" customFormat="false" ht="15" hidden="false" customHeight="false" outlineLevel="0" collapsed="false">
      <c r="A9" s="2" t="s">
        <v>128</v>
      </c>
      <c r="B9" s="5" t="n">
        <v>200</v>
      </c>
      <c r="Z9" s="2" t="n">
        <v>241</v>
      </c>
      <c r="AA9" s="16" t="n">
        <v>1.5</v>
      </c>
    </row>
    <row r="10" customFormat="false" ht="15" hidden="false" customHeight="false" outlineLevel="0" collapsed="false">
      <c r="A10" s="2" t="s">
        <v>129</v>
      </c>
      <c r="B10" s="5" t="n">
        <v>10</v>
      </c>
      <c r="Z10" s="2" t="n">
        <v>271</v>
      </c>
      <c r="AA10" s="16" t="n">
        <v>5.45</v>
      </c>
    </row>
    <row r="11" customFormat="false" ht="15" hidden="false" customHeight="false" outlineLevel="0" collapsed="false">
      <c r="A11" s="2" t="s">
        <v>130</v>
      </c>
      <c r="B11" s="5" t="n">
        <v>90</v>
      </c>
      <c r="Z11" s="2" t="n">
        <v>301</v>
      </c>
      <c r="AA11" s="16" t="n">
        <v>5.7</v>
      </c>
    </row>
    <row r="12" customFormat="false" ht="15" hidden="false" customHeight="false" outlineLevel="0" collapsed="false">
      <c r="A12" s="2" t="s">
        <v>131</v>
      </c>
      <c r="B12" s="8" t="n">
        <v>0.1</v>
      </c>
      <c r="Z12" s="2" t="n">
        <v>331</v>
      </c>
      <c r="AA12" s="16" t="n">
        <v>5.9</v>
      </c>
    </row>
    <row r="13" customFormat="false" ht="15" hidden="false" customHeight="false" outlineLevel="0" collapsed="false">
      <c r="A13" s="2" t="s">
        <v>132</v>
      </c>
      <c r="B13" s="8" t="n">
        <v>0.12</v>
      </c>
      <c r="Z13" s="2" t="n">
        <v>366</v>
      </c>
      <c r="AA13" s="16" t="n">
        <v>6.9</v>
      </c>
    </row>
    <row r="15" customFormat="false" ht="15" hidden="false" customHeight="false" outlineLevel="0" collapsed="false">
      <c r="A15" s="2" t="s">
        <v>133</v>
      </c>
      <c r="B15" s="9" t="n">
        <f aca="false">B5*B11</f>
        <v>270</v>
      </c>
      <c r="Z15" s="4" t="s">
        <v>134</v>
      </c>
      <c r="AA15" s="16" t="n">
        <v>0.15</v>
      </c>
    </row>
    <row r="16" customFormat="false" ht="15" hidden="false" customHeight="false" outlineLevel="0" collapsed="false">
      <c r="A16" s="2" t="s">
        <v>135</v>
      </c>
      <c r="B16" s="17" t="n">
        <f aca="false">INT(MAX(0,B4-B15))</f>
        <v>1130</v>
      </c>
      <c r="Z16" s="4" t="s">
        <v>136</v>
      </c>
      <c r="AA16" s="16" t="n">
        <v>0.78</v>
      </c>
      <c r="AB16" s="16" t="n">
        <v>2.4</v>
      </c>
    </row>
    <row r="17" customFormat="false" ht="15" hidden="false" customHeight="false" outlineLevel="0" collapsed="false">
      <c r="A17" s="10" t="s">
        <v>137</v>
      </c>
      <c r="B17" s="21" t="n">
        <f aca="false">SUM(M23:M46)+M47-SUM(X23:X46)-X47</f>
        <v>4742.81888517818</v>
      </c>
    </row>
    <row r="18" customFormat="false" ht="15" hidden="false" customHeight="false" outlineLevel="0" collapsed="false">
      <c r="A18" s="10" t="s">
        <v>138</v>
      </c>
      <c r="B18" s="21" t="n">
        <f aca="false">B16*B6*B12</f>
        <v>1467.87</v>
      </c>
    </row>
    <row r="19" customFormat="false" ht="15" hidden="false" customHeight="false" outlineLevel="0" collapsed="false">
      <c r="A19" s="10" t="s">
        <v>139</v>
      </c>
      <c r="B19" s="10" t="str">
        <f aca="false">IF(B16=0,"No excess",IF(B18&gt;B17,"Liquidate","Hold"))</f>
        <v>Hold</v>
      </c>
    </row>
    <row r="20" customFormat="false" ht="15" hidden="false" customHeight="false" outlineLevel="0" collapsed="false">
      <c r="A20" s="2" t="s">
        <v>140</v>
      </c>
      <c r="B20" s="17" t="n">
        <f aca="false">IF(B16=0,0,IFERROR(MATCH(TRUE(),INDEX(I23:I46&lt;=B15+0.000000001,0),0),24))</f>
        <v>13</v>
      </c>
    </row>
    <row r="21" customFormat="false" ht="15" hidden="false" customHeight="false" outlineLevel="0" collapsed="false">
      <c r="D21" s="3" t="s">
        <v>141</v>
      </c>
      <c r="O21" s="3" t="s">
        <v>142</v>
      </c>
    </row>
    <row r="22" customFormat="false" ht="15" hidden="false" customHeight="false" outlineLevel="0" collapsed="false">
      <c r="D22" s="10" t="s">
        <v>143</v>
      </c>
      <c r="E22" s="10" t="s">
        <v>144</v>
      </c>
      <c r="F22" s="10" t="s">
        <v>145</v>
      </c>
      <c r="G22" s="10" t="s">
        <v>146</v>
      </c>
      <c r="H22" s="10" t="s">
        <v>147</v>
      </c>
      <c r="I22" s="10" t="s">
        <v>148</v>
      </c>
      <c r="J22" s="10" t="s">
        <v>149</v>
      </c>
      <c r="K22" s="10" t="s">
        <v>150</v>
      </c>
      <c r="L22" s="10" t="s">
        <v>151</v>
      </c>
      <c r="M22" s="10" t="s">
        <v>152</v>
      </c>
      <c r="O22" s="10" t="s">
        <v>143</v>
      </c>
      <c r="P22" s="10" t="s">
        <v>144</v>
      </c>
      <c r="Q22" s="10" t="s">
        <v>145</v>
      </c>
      <c r="R22" s="10" t="s">
        <v>146</v>
      </c>
      <c r="S22" s="10" t="s">
        <v>147</v>
      </c>
      <c r="T22" s="10" t="s">
        <v>148</v>
      </c>
      <c r="U22" s="10" t="s">
        <v>149</v>
      </c>
      <c r="V22" s="10" t="s">
        <v>150</v>
      </c>
      <c r="W22" s="10" t="s">
        <v>151</v>
      </c>
      <c r="X22" s="10" t="s">
        <v>152</v>
      </c>
    </row>
    <row r="23" customFormat="false" ht="15" hidden="false" customHeight="false" outlineLevel="0" collapsed="false">
      <c r="D23" s="2" t="n">
        <v>1</v>
      </c>
      <c r="E23" s="2" t="n">
        <f aca="false">MOD($B$10+1-1,12)+1</f>
        <v>11</v>
      </c>
      <c r="F23" s="2" t="n">
        <f aca="false">$B$9+30*1</f>
        <v>230</v>
      </c>
      <c r="G23" s="9" t="n">
        <f aca="false">$B$16+$B$15</f>
        <v>1400</v>
      </c>
      <c r="H23" s="9" t="n">
        <f aca="false">MIN(G23,$B$5*30)</f>
        <v>90</v>
      </c>
      <c r="I23" s="9" t="n">
        <f aca="false">MAX(0,G23-H23)</f>
        <v>1310</v>
      </c>
      <c r="J23" s="16" t="n">
        <f aca="false">IF(F23&gt;365,MAX(G23*$B$8*(IF(E23&gt;=10,$AB$16,$AA$16)+VLOOKUP(F23,$Z$6:$AA$13,2,TRUE())),G23*$AA$15),G23*$B$8*(IF(E23&gt;=10,$AB$16,$AA$16)+VLOOKUP(F23,$Z$6:$AA$13,2,TRUE())))</f>
        <v>147.56</v>
      </c>
      <c r="K23" s="16" t="n">
        <f aca="false">H23*$B$7-J23</f>
        <v>454.945</v>
      </c>
      <c r="L23" s="19" t="n">
        <f aca="false">(1+$B$13/12)^1</f>
        <v>1.01</v>
      </c>
      <c r="M23" s="16" t="n">
        <f aca="false">K23/L23</f>
        <v>450.440594059406</v>
      </c>
      <c r="O23" s="2" t="n">
        <v>1</v>
      </c>
      <c r="P23" s="2" t="n">
        <f aca="false">MOD($B$10+1-1,12)+1</f>
        <v>11</v>
      </c>
      <c r="Q23" s="2" t="n">
        <f aca="false">$B$9+30*1</f>
        <v>230</v>
      </c>
      <c r="R23" s="9" t="n">
        <f aca="false">$B$15</f>
        <v>270</v>
      </c>
      <c r="S23" s="9" t="n">
        <f aca="false">MIN(R23,$B$5*30)</f>
        <v>90</v>
      </c>
      <c r="T23" s="9" t="n">
        <f aca="false">MAX(0,R23-S23)</f>
        <v>180</v>
      </c>
      <c r="U23" s="16" t="n">
        <f aca="false">IF(Q23&gt;365,MAX(R23*$B$8*(IF(P23&gt;=10,$AB$16,$AA$16)+VLOOKUP(Q23,$Z$6:$AA$13,2,TRUE())),R23*$AA$15),R23*$B$8*(IF(P23&gt;=10,$AB$16,$AA$16)+VLOOKUP(Q23,$Z$6:$AA$13,2,TRUE())))</f>
        <v>28.458</v>
      </c>
      <c r="V23" s="16" t="n">
        <f aca="false">S23*$B$7-U23</f>
        <v>574.047</v>
      </c>
      <c r="W23" s="19" t="n">
        <f aca="false">(1+$B$13/12)^1</f>
        <v>1.01</v>
      </c>
      <c r="X23" s="16" t="n">
        <f aca="false">V23/W23</f>
        <v>568.363366336634</v>
      </c>
    </row>
    <row r="24" customFormat="false" ht="15" hidden="false" customHeight="false" outlineLevel="0" collapsed="false">
      <c r="D24" s="2" t="n">
        <v>2</v>
      </c>
      <c r="E24" s="2" t="n">
        <f aca="false">MOD($B$10+2-1,12)+1</f>
        <v>12</v>
      </c>
      <c r="F24" s="2" t="n">
        <f aca="false">$B$9+30*2</f>
        <v>260</v>
      </c>
      <c r="G24" s="9" t="n">
        <f aca="false">I23</f>
        <v>1310</v>
      </c>
      <c r="H24" s="9" t="n">
        <f aca="false">MIN(G24,$B$5*30)</f>
        <v>90</v>
      </c>
      <c r="I24" s="9" t="n">
        <f aca="false">MAX(0,G24-H24)</f>
        <v>1220</v>
      </c>
      <c r="J24" s="16" t="n">
        <f aca="false">IF(F24&gt;365,MAX(G24*$B$8*(IF(E24&gt;=10,$AB$16,$AA$16)+VLOOKUP(F24,$Z$6:$AA$13,2,TRUE())),G24*$AA$15),G24*$B$8*(IF(E24&gt;=10,$AB$16,$AA$16)+VLOOKUP(F24,$Z$6:$AA$13,2,TRUE())))</f>
        <v>158.379</v>
      </c>
      <c r="K24" s="16" t="n">
        <f aca="false">H24*$B$7-J24</f>
        <v>444.126</v>
      </c>
      <c r="L24" s="19" t="n">
        <f aca="false">(1+$B$13/12)^2</f>
        <v>1.0201</v>
      </c>
      <c r="M24" s="16" t="n">
        <f aca="false">K24/L24</f>
        <v>435.374963238898</v>
      </c>
      <c r="O24" s="2" t="n">
        <v>2</v>
      </c>
      <c r="P24" s="2" t="n">
        <f aca="false">MOD($B$10+2-1,12)+1</f>
        <v>12</v>
      </c>
      <c r="Q24" s="2" t="n">
        <f aca="false">$B$9+30*2</f>
        <v>260</v>
      </c>
      <c r="R24" s="9" t="n">
        <f aca="false">T23</f>
        <v>180</v>
      </c>
      <c r="S24" s="9" t="n">
        <f aca="false">MIN(R24,$B$5*30)</f>
        <v>90</v>
      </c>
      <c r="T24" s="9" t="n">
        <f aca="false">MAX(0,R24-S24)</f>
        <v>90</v>
      </c>
      <c r="U24" s="16" t="n">
        <f aca="false">IF(Q24&gt;365,MAX(R24*$B$8*(IF(P24&gt;=10,$AB$16,$AA$16)+VLOOKUP(Q24,$Z$6:$AA$13,2,TRUE())),R24*$AA$15),R24*$B$8*(IF(P24&gt;=10,$AB$16,$AA$16)+VLOOKUP(Q24,$Z$6:$AA$13,2,TRUE())))</f>
        <v>21.762</v>
      </c>
      <c r="V24" s="16" t="n">
        <f aca="false">S24*$B$7-U24</f>
        <v>580.743</v>
      </c>
      <c r="W24" s="19" t="n">
        <f aca="false">(1+$B$13/12)^2</f>
        <v>1.0201</v>
      </c>
      <c r="X24" s="16" t="n">
        <f aca="false">V24/W24</f>
        <v>569.300068620723</v>
      </c>
    </row>
    <row r="25" customFormat="false" ht="15" hidden="false" customHeight="false" outlineLevel="0" collapsed="false">
      <c r="D25" s="2" t="n">
        <v>3</v>
      </c>
      <c r="E25" s="2" t="n">
        <f aca="false">MOD($B$10+3-1,12)+1</f>
        <v>1</v>
      </c>
      <c r="F25" s="2" t="n">
        <f aca="false">$B$9+30*3</f>
        <v>290</v>
      </c>
      <c r="G25" s="9" t="n">
        <f aca="false">I24</f>
        <v>1220</v>
      </c>
      <c r="H25" s="9" t="n">
        <f aca="false">MIN(G25,$B$5*30)</f>
        <v>90</v>
      </c>
      <c r="I25" s="9" t="n">
        <f aca="false">MAX(0,G25-H25)</f>
        <v>1130</v>
      </c>
      <c r="J25" s="16" t="n">
        <f aca="false">IF(F25&gt;365,MAX(G25*$B$8*(IF(E25&gt;=10,$AB$16,$AA$16)+VLOOKUP(F25,$Z$6:$AA$13,2,TRUE())),G25*$AA$15),G25*$B$8*(IF(E25&gt;=10,$AB$16,$AA$16)+VLOOKUP(F25,$Z$6:$AA$13,2,TRUE())))</f>
        <v>235.6186</v>
      </c>
      <c r="K25" s="16" t="n">
        <f aca="false">H25*$B$7-J25</f>
        <v>366.8864</v>
      </c>
      <c r="L25" s="19" t="n">
        <f aca="false">(1+$B$13/12)^3</f>
        <v>1.030301</v>
      </c>
      <c r="M25" s="16" t="n">
        <f aca="false">K25/L25</f>
        <v>356.096325248641</v>
      </c>
      <c r="O25" s="2" t="n">
        <v>3</v>
      </c>
      <c r="P25" s="2" t="n">
        <f aca="false">MOD($B$10+3-1,12)+1</f>
        <v>1</v>
      </c>
      <c r="Q25" s="2" t="n">
        <f aca="false">$B$9+30*3</f>
        <v>290</v>
      </c>
      <c r="R25" s="9" t="n">
        <f aca="false">T24</f>
        <v>90</v>
      </c>
      <c r="S25" s="9" t="n">
        <f aca="false">MIN(R25,$B$5*30)</f>
        <v>90</v>
      </c>
      <c r="T25" s="9" t="n">
        <f aca="false">MAX(0,R25-S25)</f>
        <v>0</v>
      </c>
      <c r="U25" s="16" t="n">
        <f aca="false">IF(Q25&gt;365,MAX(R25*$B$8*(IF(P25&gt;=10,$AB$16,$AA$16)+VLOOKUP(Q25,$Z$6:$AA$13,2,TRUE())),R25*$AA$15),R25*$B$8*(IF(P25&gt;=10,$AB$16,$AA$16)+VLOOKUP(Q25,$Z$6:$AA$13,2,TRUE())))</f>
        <v>17.3817</v>
      </c>
      <c r="V25" s="16" t="n">
        <f aca="false">S25*$B$7-U25</f>
        <v>585.1233</v>
      </c>
      <c r="W25" s="19" t="n">
        <f aca="false">(1+$B$13/12)^3</f>
        <v>1.030301</v>
      </c>
      <c r="X25" s="16" t="n">
        <f aca="false">V25/W25</f>
        <v>567.914910302911</v>
      </c>
    </row>
    <row r="26" customFormat="false" ht="15" hidden="false" customHeight="false" outlineLevel="0" collapsed="false">
      <c r="D26" s="2" t="n">
        <v>4</v>
      </c>
      <c r="E26" s="2" t="n">
        <f aca="false">MOD($B$10+4-1,12)+1</f>
        <v>2</v>
      </c>
      <c r="F26" s="2" t="n">
        <f aca="false">$B$9+30*4</f>
        <v>320</v>
      </c>
      <c r="G26" s="9" t="n">
        <f aca="false">I25</f>
        <v>1130</v>
      </c>
      <c r="H26" s="9" t="n">
        <f aca="false">MIN(G26,$B$5*30)</f>
        <v>90</v>
      </c>
      <c r="I26" s="9" t="n">
        <f aca="false">MAX(0,G26-H26)</f>
        <v>1040</v>
      </c>
      <c r="J26" s="16" t="n">
        <f aca="false">IF(F26&gt;365,MAX(G26*$B$8*(IF(E26&gt;=10,$AB$16,$AA$16)+VLOOKUP(F26,$Z$6:$AA$13,2,TRUE())),G26*$AA$15),G26*$B$8*(IF(E26&gt;=10,$AB$16,$AA$16)+VLOOKUP(F26,$Z$6:$AA$13,2,TRUE())))</f>
        <v>226.9944</v>
      </c>
      <c r="K26" s="16" t="n">
        <f aca="false">H26*$B$7-J26</f>
        <v>375.5106</v>
      </c>
      <c r="L26" s="19" t="n">
        <f aca="false">(1+$B$13/12)^4</f>
        <v>1.04060401</v>
      </c>
      <c r="M26" s="16" t="n">
        <f aca="false">K26/L26</f>
        <v>360.858305744949</v>
      </c>
      <c r="O26" s="2" t="n">
        <v>4</v>
      </c>
      <c r="P26" s="2" t="n">
        <f aca="false">MOD($B$10+4-1,12)+1</f>
        <v>2</v>
      </c>
      <c r="Q26" s="2" t="n">
        <f aca="false">$B$9+30*4</f>
        <v>320</v>
      </c>
      <c r="R26" s="9" t="n">
        <f aca="false">T25</f>
        <v>0</v>
      </c>
      <c r="S26" s="9" t="n">
        <f aca="false">MIN(R26,$B$5*30)</f>
        <v>0</v>
      </c>
      <c r="T26" s="9" t="n">
        <f aca="false">MAX(0,R26-S26)</f>
        <v>0</v>
      </c>
      <c r="U26" s="16" t="n">
        <f aca="false">IF(Q26&gt;365,MAX(R26*$B$8*(IF(P26&gt;=10,$AB$16,$AA$16)+VLOOKUP(Q26,$Z$6:$AA$13,2,TRUE())),R26*$AA$15),R26*$B$8*(IF(P26&gt;=10,$AB$16,$AA$16)+VLOOKUP(Q26,$Z$6:$AA$13,2,TRUE())))</f>
        <v>0</v>
      </c>
      <c r="V26" s="16" t="n">
        <f aca="false">S26*$B$7-U26</f>
        <v>0</v>
      </c>
      <c r="W26" s="19" t="n">
        <f aca="false">(1+$B$13/12)^4</f>
        <v>1.04060401</v>
      </c>
      <c r="X26" s="16" t="n">
        <f aca="false">V26/W26</f>
        <v>0</v>
      </c>
    </row>
    <row r="27" customFormat="false" ht="15" hidden="false" customHeight="false" outlineLevel="0" collapsed="false">
      <c r="D27" s="2" t="n">
        <v>5</v>
      </c>
      <c r="E27" s="2" t="n">
        <f aca="false">MOD($B$10+5-1,12)+1</f>
        <v>3</v>
      </c>
      <c r="F27" s="2" t="n">
        <f aca="false">$B$9+30*5</f>
        <v>350</v>
      </c>
      <c r="G27" s="9" t="n">
        <f aca="false">I26</f>
        <v>1040</v>
      </c>
      <c r="H27" s="9" t="n">
        <f aca="false">MIN(G27,$B$5*30)</f>
        <v>90</v>
      </c>
      <c r="I27" s="9" t="n">
        <f aca="false">MAX(0,G27-H27)</f>
        <v>950</v>
      </c>
      <c r="J27" s="16" t="n">
        <f aca="false">IF(F27&gt;365,MAX(G27*$B$8*(IF(E27&gt;=10,$AB$16,$AA$16)+VLOOKUP(F27,$Z$6:$AA$13,2,TRUE())),G27*$AA$15),G27*$B$8*(IF(E27&gt;=10,$AB$16,$AA$16)+VLOOKUP(F27,$Z$6:$AA$13,2,TRUE())))</f>
        <v>215.3632</v>
      </c>
      <c r="K27" s="16" t="n">
        <f aca="false">H27*$B$7-J27</f>
        <v>387.1418</v>
      </c>
      <c r="L27" s="19" t="n">
        <f aca="false">(1+$B$13/12)^5</f>
        <v>1.0510100501</v>
      </c>
      <c r="M27" s="16" t="n">
        <f aca="false">K27/L27</f>
        <v>368.352138938314</v>
      </c>
      <c r="O27" s="2" t="n">
        <v>5</v>
      </c>
      <c r="P27" s="2" t="n">
        <f aca="false">MOD($B$10+5-1,12)+1</f>
        <v>3</v>
      </c>
      <c r="Q27" s="2" t="n">
        <f aca="false">$B$9+30*5</f>
        <v>350</v>
      </c>
      <c r="R27" s="9" t="n">
        <f aca="false">T26</f>
        <v>0</v>
      </c>
      <c r="S27" s="9" t="n">
        <f aca="false">MIN(R27,$B$5*30)</f>
        <v>0</v>
      </c>
      <c r="T27" s="9" t="n">
        <f aca="false">MAX(0,R27-S27)</f>
        <v>0</v>
      </c>
      <c r="U27" s="16" t="n">
        <f aca="false">IF(Q27&gt;365,MAX(R27*$B$8*(IF(P27&gt;=10,$AB$16,$AA$16)+VLOOKUP(Q27,$Z$6:$AA$13,2,TRUE())),R27*$AA$15),R27*$B$8*(IF(P27&gt;=10,$AB$16,$AA$16)+VLOOKUP(Q27,$Z$6:$AA$13,2,TRUE())))</f>
        <v>0</v>
      </c>
      <c r="V27" s="16" t="n">
        <f aca="false">S27*$B$7-U27</f>
        <v>0</v>
      </c>
      <c r="W27" s="19" t="n">
        <f aca="false">(1+$B$13/12)^5</f>
        <v>1.0510100501</v>
      </c>
      <c r="X27" s="16" t="n">
        <f aca="false">V27/W27</f>
        <v>0</v>
      </c>
    </row>
    <row r="28" customFormat="false" ht="15" hidden="false" customHeight="false" outlineLevel="0" collapsed="false">
      <c r="D28" s="2" t="n">
        <v>6</v>
      </c>
      <c r="E28" s="2" t="n">
        <f aca="false">MOD($B$10+6-1,12)+1</f>
        <v>4</v>
      </c>
      <c r="F28" s="2" t="n">
        <f aca="false">$B$9+30*6</f>
        <v>380</v>
      </c>
      <c r="G28" s="9" t="n">
        <f aca="false">I27</f>
        <v>950</v>
      </c>
      <c r="H28" s="9" t="n">
        <f aca="false">MIN(G28,$B$5*30)</f>
        <v>90</v>
      </c>
      <c r="I28" s="9" t="n">
        <f aca="false">MAX(0,G28-H28)</f>
        <v>860</v>
      </c>
      <c r="J28" s="16" t="n">
        <f aca="false">IF(F28&gt;365,MAX(G28*$B$8*(IF(E28&gt;=10,$AB$16,$AA$16)+VLOOKUP(F28,$Z$6:$AA$13,2,TRUE())),G28*$AA$15),G28*$B$8*(IF(E28&gt;=10,$AB$16,$AA$16)+VLOOKUP(F28,$Z$6:$AA$13,2,TRUE())))</f>
        <v>226.176</v>
      </c>
      <c r="K28" s="16" t="n">
        <f aca="false">H28*$B$7-J28</f>
        <v>376.329</v>
      </c>
      <c r="L28" s="19" t="n">
        <f aca="false">(1+$B$13/12)^6</f>
        <v>1.061520150601</v>
      </c>
      <c r="M28" s="16" t="n">
        <f aca="false">K28/L28</f>
        <v>354.51894133798</v>
      </c>
      <c r="O28" s="2" t="n">
        <v>6</v>
      </c>
      <c r="P28" s="2" t="n">
        <f aca="false">MOD($B$10+6-1,12)+1</f>
        <v>4</v>
      </c>
      <c r="Q28" s="2" t="n">
        <f aca="false">$B$9+30*6</f>
        <v>380</v>
      </c>
      <c r="R28" s="9" t="n">
        <f aca="false">T27</f>
        <v>0</v>
      </c>
      <c r="S28" s="9" t="n">
        <f aca="false">MIN(R28,$B$5*30)</f>
        <v>0</v>
      </c>
      <c r="T28" s="9" t="n">
        <f aca="false">MAX(0,R28-S28)</f>
        <v>0</v>
      </c>
      <c r="U28" s="16" t="n">
        <f aca="false">IF(Q28&gt;365,MAX(R28*$B$8*(IF(P28&gt;=10,$AB$16,$AA$16)+VLOOKUP(Q28,$Z$6:$AA$13,2,TRUE())),R28*$AA$15),R28*$B$8*(IF(P28&gt;=10,$AB$16,$AA$16)+VLOOKUP(Q28,$Z$6:$AA$13,2,TRUE())))</f>
        <v>0</v>
      </c>
      <c r="V28" s="16" t="n">
        <f aca="false">S28*$B$7-U28</f>
        <v>0</v>
      </c>
      <c r="W28" s="19" t="n">
        <f aca="false">(1+$B$13/12)^6</f>
        <v>1.061520150601</v>
      </c>
      <c r="X28" s="16" t="n">
        <f aca="false">V28/W28</f>
        <v>0</v>
      </c>
    </row>
    <row r="29" customFormat="false" ht="15" hidden="false" customHeight="false" outlineLevel="0" collapsed="false">
      <c r="D29" s="2" t="n">
        <v>7</v>
      </c>
      <c r="E29" s="2" t="n">
        <f aca="false">MOD($B$10+7-1,12)+1</f>
        <v>5</v>
      </c>
      <c r="F29" s="2" t="n">
        <f aca="false">$B$9+30*7</f>
        <v>410</v>
      </c>
      <c r="G29" s="9" t="n">
        <f aca="false">I28</f>
        <v>860</v>
      </c>
      <c r="H29" s="9" t="n">
        <f aca="false">MIN(G29,$B$5*30)</f>
        <v>90</v>
      </c>
      <c r="I29" s="9" t="n">
        <f aca="false">MAX(0,G29-H29)</f>
        <v>770</v>
      </c>
      <c r="J29" s="16" t="n">
        <f aca="false">IF(F29&gt;365,MAX(G29*$B$8*(IF(E29&gt;=10,$AB$16,$AA$16)+VLOOKUP(F29,$Z$6:$AA$13,2,TRUE())),G29*$AA$15),G29*$B$8*(IF(E29&gt;=10,$AB$16,$AA$16)+VLOOKUP(F29,$Z$6:$AA$13,2,TRUE())))</f>
        <v>204.7488</v>
      </c>
      <c r="K29" s="16" t="n">
        <f aca="false">H29*$B$7-J29</f>
        <v>397.7562</v>
      </c>
      <c r="L29" s="19" t="n">
        <f aca="false">(1+$B$13/12)^7</f>
        <v>1.07213535210701</v>
      </c>
      <c r="M29" s="16" t="n">
        <f aca="false">K29/L29</f>
        <v>370.994389111702</v>
      </c>
      <c r="O29" s="2" t="n">
        <v>7</v>
      </c>
      <c r="P29" s="2" t="n">
        <f aca="false">MOD($B$10+7-1,12)+1</f>
        <v>5</v>
      </c>
      <c r="Q29" s="2" t="n">
        <f aca="false">$B$9+30*7</f>
        <v>410</v>
      </c>
      <c r="R29" s="9" t="n">
        <f aca="false">T28</f>
        <v>0</v>
      </c>
      <c r="S29" s="9" t="n">
        <f aca="false">MIN(R29,$B$5*30)</f>
        <v>0</v>
      </c>
      <c r="T29" s="9" t="n">
        <f aca="false">MAX(0,R29-S29)</f>
        <v>0</v>
      </c>
      <c r="U29" s="16" t="n">
        <f aca="false">IF(Q29&gt;365,MAX(R29*$B$8*(IF(P29&gt;=10,$AB$16,$AA$16)+VLOOKUP(Q29,$Z$6:$AA$13,2,TRUE())),R29*$AA$15),R29*$B$8*(IF(P29&gt;=10,$AB$16,$AA$16)+VLOOKUP(Q29,$Z$6:$AA$13,2,TRUE())))</f>
        <v>0</v>
      </c>
      <c r="V29" s="16" t="n">
        <f aca="false">S29*$B$7-U29</f>
        <v>0</v>
      </c>
      <c r="W29" s="19" t="n">
        <f aca="false">(1+$B$13/12)^7</f>
        <v>1.07213535210701</v>
      </c>
      <c r="X29" s="16" t="n">
        <f aca="false">V29/W29</f>
        <v>0</v>
      </c>
    </row>
    <row r="30" customFormat="false" ht="15" hidden="false" customHeight="false" outlineLevel="0" collapsed="false">
      <c r="D30" s="2" t="n">
        <v>8</v>
      </c>
      <c r="E30" s="2" t="n">
        <f aca="false">MOD($B$10+8-1,12)+1</f>
        <v>6</v>
      </c>
      <c r="F30" s="2" t="n">
        <f aca="false">$B$9+30*8</f>
        <v>440</v>
      </c>
      <c r="G30" s="9" t="n">
        <f aca="false">I29</f>
        <v>770</v>
      </c>
      <c r="H30" s="9" t="n">
        <f aca="false">MIN(G30,$B$5*30)</f>
        <v>90</v>
      </c>
      <c r="I30" s="9" t="n">
        <f aca="false">MAX(0,G30-H30)</f>
        <v>680</v>
      </c>
      <c r="J30" s="16" t="n">
        <f aca="false">IF(F30&gt;365,MAX(G30*$B$8*(IF(E30&gt;=10,$AB$16,$AA$16)+VLOOKUP(F30,$Z$6:$AA$13,2,TRUE())),G30*$AA$15),G30*$B$8*(IF(E30&gt;=10,$AB$16,$AA$16)+VLOOKUP(F30,$Z$6:$AA$13,2,TRUE())))</f>
        <v>183.3216</v>
      </c>
      <c r="K30" s="16" t="n">
        <f aca="false">H30*$B$7-J30</f>
        <v>419.1834</v>
      </c>
      <c r="L30" s="19" t="n">
        <f aca="false">(1+$B$13/12)^8</f>
        <v>1.08285670562808</v>
      </c>
      <c r="M30" s="16" t="n">
        <f aca="false">K30/L30</f>
        <v>387.108837043092</v>
      </c>
      <c r="O30" s="2" t="n">
        <v>8</v>
      </c>
      <c r="P30" s="2" t="n">
        <f aca="false">MOD($B$10+8-1,12)+1</f>
        <v>6</v>
      </c>
      <c r="Q30" s="2" t="n">
        <f aca="false">$B$9+30*8</f>
        <v>440</v>
      </c>
      <c r="R30" s="9" t="n">
        <f aca="false">T29</f>
        <v>0</v>
      </c>
      <c r="S30" s="9" t="n">
        <f aca="false">MIN(R30,$B$5*30)</f>
        <v>0</v>
      </c>
      <c r="T30" s="9" t="n">
        <f aca="false">MAX(0,R30-S30)</f>
        <v>0</v>
      </c>
      <c r="U30" s="16" t="n">
        <f aca="false">IF(Q30&gt;365,MAX(R30*$B$8*(IF(P30&gt;=10,$AB$16,$AA$16)+VLOOKUP(Q30,$Z$6:$AA$13,2,TRUE())),R30*$AA$15),R30*$B$8*(IF(P30&gt;=10,$AB$16,$AA$16)+VLOOKUP(Q30,$Z$6:$AA$13,2,TRUE())))</f>
        <v>0</v>
      </c>
      <c r="V30" s="16" t="n">
        <f aca="false">S30*$B$7-U30</f>
        <v>0</v>
      </c>
      <c r="W30" s="19" t="n">
        <f aca="false">(1+$B$13/12)^8</f>
        <v>1.08285670562808</v>
      </c>
      <c r="X30" s="16" t="n">
        <f aca="false">V30/W30</f>
        <v>0</v>
      </c>
    </row>
    <row r="31" customFormat="false" ht="15" hidden="false" customHeight="false" outlineLevel="0" collapsed="false">
      <c r="D31" s="2" t="n">
        <v>9</v>
      </c>
      <c r="E31" s="2" t="n">
        <f aca="false">MOD($B$10+9-1,12)+1</f>
        <v>7</v>
      </c>
      <c r="F31" s="2" t="n">
        <f aca="false">$B$9+30*9</f>
        <v>470</v>
      </c>
      <c r="G31" s="9" t="n">
        <f aca="false">I30</f>
        <v>680</v>
      </c>
      <c r="H31" s="9" t="n">
        <f aca="false">MIN(G31,$B$5*30)</f>
        <v>90</v>
      </c>
      <c r="I31" s="9" t="n">
        <f aca="false">MAX(0,G31-H31)</f>
        <v>590</v>
      </c>
      <c r="J31" s="16" t="n">
        <f aca="false">IF(F31&gt;365,MAX(G31*$B$8*(IF(E31&gt;=10,$AB$16,$AA$16)+VLOOKUP(F31,$Z$6:$AA$13,2,TRUE())),G31*$AA$15),G31*$B$8*(IF(E31&gt;=10,$AB$16,$AA$16)+VLOOKUP(F31,$Z$6:$AA$13,2,TRUE())))</f>
        <v>161.8944</v>
      </c>
      <c r="K31" s="16" t="n">
        <f aca="false">H31*$B$7-J31</f>
        <v>440.6106</v>
      </c>
      <c r="L31" s="19" t="n">
        <f aca="false">(1+$B$13/12)^9</f>
        <v>1.09368527268436</v>
      </c>
      <c r="M31" s="16" t="n">
        <f aca="false">K31/L31</f>
        <v>402.867818562243</v>
      </c>
      <c r="O31" s="2" t="n">
        <v>9</v>
      </c>
      <c r="P31" s="2" t="n">
        <f aca="false">MOD($B$10+9-1,12)+1</f>
        <v>7</v>
      </c>
      <c r="Q31" s="2" t="n">
        <f aca="false">$B$9+30*9</f>
        <v>470</v>
      </c>
      <c r="R31" s="9" t="n">
        <f aca="false">T30</f>
        <v>0</v>
      </c>
      <c r="S31" s="9" t="n">
        <f aca="false">MIN(R31,$B$5*30)</f>
        <v>0</v>
      </c>
      <c r="T31" s="9" t="n">
        <f aca="false">MAX(0,R31-S31)</f>
        <v>0</v>
      </c>
      <c r="U31" s="16" t="n">
        <f aca="false">IF(Q31&gt;365,MAX(R31*$B$8*(IF(P31&gt;=10,$AB$16,$AA$16)+VLOOKUP(Q31,$Z$6:$AA$13,2,TRUE())),R31*$AA$15),R31*$B$8*(IF(P31&gt;=10,$AB$16,$AA$16)+VLOOKUP(Q31,$Z$6:$AA$13,2,TRUE())))</f>
        <v>0</v>
      </c>
      <c r="V31" s="16" t="n">
        <f aca="false">S31*$B$7-U31</f>
        <v>0</v>
      </c>
      <c r="W31" s="19" t="n">
        <f aca="false">(1+$B$13/12)^9</f>
        <v>1.09368527268436</v>
      </c>
      <c r="X31" s="16" t="n">
        <f aca="false">V31/W31</f>
        <v>0</v>
      </c>
    </row>
    <row r="32" customFormat="false" ht="15" hidden="false" customHeight="false" outlineLevel="0" collapsed="false">
      <c r="D32" s="2" t="n">
        <v>10</v>
      </c>
      <c r="E32" s="2" t="n">
        <f aca="false">MOD($B$10+10-1,12)+1</f>
        <v>8</v>
      </c>
      <c r="F32" s="2" t="n">
        <f aca="false">$B$9+30*10</f>
        <v>500</v>
      </c>
      <c r="G32" s="9" t="n">
        <f aca="false">I31</f>
        <v>590</v>
      </c>
      <c r="H32" s="9" t="n">
        <f aca="false">MIN(G32,$B$5*30)</f>
        <v>90</v>
      </c>
      <c r="I32" s="9" t="n">
        <f aca="false">MAX(0,G32-H32)</f>
        <v>500</v>
      </c>
      <c r="J32" s="16" t="n">
        <f aca="false">IF(F32&gt;365,MAX(G32*$B$8*(IF(E32&gt;=10,$AB$16,$AA$16)+VLOOKUP(F32,$Z$6:$AA$13,2,TRUE())),G32*$AA$15),G32*$B$8*(IF(E32&gt;=10,$AB$16,$AA$16)+VLOOKUP(F32,$Z$6:$AA$13,2,TRUE())))</f>
        <v>140.4672</v>
      </c>
      <c r="K32" s="16" t="n">
        <f aca="false">H32*$B$7-J32</f>
        <v>462.0378</v>
      </c>
      <c r="L32" s="19" t="n">
        <f aca="false">(1+$B$13/12)^10</f>
        <v>1.1046221254112</v>
      </c>
      <c r="M32" s="16" t="n">
        <f aca="false">K32/L32</f>
        <v>418.276792915046</v>
      </c>
      <c r="O32" s="2" t="n">
        <v>10</v>
      </c>
      <c r="P32" s="2" t="n">
        <f aca="false">MOD($B$10+10-1,12)+1</f>
        <v>8</v>
      </c>
      <c r="Q32" s="2" t="n">
        <f aca="false">$B$9+30*10</f>
        <v>500</v>
      </c>
      <c r="R32" s="9" t="n">
        <f aca="false">T31</f>
        <v>0</v>
      </c>
      <c r="S32" s="9" t="n">
        <f aca="false">MIN(R32,$B$5*30)</f>
        <v>0</v>
      </c>
      <c r="T32" s="9" t="n">
        <f aca="false">MAX(0,R32-S32)</f>
        <v>0</v>
      </c>
      <c r="U32" s="16" t="n">
        <f aca="false">IF(Q32&gt;365,MAX(R32*$B$8*(IF(P32&gt;=10,$AB$16,$AA$16)+VLOOKUP(Q32,$Z$6:$AA$13,2,TRUE())),R32*$AA$15),R32*$B$8*(IF(P32&gt;=10,$AB$16,$AA$16)+VLOOKUP(Q32,$Z$6:$AA$13,2,TRUE())))</f>
        <v>0</v>
      </c>
      <c r="V32" s="16" t="n">
        <f aca="false">S32*$B$7-U32</f>
        <v>0</v>
      </c>
      <c r="W32" s="19" t="n">
        <f aca="false">(1+$B$13/12)^10</f>
        <v>1.1046221254112</v>
      </c>
      <c r="X32" s="16" t="n">
        <f aca="false">V32/W32</f>
        <v>0</v>
      </c>
    </row>
    <row r="33" customFormat="false" ht="15" hidden="false" customHeight="false" outlineLevel="0" collapsed="false">
      <c r="D33" s="2" t="n">
        <v>11</v>
      </c>
      <c r="E33" s="2" t="n">
        <f aca="false">MOD($B$10+11-1,12)+1</f>
        <v>9</v>
      </c>
      <c r="F33" s="2" t="n">
        <f aca="false">$B$9+30*11</f>
        <v>530</v>
      </c>
      <c r="G33" s="9" t="n">
        <f aca="false">I32</f>
        <v>500</v>
      </c>
      <c r="H33" s="9" t="n">
        <f aca="false">MIN(G33,$B$5*30)</f>
        <v>90</v>
      </c>
      <c r="I33" s="9" t="n">
        <f aca="false">MAX(0,G33-H33)</f>
        <v>410</v>
      </c>
      <c r="J33" s="16" t="n">
        <f aca="false">IF(F33&gt;365,MAX(G33*$B$8*(IF(E33&gt;=10,$AB$16,$AA$16)+VLOOKUP(F33,$Z$6:$AA$13,2,TRUE())),G33*$AA$15),G33*$B$8*(IF(E33&gt;=10,$AB$16,$AA$16)+VLOOKUP(F33,$Z$6:$AA$13,2,TRUE())))</f>
        <v>119.04</v>
      </c>
      <c r="K33" s="16" t="n">
        <f aca="false">H33*$B$7-J33</f>
        <v>483.465</v>
      </c>
      <c r="L33" s="19" t="n">
        <f aca="false">(1+$B$13/12)^11</f>
        <v>1.11566834666532</v>
      </c>
      <c r="M33" s="16" t="n">
        <f aca="false">K33/L33</f>
        <v>433.341146089746</v>
      </c>
      <c r="O33" s="2" t="n">
        <v>11</v>
      </c>
      <c r="P33" s="2" t="n">
        <f aca="false">MOD($B$10+11-1,12)+1</f>
        <v>9</v>
      </c>
      <c r="Q33" s="2" t="n">
        <f aca="false">$B$9+30*11</f>
        <v>530</v>
      </c>
      <c r="R33" s="9" t="n">
        <f aca="false">T32</f>
        <v>0</v>
      </c>
      <c r="S33" s="9" t="n">
        <f aca="false">MIN(R33,$B$5*30)</f>
        <v>0</v>
      </c>
      <c r="T33" s="9" t="n">
        <f aca="false">MAX(0,R33-S33)</f>
        <v>0</v>
      </c>
      <c r="U33" s="16" t="n">
        <f aca="false">IF(Q33&gt;365,MAX(R33*$B$8*(IF(P33&gt;=10,$AB$16,$AA$16)+VLOOKUP(Q33,$Z$6:$AA$13,2,TRUE())),R33*$AA$15),R33*$B$8*(IF(P33&gt;=10,$AB$16,$AA$16)+VLOOKUP(Q33,$Z$6:$AA$13,2,TRUE())))</f>
        <v>0</v>
      </c>
      <c r="V33" s="16" t="n">
        <f aca="false">S33*$B$7-U33</f>
        <v>0</v>
      </c>
      <c r="W33" s="19" t="n">
        <f aca="false">(1+$B$13/12)^11</f>
        <v>1.11566834666532</v>
      </c>
      <c r="X33" s="16" t="n">
        <f aca="false">V33/W33</f>
        <v>0</v>
      </c>
    </row>
    <row r="34" customFormat="false" ht="15" hidden="false" customHeight="false" outlineLevel="0" collapsed="false">
      <c r="D34" s="2" t="n">
        <v>12</v>
      </c>
      <c r="E34" s="2" t="n">
        <f aca="false">MOD($B$10+12-1,12)+1</f>
        <v>10</v>
      </c>
      <c r="F34" s="2" t="n">
        <f aca="false">$B$9+30*12</f>
        <v>560</v>
      </c>
      <c r="G34" s="9" t="n">
        <f aca="false">I33</f>
        <v>410</v>
      </c>
      <c r="H34" s="9" t="n">
        <f aca="false">MIN(G34,$B$5*30)</f>
        <v>90</v>
      </c>
      <c r="I34" s="9" t="n">
        <f aca="false">MAX(0,G34-H34)</f>
        <v>320</v>
      </c>
      <c r="J34" s="16" t="n">
        <f aca="false">IF(F34&gt;365,MAX(G34*$B$8*(IF(E34&gt;=10,$AB$16,$AA$16)+VLOOKUP(F34,$Z$6:$AA$13,2,TRUE())),G34*$AA$15),G34*$B$8*(IF(E34&gt;=10,$AB$16,$AA$16)+VLOOKUP(F34,$Z$6:$AA$13,2,TRUE())))</f>
        <v>118.203</v>
      </c>
      <c r="K34" s="16" t="n">
        <f aca="false">H34*$B$7-J34</f>
        <v>484.302</v>
      </c>
      <c r="L34" s="19" t="n">
        <f aca="false">(1+$B$13/12)^12</f>
        <v>1.12682503013197</v>
      </c>
      <c r="M34" s="16" t="n">
        <f aca="false">K34/L34</f>
        <v>429.793434694364</v>
      </c>
      <c r="O34" s="2" t="n">
        <v>12</v>
      </c>
      <c r="P34" s="2" t="n">
        <f aca="false">MOD($B$10+12-1,12)+1</f>
        <v>10</v>
      </c>
      <c r="Q34" s="2" t="n">
        <f aca="false">$B$9+30*12</f>
        <v>560</v>
      </c>
      <c r="R34" s="9" t="n">
        <f aca="false">T33</f>
        <v>0</v>
      </c>
      <c r="S34" s="9" t="n">
        <f aca="false">MIN(R34,$B$5*30)</f>
        <v>0</v>
      </c>
      <c r="T34" s="9" t="n">
        <f aca="false">MAX(0,R34-S34)</f>
        <v>0</v>
      </c>
      <c r="U34" s="16" t="n">
        <f aca="false">IF(Q34&gt;365,MAX(R34*$B$8*(IF(P34&gt;=10,$AB$16,$AA$16)+VLOOKUP(Q34,$Z$6:$AA$13,2,TRUE())),R34*$AA$15),R34*$B$8*(IF(P34&gt;=10,$AB$16,$AA$16)+VLOOKUP(Q34,$Z$6:$AA$13,2,TRUE())))</f>
        <v>0</v>
      </c>
      <c r="V34" s="16" t="n">
        <f aca="false">S34*$B$7-U34</f>
        <v>0</v>
      </c>
      <c r="W34" s="19" t="n">
        <f aca="false">(1+$B$13/12)^12</f>
        <v>1.12682503013197</v>
      </c>
      <c r="X34" s="16" t="n">
        <f aca="false">V34/W34</f>
        <v>0</v>
      </c>
    </row>
    <row r="35" customFormat="false" ht="15" hidden="false" customHeight="false" outlineLevel="0" collapsed="false">
      <c r="D35" s="2" t="n">
        <v>13</v>
      </c>
      <c r="E35" s="2" t="n">
        <f aca="false">MOD($B$10+13-1,12)+1</f>
        <v>11</v>
      </c>
      <c r="F35" s="2" t="n">
        <f aca="false">$B$9+30*13</f>
        <v>590</v>
      </c>
      <c r="G35" s="9" t="n">
        <f aca="false">I34</f>
        <v>320</v>
      </c>
      <c r="H35" s="9" t="n">
        <f aca="false">MIN(G35,$B$5*30)</f>
        <v>90</v>
      </c>
      <c r="I35" s="9" t="n">
        <f aca="false">MAX(0,G35-H35)</f>
        <v>230</v>
      </c>
      <c r="J35" s="16" t="n">
        <f aca="false">IF(F35&gt;365,MAX(G35*$B$8*(IF(E35&gt;=10,$AB$16,$AA$16)+VLOOKUP(F35,$Z$6:$AA$13,2,TRUE())),G35*$AA$15),G35*$B$8*(IF(E35&gt;=10,$AB$16,$AA$16)+VLOOKUP(F35,$Z$6:$AA$13,2,TRUE())))</f>
        <v>92.256</v>
      </c>
      <c r="K35" s="16" t="n">
        <f aca="false">H35*$B$7-J35</f>
        <v>510.249</v>
      </c>
      <c r="L35" s="19" t="n">
        <f aca="false">(1+$B$13/12)^13</f>
        <v>1.13809328043329</v>
      </c>
      <c r="M35" s="16" t="n">
        <f aca="false">K35/L35</f>
        <v>448.336712616158</v>
      </c>
      <c r="O35" s="2" t="n">
        <v>13</v>
      </c>
      <c r="P35" s="2" t="n">
        <f aca="false">MOD($B$10+13-1,12)+1</f>
        <v>11</v>
      </c>
      <c r="Q35" s="2" t="n">
        <f aca="false">$B$9+30*13</f>
        <v>590</v>
      </c>
      <c r="R35" s="9" t="n">
        <f aca="false">T34</f>
        <v>0</v>
      </c>
      <c r="S35" s="9" t="n">
        <f aca="false">MIN(R35,$B$5*30)</f>
        <v>0</v>
      </c>
      <c r="T35" s="9" t="n">
        <f aca="false">MAX(0,R35-S35)</f>
        <v>0</v>
      </c>
      <c r="U35" s="16" t="n">
        <f aca="false">IF(Q35&gt;365,MAX(R35*$B$8*(IF(P35&gt;=10,$AB$16,$AA$16)+VLOOKUP(Q35,$Z$6:$AA$13,2,TRUE())),R35*$AA$15),R35*$B$8*(IF(P35&gt;=10,$AB$16,$AA$16)+VLOOKUP(Q35,$Z$6:$AA$13,2,TRUE())))</f>
        <v>0</v>
      </c>
      <c r="V35" s="16" t="n">
        <f aca="false">S35*$B$7-U35</f>
        <v>0</v>
      </c>
      <c r="W35" s="19" t="n">
        <f aca="false">(1+$B$13/12)^13</f>
        <v>1.13809328043329</v>
      </c>
      <c r="X35" s="16" t="n">
        <f aca="false">V35/W35</f>
        <v>0</v>
      </c>
    </row>
    <row r="36" customFormat="false" ht="15" hidden="false" customHeight="false" outlineLevel="0" collapsed="false">
      <c r="D36" s="2" t="n">
        <v>14</v>
      </c>
      <c r="E36" s="2" t="n">
        <f aca="false">MOD($B$10+14-1,12)+1</f>
        <v>12</v>
      </c>
      <c r="F36" s="2" t="n">
        <f aca="false">$B$9+30*14</f>
        <v>620</v>
      </c>
      <c r="G36" s="9" t="n">
        <f aca="false">I35</f>
        <v>230</v>
      </c>
      <c r="H36" s="9" t="n">
        <f aca="false">MIN(G36,$B$5*30)</f>
        <v>90</v>
      </c>
      <c r="I36" s="9" t="n">
        <f aca="false">MAX(0,G36-H36)</f>
        <v>140</v>
      </c>
      <c r="J36" s="16" t="n">
        <f aca="false">IF(F36&gt;365,MAX(G36*$B$8*(IF(E36&gt;=10,$AB$16,$AA$16)+VLOOKUP(F36,$Z$6:$AA$13,2,TRUE())),G36*$AA$15),G36*$B$8*(IF(E36&gt;=10,$AB$16,$AA$16)+VLOOKUP(F36,$Z$6:$AA$13,2,TRUE())))</f>
        <v>66.309</v>
      </c>
      <c r="K36" s="16" t="n">
        <f aca="false">H36*$B$7-J36</f>
        <v>536.196</v>
      </c>
      <c r="L36" s="19" t="n">
        <f aca="false">(1+$B$13/12)^14</f>
        <v>1.14947421323762</v>
      </c>
      <c r="M36" s="16" t="n">
        <f aca="false">K36/L36</f>
        <v>466.470664435128</v>
      </c>
      <c r="O36" s="2" t="n">
        <v>14</v>
      </c>
      <c r="P36" s="2" t="n">
        <f aca="false">MOD($B$10+14-1,12)+1</f>
        <v>12</v>
      </c>
      <c r="Q36" s="2" t="n">
        <f aca="false">$B$9+30*14</f>
        <v>620</v>
      </c>
      <c r="R36" s="9" t="n">
        <f aca="false">T35</f>
        <v>0</v>
      </c>
      <c r="S36" s="9" t="n">
        <f aca="false">MIN(R36,$B$5*30)</f>
        <v>0</v>
      </c>
      <c r="T36" s="9" t="n">
        <f aca="false">MAX(0,R36-S36)</f>
        <v>0</v>
      </c>
      <c r="U36" s="16" t="n">
        <f aca="false">IF(Q36&gt;365,MAX(R36*$B$8*(IF(P36&gt;=10,$AB$16,$AA$16)+VLOOKUP(Q36,$Z$6:$AA$13,2,TRUE())),R36*$AA$15),R36*$B$8*(IF(P36&gt;=10,$AB$16,$AA$16)+VLOOKUP(Q36,$Z$6:$AA$13,2,TRUE())))</f>
        <v>0</v>
      </c>
      <c r="V36" s="16" t="n">
        <f aca="false">S36*$B$7-U36</f>
        <v>0</v>
      </c>
      <c r="W36" s="19" t="n">
        <f aca="false">(1+$B$13/12)^14</f>
        <v>1.14947421323762</v>
      </c>
      <c r="X36" s="16" t="n">
        <f aca="false">V36/W36</f>
        <v>0</v>
      </c>
    </row>
    <row r="37" customFormat="false" ht="15" hidden="false" customHeight="false" outlineLevel="0" collapsed="false">
      <c r="D37" s="2" t="n">
        <v>15</v>
      </c>
      <c r="E37" s="2" t="n">
        <f aca="false">MOD($B$10+15-1,12)+1</f>
        <v>1</v>
      </c>
      <c r="F37" s="2" t="n">
        <f aca="false">$B$9+30*15</f>
        <v>650</v>
      </c>
      <c r="G37" s="9" t="n">
        <f aca="false">I36</f>
        <v>140</v>
      </c>
      <c r="H37" s="9" t="n">
        <f aca="false">MIN(G37,$B$5*30)</f>
        <v>90</v>
      </c>
      <c r="I37" s="9" t="n">
        <f aca="false">MAX(0,G37-H37)</f>
        <v>50</v>
      </c>
      <c r="J37" s="16" t="n">
        <f aca="false">IF(F37&gt;365,MAX(G37*$B$8*(IF(E37&gt;=10,$AB$16,$AA$16)+VLOOKUP(F37,$Z$6:$AA$13,2,TRUE())),G37*$AA$15),G37*$B$8*(IF(E37&gt;=10,$AB$16,$AA$16)+VLOOKUP(F37,$Z$6:$AA$13,2,TRUE())))</f>
        <v>33.3312</v>
      </c>
      <c r="K37" s="16" t="n">
        <f aca="false">H37*$B$7-J37</f>
        <v>569.1738</v>
      </c>
      <c r="L37" s="19" t="n">
        <f aca="false">(1+$B$13/12)^15</f>
        <v>1.16096895537</v>
      </c>
      <c r="M37" s="16" t="n">
        <f aca="false">K37/L37</f>
        <v>490.257553716073</v>
      </c>
      <c r="O37" s="2" t="n">
        <v>15</v>
      </c>
      <c r="P37" s="2" t="n">
        <f aca="false">MOD($B$10+15-1,12)+1</f>
        <v>1</v>
      </c>
      <c r="Q37" s="2" t="n">
        <f aca="false">$B$9+30*15</f>
        <v>650</v>
      </c>
      <c r="R37" s="9" t="n">
        <f aca="false">T36</f>
        <v>0</v>
      </c>
      <c r="S37" s="9" t="n">
        <f aca="false">MIN(R37,$B$5*30)</f>
        <v>0</v>
      </c>
      <c r="T37" s="9" t="n">
        <f aca="false">MAX(0,R37-S37)</f>
        <v>0</v>
      </c>
      <c r="U37" s="16" t="n">
        <f aca="false">IF(Q37&gt;365,MAX(R37*$B$8*(IF(P37&gt;=10,$AB$16,$AA$16)+VLOOKUP(Q37,$Z$6:$AA$13,2,TRUE())),R37*$AA$15),R37*$B$8*(IF(P37&gt;=10,$AB$16,$AA$16)+VLOOKUP(Q37,$Z$6:$AA$13,2,TRUE())))</f>
        <v>0</v>
      </c>
      <c r="V37" s="16" t="n">
        <f aca="false">S37*$B$7-U37</f>
        <v>0</v>
      </c>
      <c r="W37" s="19" t="n">
        <f aca="false">(1+$B$13/12)^15</f>
        <v>1.16096895537</v>
      </c>
      <c r="X37" s="16" t="n">
        <f aca="false">V37/W37</f>
        <v>0</v>
      </c>
    </row>
    <row r="38" customFormat="false" ht="15" hidden="false" customHeight="false" outlineLevel="0" collapsed="false">
      <c r="D38" s="2" t="n">
        <v>16</v>
      </c>
      <c r="E38" s="2" t="n">
        <f aca="false">MOD($B$10+16-1,12)+1</f>
        <v>2</v>
      </c>
      <c r="F38" s="2" t="n">
        <f aca="false">$B$9+30*16</f>
        <v>680</v>
      </c>
      <c r="G38" s="9" t="n">
        <f aca="false">I37</f>
        <v>50</v>
      </c>
      <c r="H38" s="9" t="n">
        <f aca="false">MIN(G38,$B$5*30)</f>
        <v>50</v>
      </c>
      <c r="I38" s="9" t="n">
        <f aca="false">MAX(0,G38-H38)</f>
        <v>0</v>
      </c>
      <c r="J38" s="16" t="n">
        <f aca="false">IF(F38&gt;365,MAX(G38*$B$8*(IF(E38&gt;=10,$AB$16,$AA$16)+VLOOKUP(F38,$Z$6:$AA$13,2,TRUE())),G38*$AA$15),G38*$B$8*(IF(E38&gt;=10,$AB$16,$AA$16)+VLOOKUP(F38,$Z$6:$AA$13,2,TRUE())))</f>
        <v>11.904</v>
      </c>
      <c r="K38" s="16" t="n">
        <f aca="false">H38*$B$7-J38</f>
        <v>322.821</v>
      </c>
      <c r="L38" s="19" t="n">
        <f aca="false">(1+$B$13/12)^16</f>
        <v>1.1725786449237</v>
      </c>
      <c r="M38" s="16" t="n">
        <f aca="false">K38/L38</f>
        <v>275.308612686705</v>
      </c>
      <c r="O38" s="2" t="n">
        <v>16</v>
      </c>
      <c r="P38" s="2" t="n">
        <f aca="false">MOD($B$10+16-1,12)+1</f>
        <v>2</v>
      </c>
      <c r="Q38" s="2" t="n">
        <f aca="false">$B$9+30*16</f>
        <v>680</v>
      </c>
      <c r="R38" s="9" t="n">
        <f aca="false">T37</f>
        <v>0</v>
      </c>
      <c r="S38" s="9" t="n">
        <f aca="false">MIN(R38,$B$5*30)</f>
        <v>0</v>
      </c>
      <c r="T38" s="9" t="n">
        <f aca="false">MAX(0,R38-S38)</f>
        <v>0</v>
      </c>
      <c r="U38" s="16" t="n">
        <f aca="false">IF(Q38&gt;365,MAX(R38*$B$8*(IF(P38&gt;=10,$AB$16,$AA$16)+VLOOKUP(Q38,$Z$6:$AA$13,2,TRUE())),R38*$AA$15),R38*$B$8*(IF(P38&gt;=10,$AB$16,$AA$16)+VLOOKUP(Q38,$Z$6:$AA$13,2,TRUE())))</f>
        <v>0</v>
      </c>
      <c r="V38" s="16" t="n">
        <f aca="false">S38*$B$7-U38</f>
        <v>0</v>
      </c>
      <c r="W38" s="19" t="n">
        <f aca="false">(1+$B$13/12)^16</f>
        <v>1.1725786449237</v>
      </c>
      <c r="X38" s="16" t="n">
        <f aca="false">V38/W38</f>
        <v>0</v>
      </c>
    </row>
    <row r="39" customFormat="false" ht="15" hidden="false" customHeight="false" outlineLevel="0" collapsed="false">
      <c r="D39" s="2" t="n">
        <v>17</v>
      </c>
      <c r="E39" s="2" t="n">
        <f aca="false">MOD($B$10+17-1,12)+1</f>
        <v>3</v>
      </c>
      <c r="F39" s="2" t="n">
        <f aca="false">$B$9+30*17</f>
        <v>710</v>
      </c>
      <c r="G39" s="9" t="n">
        <f aca="false">I38</f>
        <v>0</v>
      </c>
      <c r="H39" s="9" t="n">
        <f aca="false">MIN(G39,$B$5*30)</f>
        <v>0</v>
      </c>
      <c r="I39" s="9" t="n">
        <f aca="false">MAX(0,G39-H39)</f>
        <v>0</v>
      </c>
      <c r="J39" s="16" t="n">
        <f aca="false">IF(F39&gt;365,MAX(G39*$B$8*(IF(E39&gt;=10,$AB$16,$AA$16)+VLOOKUP(F39,$Z$6:$AA$13,2,TRUE())),G39*$AA$15),G39*$B$8*(IF(E39&gt;=10,$AB$16,$AA$16)+VLOOKUP(F39,$Z$6:$AA$13,2,TRUE())))</f>
        <v>0</v>
      </c>
      <c r="K39" s="16" t="n">
        <f aca="false">H39*$B$7-J39</f>
        <v>0</v>
      </c>
      <c r="L39" s="19" t="n">
        <f aca="false">(1+$B$13/12)^17</f>
        <v>1.18430443137294</v>
      </c>
      <c r="M39" s="16" t="n">
        <f aca="false">K39/L39</f>
        <v>0</v>
      </c>
      <c r="O39" s="2" t="n">
        <v>17</v>
      </c>
      <c r="P39" s="2" t="n">
        <f aca="false">MOD($B$10+17-1,12)+1</f>
        <v>3</v>
      </c>
      <c r="Q39" s="2" t="n">
        <f aca="false">$B$9+30*17</f>
        <v>710</v>
      </c>
      <c r="R39" s="9" t="n">
        <f aca="false">T38</f>
        <v>0</v>
      </c>
      <c r="S39" s="9" t="n">
        <f aca="false">MIN(R39,$B$5*30)</f>
        <v>0</v>
      </c>
      <c r="T39" s="9" t="n">
        <f aca="false">MAX(0,R39-S39)</f>
        <v>0</v>
      </c>
      <c r="U39" s="16" t="n">
        <f aca="false">IF(Q39&gt;365,MAX(R39*$B$8*(IF(P39&gt;=10,$AB$16,$AA$16)+VLOOKUP(Q39,$Z$6:$AA$13,2,TRUE())),R39*$AA$15),R39*$B$8*(IF(P39&gt;=10,$AB$16,$AA$16)+VLOOKUP(Q39,$Z$6:$AA$13,2,TRUE())))</f>
        <v>0</v>
      </c>
      <c r="V39" s="16" t="n">
        <f aca="false">S39*$B$7-U39</f>
        <v>0</v>
      </c>
      <c r="W39" s="19" t="n">
        <f aca="false">(1+$B$13/12)^17</f>
        <v>1.18430443137294</v>
      </c>
      <c r="X39" s="16" t="n">
        <f aca="false">V39/W39</f>
        <v>0</v>
      </c>
    </row>
    <row r="40" customFormat="false" ht="15" hidden="false" customHeight="false" outlineLevel="0" collapsed="false">
      <c r="D40" s="2" t="n">
        <v>18</v>
      </c>
      <c r="E40" s="2" t="n">
        <f aca="false">MOD($B$10+18-1,12)+1</f>
        <v>4</v>
      </c>
      <c r="F40" s="2" t="n">
        <f aca="false">$B$9+30*18</f>
        <v>740</v>
      </c>
      <c r="G40" s="9" t="n">
        <f aca="false">I39</f>
        <v>0</v>
      </c>
      <c r="H40" s="9" t="n">
        <f aca="false">MIN(G40,$B$5*30)</f>
        <v>0</v>
      </c>
      <c r="I40" s="9" t="n">
        <f aca="false">MAX(0,G40-H40)</f>
        <v>0</v>
      </c>
      <c r="J40" s="16" t="n">
        <f aca="false">IF(F40&gt;365,MAX(G40*$B$8*(IF(E40&gt;=10,$AB$16,$AA$16)+VLOOKUP(F40,$Z$6:$AA$13,2,TRUE())),G40*$AA$15),G40*$B$8*(IF(E40&gt;=10,$AB$16,$AA$16)+VLOOKUP(F40,$Z$6:$AA$13,2,TRUE())))</f>
        <v>0</v>
      </c>
      <c r="K40" s="16" t="n">
        <f aca="false">H40*$B$7-J40</f>
        <v>0</v>
      </c>
      <c r="L40" s="19" t="n">
        <f aca="false">(1+$B$13/12)^18</f>
        <v>1.19614747568667</v>
      </c>
      <c r="M40" s="16" t="n">
        <f aca="false">K40/L40</f>
        <v>0</v>
      </c>
      <c r="O40" s="2" t="n">
        <v>18</v>
      </c>
      <c r="P40" s="2" t="n">
        <f aca="false">MOD($B$10+18-1,12)+1</f>
        <v>4</v>
      </c>
      <c r="Q40" s="2" t="n">
        <f aca="false">$B$9+30*18</f>
        <v>740</v>
      </c>
      <c r="R40" s="9" t="n">
        <f aca="false">T39</f>
        <v>0</v>
      </c>
      <c r="S40" s="9" t="n">
        <f aca="false">MIN(R40,$B$5*30)</f>
        <v>0</v>
      </c>
      <c r="T40" s="9" t="n">
        <f aca="false">MAX(0,R40-S40)</f>
        <v>0</v>
      </c>
      <c r="U40" s="16" t="n">
        <f aca="false">IF(Q40&gt;365,MAX(R40*$B$8*(IF(P40&gt;=10,$AB$16,$AA$16)+VLOOKUP(Q40,$Z$6:$AA$13,2,TRUE())),R40*$AA$15),R40*$B$8*(IF(P40&gt;=10,$AB$16,$AA$16)+VLOOKUP(Q40,$Z$6:$AA$13,2,TRUE())))</f>
        <v>0</v>
      </c>
      <c r="V40" s="16" t="n">
        <f aca="false">S40*$B$7-U40</f>
        <v>0</v>
      </c>
      <c r="W40" s="19" t="n">
        <f aca="false">(1+$B$13/12)^18</f>
        <v>1.19614747568667</v>
      </c>
      <c r="X40" s="16" t="n">
        <f aca="false">V40/W40</f>
        <v>0</v>
      </c>
    </row>
    <row r="41" customFormat="false" ht="15" hidden="false" customHeight="false" outlineLevel="0" collapsed="false">
      <c r="D41" s="2" t="n">
        <v>19</v>
      </c>
      <c r="E41" s="2" t="n">
        <f aca="false">MOD($B$10+19-1,12)+1</f>
        <v>5</v>
      </c>
      <c r="F41" s="2" t="n">
        <f aca="false">$B$9+30*19</f>
        <v>770</v>
      </c>
      <c r="G41" s="9" t="n">
        <f aca="false">I40</f>
        <v>0</v>
      </c>
      <c r="H41" s="9" t="n">
        <f aca="false">MIN(G41,$B$5*30)</f>
        <v>0</v>
      </c>
      <c r="I41" s="9" t="n">
        <f aca="false">MAX(0,G41-H41)</f>
        <v>0</v>
      </c>
      <c r="J41" s="16" t="n">
        <f aca="false">IF(F41&gt;365,MAX(G41*$B$8*(IF(E41&gt;=10,$AB$16,$AA$16)+VLOOKUP(F41,$Z$6:$AA$13,2,TRUE())),G41*$AA$15),G41*$B$8*(IF(E41&gt;=10,$AB$16,$AA$16)+VLOOKUP(F41,$Z$6:$AA$13,2,TRUE())))</f>
        <v>0</v>
      </c>
      <c r="K41" s="16" t="n">
        <f aca="false">H41*$B$7-J41</f>
        <v>0</v>
      </c>
      <c r="L41" s="19" t="n">
        <f aca="false">(1+$B$13/12)^19</f>
        <v>1.20810895044353</v>
      </c>
      <c r="M41" s="16" t="n">
        <f aca="false">K41/L41</f>
        <v>0</v>
      </c>
      <c r="O41" s="2" t="n">
        <v>19</v>
      </c>
      <c r="P41" s="2" t="n">
        <f aca="false">MOD($B$10+19-1,12)+1</f>
        <v>5</v>
      </c>
      <c r="Q41" s="2" t="n">
        <f aca="false">$B$9+30*19</f>
        <v>770</v>
      </c>
      <c r="R41" s="9" t="n">
        <f aca="false">T40</f>
        <v>0</v>
      </c>
      <c r="S41" s="9" t="n">
        <f aca="false">MIN(R41,$B$5*30)</f>
        <v>0</v>
      </c>
      <c r="T41" s="9" t="n">
        <f aca="false">MAX(0,R41-S41)</f>
        <v>0</v>
      </c>
      <c r="U41" s="16" t="n">
        <f aca="false">IF(Q41&gt;365,MAX(R41*$B$8*(IF(P41&gt;=10,$AB$16,$AA$16)+VLOOKUP(Q41,$Z$6:$AA$13,2,TRUE())),R41*$AA$15),R41*$B$8*(IF(P41&gt;=10,$AB$16,$AA$16)+VLOOKUP(Q41,$Z$6:$AA$13,2,TRUE())))</f>
        <v>0</v>
      </c>
      <c r="V41" s="16" t="n">
        <f aca="false">S41*$B$7-U41</f>
        <v>0</v>
      </c>
      <c r="W41" s="19" t="n">
        <f aca="false">(1+$B$13/12)^19</f>
        <v>1.20810895044353</v>
      </c>
      <c r="X41" s="16" t="n">
        <f aca="false">V41/W41</f>
        <v>0</v>
      </c>
    </row>
    <row r="42" customFormat="false" ht="15" hidden="false" customHeight="false" outlineLevel="0" collapsed="false">
      <c r="D42" s="2" t="n">
        <v>20</v>
      </c>
      <c r="E42" s="2" t="n">
        <f aca="false">MOD($B$10+20-1,12)+1</f>
        <v>6</v>
      </c>
      <c r="F42" s="2" t="n">
        <f aca="false">$B$9+30*20</f>
        <v>800</v>
      </c>
      <c r="G42" s="9" t="n">
        <f aca="false">I41</f>
        <v>0</v>
      </c>
      <c r="H42" s="9" t="n">
        <f aca="false">MIN(G42,$B$5*30)</f>
        <v>0</v>
      </c>
      <c r="I42" s="9" t="n">
        <f aca="false">MAX(0,G42-H42)</f>
        <v>0</v>
      </c>
      <c r="J42" s="16" t="n">
        <f aca="false">IF(F42&gt;365,MAX(G42*$B$8*(IF(E42&gt;=10,$AB$16,$AA$16)+VLOOKUP(F42,$Z$6:$AA$13,2,TRUE())),G42*$AA$15),G42*$B$8*(IF(E42&gt;=10,$AB$16,$AA$16)+VLOOKUP(F42,$Z$6:$AA$13,2,TRUE())))</f>
        <v>0</v>
      </c>
      <c r="K42" s="16" t="n">
        <f aca="false">H42*$B$7-J42</f>
        <v>0</v>
      </c>
      <c r="L42" s="19" t="n">
        <f aca="false">(1+$B$13/12)^20</f>
        <v>1.22019003994797</v>
      </c>
      <c r="M42" s="16" t="n">
        <f aca="false">K42/L42</f>
        <v>0</v>
      </c>
      <c r="O42" s="2" t="n">
        <v>20</v>
      </c>
      <c r="P42" s="2" t="n">
        <f aca="false">MOD($B$10+20-1,12)+1</f>
        <v>6</v>
      </c>
      <c r="Q42" s="2" t="n">
        <f aca="false">$B$9+30*20</f>
        <v>800</v>
      </c>
      <c r="R42" s="9" t="n">
        <f aca="false">T41</f>
        <v>0</v>
      </c>
      <c r="S42" s="9" t="n">
        <f aca="false">MIN(R42,$B$5*30)</f>
        <v>0</v>
      </c>
      <c r="T42" s="9" t="n">
        <f aca="false">MAX(0,R42-S42)</f>
        <v>0</v>
      </c>
      <c r="U42" s="16" t="n">
        <f aca="false">IF(Q42&gt;365,MAX(R42*$B$8*(IF(P42&gt;=10,$AB$16,$AA$16)+VLOOKUP(Q42,$Z$6:$AA$13,2,TRUE())),R42*$AA$15),R42*$B$8*(IF(P42&gt;=10,$AB$16,$AA$16)+VLOOKUP(Q42,$Z$6:$AA$13,2,TRUE())))</f>
        <v>0</v>
      </c>
      <c r="V42" s="16" t="n">
        <f aca="false">S42*$B$7-U42</f>
        <v>0</v>
      </c>
      <c r="W42" s="19" t="n">
        <f aca="false">(1+$B$13/12)^20</f>
        <v>1.22019003994797</v>
      </c>
      <c r="X42" s="16" t="n">
        <f aca="false">V42/W42</f>
        <v>0</v>
      </c>
    </row>
    <row r="43" customFormat="false" ht="15" hidden="false" customHeight="false" outlineLevel="0" collapsed="false">
      <c r="D43" s="2" t="n">
        <v>21</v>
      </c>
      <c r="E43" s="2" t="n">
        <f aca="false">MOD($B$10+21-1,12)+1</f>
        <v>7</v>
      </c>
      <c r="F43" s="2" t="n">
        <f aca="false">$B$9+30*21</f>
        <v>830</v>
      </c>
      <c r="G43" s="9" t="n">
        <f aca="false">I42</f>
        <v>0</v>
      </c>
      <c r="H43" s="9" t="n">
        <f aca="false">MIN(G43,$B$5*30)</f>
        <v>0</v>
      </c>
      <c r="I43" s="9" t="n">
        <f aca="false">MAX(0,G43-H43)</f>
        <v>0</v>
      </c>
      <c r="J43" s="16" t="n">
        <f aca="false">IF(F43&gt;365,MAX(G43*$B$8*(IF(E43&gt;=10,$AB$16,$AA$16)+VLOOKUP(F43,$Z$6:$AA$13,2,TRUE())),G43*$AA$15),G43*$B$8*(IF(E43&gt;=10,$AB$16,$AA$16)+VLOOKUP(F43,$Z$6:$AA$13,2,TRUE())))</f>
        <v>0</v>
      </c>
      <c r="K43" s="16" t="n">
        <f aca="false">H43*$B$7-J43</f>
        <v>0</v>
      </c>
      <c r="L43" s="19" t="n">
        <f aca="false">(1+$B$13/12)^21</f>
        <v>1.23239194034745</v>
      </c>
      <c r="M43" s="16" t="n">
        <f aca="false">K43/L43</f>
        <v>0</v>
      </c>
      <c r="O43" s="2" t="n">
        <v>21</v>
      </c>
      <c r="P43" s="2" t="n">
        <f aca="false">MOD($B$10+21-1,12)+1</f>
        <v>7</v>
      </c>
      <c r="Q43" s="2" t="n">
        <f aca="false">$B$9+30*21</f>
        <v>830</v>
      </c>
      <c r="R43" s="9" t="n">
        <f aca="false">T42</f>
        <v>0</v>
      </c>
      <c r="S43" s="9" t="n">
        <f aca="false">MIN(R43,$B$5*30)</f>
        <v>0</v>
      </c>
      <c r="T43" s="9" t="n">
        <f aca="false">MAX(0,R43-S43)</f>
        <v>0</v>
      </c>
      <c r="U43" s="16" t="n">
        <f aca="false">IF(Q43&gt;365,MAX(R43*$B$8*(IF(P43&gt;=10,$AB$16,$AA$16)+VLOOKUP(Q43,$Z$6:$AA$13,2,TRUE())),R43*$AA$15),R43*$B$8*(IF(P43&gt;=10,$AB$16,$AA$16)+VLOOKUP(Q43,$Z$6:$AA$13,2,TRUE())))</f>
        <v>0</v>
      </c>
      <c r="V43" s="16" t="n">
        <f aca="false">S43*$B$7-U43</f>
        <v>0</v>
      </c>
      <c r="W43" s="19" t="n">
        <f aca="false">(1+$B$13/12)^21</f>
        <v>1.23239194034745</v>
      </c>
      <c r="X43" s="16" t="n">
        <f aca="false">V43/W43</f>
        <v>0</v>
      </c>
    </row>
    <row r="44" customFormat="false" ht="15" hidden="false" customHeight="false" outlineLevel="0" collapsed="false">
      <c r="D44" s="2" t="n">
        <v>22</v>
      </c>
      <c r="E44" s="2" t="n">
        <f aca="false">MOD($B$10+22-1,12)+1</f>
        <v>8</v>
      </c>
      <c r="F44" s="2" t="n">
        <f aca="false">$B$9+30*22</f>
        <v>860</v>
      </c>
      <c r="G44" s="9" t="n">
        <f aca="false">I43</f>
        <v>0</v>
      </c>
      <c r="H44" s="9" t="n">
        <f aca="false">MIN(G44,$B$5*30)</f>
        <v>0</v>
      </c>
      <c r="I44" s="9" t="n">
        <f aca="false">MAX(0,G44-H44)</f>
        <v>0</v>
      </c>
      <c r="J44" s="16" t="n">
        <f aca="false">IF(F44&gt;365,MAX(G44*$B$8*(IF(E44&gt;=10,$AB$16,$AA$16)+VLOOKUP(F44,$Z$6:$AA$13,2,TRUE())),G44*$AA$15),G44*$B$8*(IF(E44&gt;=10,$AB$16,$AA$16)+VLOOKUP(F44,$Z$6:$AA$13,2,TRUE())))</f>
        <v>0</v>
      </c>
      <c r="K44" s="16" t="n">
        <f aca="false">H44*$B$7-J44</f>
        <v>0</v>
      </c>
      <c r="L44" s="19" t="n">
        <f aca="false">(1+$B$13/12)^22</f>
        <v>1.24471585975092</v>
      </c>
      <c r="M44" s="16" t="n">
        <f aca="false">K44/L44</f>
        <v>0</v>
      </c>
      <c r="O44" s="2" t="n">
        <v>22</v>
      </c>
      <c r="P44" s="2" t="n">
        <f aca="false">MOD($B$10+22-1,12)+1</f>
        <v>8</v>
      </c>
      <c r="Q44" s="2" t="n">
        <f aca="false">$B$9+30*22</f>
        <v>860</v>
      </c>
      <c r="R44" s="9" t="n">
        <f aca="false">T43</f>
        <v>0</v>
      </c>
      <c r="S44" s="9" t="n">
        <f aca="false">MIN(R44,$B$5*30)</f>
        <v>0</v>
      </c>
      <c r="T44" s="9" t="n">
        <f aca="false">MAX(0,R44-S44)</f>
        <v>0</v>
      </c>
      <c r="U44" s="16" t="n">
        <f aca="false">IF(Q44&gt;365,MAX(R44*$B$8*(IF(P44&gt;=10,$AB$16,$AA$16)+VLOOKUP(Q44,$Z$6:$AA$13,2,TRUE())),R44*$AA$15),R44*$B$8*(IF(P44&gt;=10,$AB$16,$AA$16)+VLOOKUP(Q44,$Z$6:$AA$13,2,TRUE())))</f>
        <v>0</v>
      </c>
      <c r="V44" s="16" t="n">
        <f aca="false">S44*$B$7-U44</f>
        <v>0</v>
      </c>
      <c r="W44" s="19" t="n">
        <f aca="false">(1+$B$13/12)^22</f>
        <v>1.24471585975092</v>
      </c>
      <c r="X44" s="16" t="n">
        <f aca="false">V44/W44</f>
        <v>0</v>
      </c>
    </row>
    <row r="45" customFormat="false" ht="15" hidden="false" customHeight="false" outlineLevel="0" collapsed="false">
      <c r="D45" s="2" t="n">
        <v>23</v>
      </c>
      <c r="E45" s="2" t="n">
        <f aca="false">MOD($B$10+23-1,12)+1</f>
        <v>9</v>
      </c>
      <c r="F45" s="2" t="n">
        <f aca="false">$B$9+30*23</f>
        <v>890</v>
      </c>
      <c r="G45" s="9" t="n">
        <f aca="false">I44</f>
        <v>0</v>
      </c>
      <c r="H45" s="9" t="n">
        <f aca="false">MIN(G45,$B$5*30)</f>
        <v>0</v>
      </c>
      <c r="I45" s="9" t="n">
        <f aca="false">MAX(0,G45-H45)</f>
        <v>0</v>
      </c>
      <c r="J45" s="16" t="n">
        <f aca="false">IF(F45&gt;365,MAX(G45*$B$8*(IF(E45&gt;=10,$AB$16,$AA$16)+VLOOKUP(F45,$Z$6:$AA$13,2,TRUE())),G45*$AA$15),G45*$B$8*(IF(E45&gt;=10,$AB$16,$AA$16)+VLOOKUP(F45,$Z$6:$AA$13,2,TRUE())))</f>
        <v>0</v>
      </c>
      <c r="K45" s="16" t="n">
        <f aca="false">H45*$B$7-J45</f>
        <v>0</v>
      </c>
      <c r="L45" s="19" t="n">
        <f aca="false">(1+$B$13/12)^23</f>
        <v>1.25716301834843</v>
      </c>
      <c r="M45" s="16" t="n">
        <f aca="false">K45/L45</f>
        <v>0</v>
      </c>
      <c r="O45" s="2" t="n">
        <v>23</v>
      </c>
      <c r="P45" s="2" t="n">
        <f aca="false">MOD($B$10+23-1,12)+1</f>
        <v>9</v>
      </c>
      <c r="Q45" s="2" t="n">
        <f aca="false">$B$9+30*23</f>
        <v>890</v>
      </c>
      <c r="R45" s="9" t="n">
        <f aca="false">T44</f>
        <v>0</v>
      </c>
      <c r="S45" s="9" t="n">
        <f aca="false">MIN(R45,$B$5*30)</f>
        <v>0</v>
      </c>
      <c r="T45" s="9" t="n">
        <f aca="false">MAX(0,R45-S45)</f>
        <v>0</v>
      </c>
      <c r="U45" s="16" t="n">
        <f aca="false">IF(Q45&gt;365,MAX(R45*$B$8*(IF(P45&gt;=10,$AB$16,$AA$16)+VLOOKUP(Q45,$Z$6:$AA$13,2,TRUE())),R45*$AA$15),R45*$B$8*(IF(P45&gt;=10,$AB$16,$AA$16)+VLOOKUP(Q45,$Z$6:$AA$13,2,TRUE())))</f>
        <v>0</v>
      </c>
      <c r="V45" s="16" t="n">
        <f aca="false">S45*$B$7-U45</f>
        <v>0</v>
      </c>
      <c r="W45" s="19" t="n">
        <f aca="false">(1+$B$13/12)^23</f>
        <v>1.25716301834843</v>
      </c>
      <c r="X45" s="16" t="n">
        <f aca="false">V45/W45</f>
        <v>0</v>
      </c>
    </row>
    <row r="46" customFormat="false" ht="15" hidden="false" customHeight="false" outlineLevel="0" collapsed="false">
      <c r="D46" s="2" t="n">
        <v>24</v>
      </c>
      <c r="E46" s="2" t="n">
        <f aca="false">MOD($B$10+24-1,12)+1</f>
        <v>10</v>
      </c>
      <c r="F46" s="2" t="n">
        <f aca="false">$B$9+30*24</f>
        <v>920</v>
      </c>
      <c r="G46" s="9" t="n">
        <f aca="false">I45</f>
        <v>0</v>
      </c>
      <c r="H46" s="9" t="n">
        <f aca="false">MIN(G46,$B$5*30)</f>
        <v>0</v>
      </c>
      <c r="I46" s="9" t="n">
        <f aca="false">MAX(0,G46-H46)</f>
        <v>0</v>
      </c>
      <c r="J46" s="16" t="n">
        <f aca="false">IF(F46&gt;365,MAX(G46*$B$8*(IF(E46&gt;=10,$AB$16,$AA$16)+VLOOKUP(F46,$Z$6:$AA$13,2,TRUE())),G46*$AA$15),G46*$B$8*(IF(E46&gt;=10,$AB$16,$AA$16)+VLOOKUP(F46,$Z$6:$AA$13,2,TRUE())))</f>
        <v>0</v>
      </c>
      <c r="K46" s="16" t="n">
        <f aca="false">H46*$B$7-J46</f>
        <v>0</v>
      </c>
      <c r="L46" s="19" t="n">
        <f aca="false">(1+$B$13/12)^24</f>
        <v>1.26973464853191</v>
      </c>
      <c r="M46" s="16" t="n">
        <f aca="false">K46/L46</f>
        <v>0</v>
      </c>
      <c r="O46" s="2" t="n">
        <v>24</v>
      </c>
      <c r="P46" s="2" t="n">
        <f aca="false">MOD($B$10+24-1,12)+1</f>
        <v>10</v>
      </c>
      <c r="Q46" s="2" t="n">
        <f aca="false">$B$9+30*24</f>
        <v>920</v>
      </c>
      <c r="R46" s="9" t="n">
        <f aca="false">T45</f>
        <v>0</v>
      </c>
      <c r="S46" s="9" t="n">
        <f aca="false">MIN(R46,$B$5*30)</f>
        <v>0</v>
      </c>
      <c r="T46" s="9" t="n">
        <f aca="false">MAX(0,R46-S46)</f>
        <v>0</v>
      </c>
      <c r="U46" s="16" t="n">
        <f aca="false">IF(Q46&gt;365,MAX(R46*$B$8*(IF(P46&gt;=10,$AB$16,$AA$16)+VLOOKUP(Q46,$Z$6:$AA$13,2,TRUE())),R46*$AA$15),R46*$B$8*(IF(P46&gt;=10,$AB$16,$AA$16)+VLOOKUP(Q46,$Z$6:$AA$13,2,TRUE())))</f>
        <v>0</v>
      </c>
      <c r="V46" s="16" t="n">
        <f aca="false">S46*$B$7-U46</f>
        <v>0</v>
      </c>
      <c r="W46" s="19" t="n">
        <f aca="false">(1+$B$13/12)^24</f>
        <v>1.26973464853191</v>
      </c>
      <c r="X46" s="16" t="n">
        <f aca="false">V46/W46</f>
        <v>0</v>
      </c>
    </row>
    <row r="47" customFormat="false" ht="15" hidden="false" customHeight="false" outlineLevel="0" collapsed="false">
      <c r="D47" s="2" t="s">
        <v>153</v>
      </c>
      <c r="M47" s="16" t="n">
        <f aca="false">I46*$B$6*$B$12/(1+$B$13/12)^24</f>
        <v>0</v>
      </c>
      <c r="O47" s="2" t="s">
        <v>153</v>
      </c>
      <c r="X47" s="16" t="n">
        <f aca="false">T46*$B$6*$B$12/(1+$B$13/12)^24</f>
        <v>0</v>
      </c>
    </row>
    <row r="49" customFormat="false" ht="15" hidden="false" customHeight="false" outlineLevel="0" collapsed="false">
      <c r="A49" s="4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customHeight="false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26"/>
    <col collapsed="false" customWidth="true" hidden="false" outlineLevel="0" max="4" min="3" style="0" width="22"/>
    <col collapsed="false" customWidth="true" hidden="false" outlineLevel="0" max="5" min="5" style="0" width="20"/>
  </cols>
  <sheetData>
    <row r="1" customFormat="false" ht="19.7" hidden="false" customHeight="false" outlineLevel="0" collapsed="false">
      <c r="A1" s="1" t="s">
        <v>155</v>
      </c>
    </row>
    <row r="2" customFormat="false" ht="15" hidden="false" customHeight="false" outlineLevel="0" collapsed="false">
      <c r="A2" s="4" t="s">
        <v>156</v>
      </c>
    </row>
    <row r="4" customFormat="false" ht="15" hidden="false" customHeight="false" outlineLevel="0" collapsed="false">
      <c r="A4" s="2" t="s">
        <v>157</v>
      </c>
      <c r="B4" s="7" t="n">
        <v>10.6945</v>
      </c>
    </row>
    <row r="5" customFormat="false" ht="15" hidden="false" customHeight="false" outlineLevel="0" collapsed="false">
      <c r="A5" s="2" t="s">
        <v>158</v>
      </c>
      <c r="B5" s="19" t="n">
        <f aca="false">'Your wire'!B4</f>
        <v>17.1809</v>
      </c>
      <c r="C5" s="19" t="n">
        <f aca="false">'Your wire'!B18</f>
        <v>1981</v>
      </c>
      <c r="D5" s="19" t="n">
        <f aca="false">'Your wire'!B15</f>
        <v>7.14441404905841</v>
      </c>
      <c r="E5" s="19" t="n">
        <f aca="false">'Your wire'!B16</f>
        <v>0.271559813513748</v>
      </c>
    </row>
    <row r="7" customFormat="false" ht="15" hidden="false" customHeight="false" outlineLevel="0" collapsed="false">
      <c r="A7" s="10" t="s">
        <v>159</v>
      </c>
      <c r="B7" s="10" t="s">
        <v>160</v>
      </c>
      <c r="C7" s="10" t="s">
        <v>161</v>
      </c>
      <c r="D7" s="10" t="s">
        <v>162</v>
      </c>
      <c r="E7" s="10" t="s">
        <v>163</v>
      </c>
    </row>
    <row r="8" customFormat="false" ht="15" hidden="false" customHeight="false" outlineLevel="0" collapsed="false">
      <c r="A8" s="2" t="n">
        <v>0</v>
      </c>
      <c r="B8" s="17" t="n">
        <f aca="false">MAX(1,ROUND($C$5-A8*$B$5,0))</f>
        <v>1981</v>
      </c>
      <c r="C8" s="26" t="n">
        <f aca="false">1-LOGNORMDIST(B8,$D$5,$E$5)</f>
        <v>0.049898733668315</v>
      </c>
      <c r="D8" s="9" t="n">
        <f aca="false">EXP($D$5+$E$5^2/2)*NORMSDIST(($D$5+$E$5^2-LN(B8))/$E$5)-B8*NORMSDIST(($D$5-LN(B8))/$E$5)</f>
        <v>12.4680735218415</v>
      </c>
      <c r="E8" s="16" t="n">
        <f aca="false">D8*$B$4</f>
        <v>133.339812279334</v>
      </c>
    </row>
    <row r="9" customFormat="false" ht="15" hidden="false" customHeight="false" outlineLevel="0" collapsed="false">
      <c r="A9" s="2" t="n">
        <v>1</v>
      </c>
      <c r="B9" s="17" t="n">
        <f aca="false">MAX(1,ROUND($C$5-A9*$B$5,0))</f>
        <v>1964</v>
      </c>
      <c r="C9" s="26" t="n">
        <f aca="false">1-LOGNORMDIST(B9,$D$5,$E$5)</f>
        <v>0.0532529705764604</v>
      </c>
      <c r="D9" s="9" t="n">
        <f aca="false">EXP($D$5+$E$5^2/2)*NORMSDIST(($D$5+$E$5^2-LN(B9))/$E$5)-B9*NORMSDIST(($D$5-LN(B9))/$E$5)</f>
        <v>13.3445762590292</v>
      </c>
      <c r="E9" s="16" t="n">
        <f aca="false">D9*$B$4</f>
        <v>142.713570802188</v>
      </c>
    </row>
    <row r="10" customFormat="false" ht="15" hidden="false" customHeight="false" outlineLevel="0" collapsed="false">
      <c r="A10" s="2" t="n">
        <v>2</v>
      </c>
      <c r="B10" s="17" t="n">
        <f aca="false">MAX(1,ROUND($C$5-A10*$B$5,0))</f>
        <v>1947</v>
      </c>
      <c r="C10" s="26" t="n">
        <f aca="false">1-LOGNORMDIST(B10,$D$5,$E$5)</f>
        <v>0.0568149791730018</v>
      </c>
      <c r="D10" s="9" t="n">
        <f aca="false">EXP($D$5+$E$5^2/2)*NORMSDIST(($D$5+$E$5^2-LN(B10))/$E$5)-B10*NORMSDIST(($D$5-LN(B10))/$E$5)</f>
        <v>14.2798518223138</v>
      </c>
      <c r="E10" s="16" t="n">
        <f aca="false">D10*$B$4</f>
        <v>152.715875313735</v>
      </c>
    </row>
    <row r="11" customFormat="false" ht="15" hidden="false" customHeight="false" outlineLevel="0" collapsed="false">
      <c r="A11" s="2" t="n">
        <v>3</v>
      </c>
      <c r="B11" s="17" t="n">
        <f aca="false">MAX(1,ROUND($C$5-A11*$B$5,0))</f>
        <v>1929</v>
      </c>
      <c r="C11" s="26" t="n">
        <f aca="false">1-LOGNORMDIST(B11,$D$5,$E$5)</f>
        <v>0.0608251698497783</v>
      </c>
      <c r="D11" s="9" t="n">
        <f aca="false">EXP($D$5+$E$5^2/2)*NORMSDIST(($D$5+$E$5^2-LN(B11))/$E$5)-B11*NORMSDIST(($D$5-LN(B11))/$E$5)</f>
        <v>15.3382353482015</v>
      </c>
      <c r="E11" s="16" t="n">
        <f aca="false">D11*$B$4</f>
        <v>164.034757931341</v>
      </c>
    </row>
    <row r="12" customFormat="false" ht="15" hidden="false" customHeight="false" outlineLevel="0" collapsed="false">
      <c r="A12" s="2" t="n">
        <v>4</v>
      </c>
      <c r="B12" s="17" t="n">
        <f aca="false">MAX(1,ROUND($C$5-A12*$B$5,0))</f>
        <v>1912</v>
      </c>
      <c r="C12" s="26" t="n">
        <f aca="false">1-LOGNORMDIST(B12,$D$5,$E$5)</f>
        <v>0.0648498744518586</v>
      </c>
      <c r="D12" s="9" t="n">
        <f aca="false">EXP($D$5+$E$5^2/2)*NORMSDIST(($D$5+$E$5^2-LN(B12))/$E$5)-B12*NORMSDIST(($D$5-LN(B12))/$E$5)</f>
        <v>16.406138125263</v>
      </c>
      <c r="E12" s="16" t="n">
        <f aca="false">D12*$B$4</f>
        <v>175.455444180625</v>
      </c>
    </row>
    <row r="13" customFormat="false" ht="15" hidden="false" customHeight="false" outlineLevel="0" collapsed="false">
      <c r="A13" s="2" t="n">
        <v>5</v>
      </c>
      <c r="B13" s="17" t="n">
        <f aca="false">MAX(1,ROUND($C$5-A13*$B$5,0))</f>
        <v>1895</v>
      </c>
      <c r="C13" s="26" t="n">
        <f aca="false">1-LOGNORMDIST(B13,$D$5,$E$5)</f>
        <v>0.0691170444735807</v>
      </c>
      <c r="D13" s="9" t="n">
        <f aca="false">EXP($D$5+$E$5^2/2)*NORMSDIST(($D$5+$E$5^2-LN(B13))/$E$5)-B13*NORMSDIST(($D$5-LN(B13))/$E$5)</f>
        <v>17.5445049845256</v>
      </c>
      <c r="E13" s="16" t="n">
        <f aca="false">D13*$B$4</f>
        <v>187.62970855701</v>
      </c>
    </row>
    <row r="14" customFormat="false" ht="15" hidden="false" customHeight="false" outlineLevel="0" collapsed="false">
      <c r="A14" s="2" t="n">
        <v>6</v>
      </c>
      <c r="B14" s="17" t="n">
        <f aca="false">MAX(1,ROUND($C$5-A14*$B$5,0))</f>
        <v>1878</v>
      </c>
      <c r="C14" s="26" t="n">
        <f aca="false">1-LOGNORMDIST(B14,$D$5,$E$5)</f>
        <v>0.0736387463453931</v>
      </c>
      <c r="D14" s="9" t="n">
        <f aca="false">EXP($D$5+$E$5^2/2)*NORMSDIST(($D$5+$E$5^2-LN(B14))/$E$5)-B14*NORMSDIST(($D$5-LN(B14))/$E$5)</f>
        <v>18.7575599222124</v>
      </c>
      <c r="E14" s="16" t="n">
        <f aca="false">D14*$B$4</f>
        <v>200.6027245881</v>
      </c>
    </row>
    <row r="15" customFormat="false" ht="15" hidden="false" customHeight="false" outlineLevel="0" collapsed="false">
      <c r="A15" s="2" t="n">
        <v>7</v>
      </c>
      <c r="B15" s="17" t="n">
        <f aca="false">MAX(1,ROUND($C$5-A15*$B$5,0))</f>
        <v>1861</v>
      </c>
      <c r="C15" s="26" t="n">
        <f aca="false">1-LOGNORMDIST(B15,$D$5,$E$5)</f>
        <v>0.0784273758282118</v>
      </c>
      <c r="D15" s="9" t="n">
        <f aca="false">EXP($D$5+$E$5^2/2)*NORMSDIST(($D$5+$E$5^2-LN(B15))/$E$5)-B15*NORMSDIST(($D$5-LN(B15))/$E$5)</f>
        <v>20.0497348920152</v>
      </c>
      <c r="E15" s="16" t="n">
        <f aca="false">D15*$B$4</f>
        <v>214.421889802657</v>
      </c>
    </row>
    <row r="16" customFormat="false" ht="15" hidden="false" customHeight="false" outlineLevel="0" collapsed="false">
      <c r="A16" s="2" t="n">
        <v>8</v>
      </c>
      <c r="B16" s="17" t="n">
        <f aca="false">MAX(1,ROUND($C$5-A16*$B$5,0))</f>
        <v>1844</v>
      </c>
      <c r="C16" s="26" t="n">
        <f aca="false">1-LOGNORMDIST(B16,$D$5,$E$5)</f>
        <v>0.0834956354491804</v>
      </c>
      <c r="D16" s="9" t="n">
        <f aca="false">EXP($D$5+$E$5^2/2)*NORMSDIST(($D$5+$E$5^2-LN(B16))/$E$5)-B16*NORMSDIST(($D$5-LN(B16))/$E$5)</f>
        <v>21.4256752182385</v>
      </c>
      <c r="E16" s="16" t="n">
        <f aca="false">D16*$B$4</f>
        <v>229.136883621452</v>
      </c>
    </row>
    <row r="17" customFormat="false" ht="15" hidden="false" customHeight="false" outlineLevel="0" collapsed="false">
      <c r="A17" s="2" t="n">
        <v>9</v>
      </c>
      <c r="B17" s="17" t="n">
        <f aca="false">MAX(1,ROUND($C$5-A17*$B$5,0))</f>
        <v>1826</v>
      </c>
      <c r="C17" s="26" t="n">
        <f aca="false">1-LOGNORMDIST(B17,$D$5,$E$5)</f>
        <v>0.0891812467700818</v>
      </c>
      <c r="D17" s="9" t="n">
        <f aca="false">EXP($D$5+$E$5^2/2)*NORMSDIST(($D$5+$E$5^2-LN(B17))/$E$5)-B17*NORMSDIST(($D$5-LN(B17))/$E$5)</f>
        <v>22.9792633750168</v>
      </c>
      <c r="E17" s="16" t="n">
        <f aca="false">D17*$B$4</f>
        <v>245.751732164117</v>
      </c>
    </row>
    <row r="18" customFormat="false" ht="15" hidden="false" customHeight="false" outlineLevel="0" collapsed="false">
      <c r="A18" s="2" t="n">
        <v>10</v>
      </c>
      <c r="B18" s="17" t="n">
        <f aca="false">MAX(1,ROUND($C$5-A18*$B$5,0))</f>
        <v>1809</v>
      </c>
      <c r="C18" s="26" t="n">
        <f aca="false">1-LOGNORMDIST(B18,$D$5,$E$5)</f>
        <v>0.0948663674607038</v>
      </c>
      <c r="D18" s="9" t="n">
        <f aca="false">EXP($D$5+$E$5^2/2)*NORMSDIST(($D$5+$E$5^2-LN(B18))/$E$5)-B18*NORMSDIST(($D$5-LN(B18))/$E$5)</f>
        <v>24.543224229697</v>
      </c>
      <c r="E18" s="16" t="n">
        <f aca="false">D18*$B$4</f>
        <v>262.477511524495</v>
      </c>
    </row>
    <row r="19" customFormat="false" ht="15" hidden="false" customHeight="false" outlineLevel="0" collapsed="false">
      <c r="A19" s="2" t="n">
        <v>11</v>
      </c>
      <c r="B19" s="17" t="n">
        <f aca="false">MAX(1,ROUND($C$5-A19*$B$5,0))</f>
        <v>1792</v>
      </c>
      <c r="C19" s="26" t="n">
        <f aca="false">1-LOGNORMDIST(B19,$D$5,$E$5)</f>
        <v>0.100871564581777</v>
      </c>
      <c r="D19" s="9" t="n">
        <f aca="false">EXP($D$5+$E$5^2/2)*NORMSDIST(($D$5+$E$5^2-LN(B19))/$E$5)-B19*NORMSDIST(($D$5-LN(B19))/$E$5)</f>
        <v>26.2065336041852</v>
      </c>
      <c r="E19" s="16" t="n">
        <f aca="false">D19*$B$4</f>
        <v>280.265773629958</v>
      </c>
    </row>
    <row r="20" customFormat="false" ht="15" hidden="false" customHeight="false" outlineLevel="0" collapsed="false">
      <c r="A20" s="2" t="n">
        <v>12</v>
      </c>
      <c r="B20" s="17" t="n">
        <f aca="false">MAX(1,ROUND($C$5-A20*$B$5,0))</f>
        <v>1775</v>
      </c>
      <c r="C20" s="26" t="n">
        <f aca="false">1-LOGNORMDIST(B20,$D$5,$E$5)</f>
        <v>0.10721045094627</v>
      </c>
      <c r="D20" s="9" t="n">
        <f aca="false">EXP($D$5+$E$5^2/2)*NORMSDIST(($D$5+$E$5^2-LN(B20))/$E$5)-B20*NORMSDIST(($D$5-LN(B20))/$E$5)</f>
        <v>27.9747483097662</v>
      </c>
      <c r="E20" s="16" t="n">
        <f aca="false">D20*$B$4</f>
        <v>299.175945798795</v>
      </c>
    </row>
    <row r="21" customFormat="false" ht="15" hidden="false" customHeight="false" outlineLevel="0" collapsed="false">
      <c r="A21" s="2" t="n">
        <v>13</v>
      </c>
      <c r="B21" s="17" t="n">
        <f aca="false">MAX(1,ROUND($C$5-A21*$B$5,0))</f>
        <v>1758</v>
      </c>
      <c r="C21" s="26" t="n">
        <f aca="false">1-LOGNORMDIST(B21,$D$5,$E$5)</f>
        <v>0.113896751981619</v>
      </c>
      <c r="D21" s="9" t="n">
        <f aca="false">EXP($D$5+$E$5^2/2)*NORMSDIST(($D$5+$E$5^2-LN(B21))/$E$5)-B21*NORMSDIST(($D$5-LN(B21))/$E$5)</f>
        <v>29.8536576088594</v>
      </c>
      <c r="E21" s="16" t="n">
        <f aca="false">D21*$B$4</f>
        <v>319.269941297947</v>
      </c>
    </row>
    <row r="22" customFormat="false" ht="15" hidden="false" customHeight="false" outlineLevel="0" collapsed="false">
      <c r="A22" s="2" t="n">
        <v>14</v>
      </c>
      <c r="B22" s="17" t="n">
        <f aca="false">MAX(1,ROUND($C$5-A22*$B$5,0))</f>
        <v>1740</v>
      </c>
      <c r="C22" s="26" t="n">
        <f aca="false">1-LOGNORMDIST(B22,$D$5,$E$5)</f>
        <v>0.121370350073504</v>
      </c>
      <c r="D22" s="9" t="n">
        <f aca="false">EXP($D$5+$E$5^2/2)*NORMSDIST(($D$5+$E$5^2-LN(B22))/$E$5)-B22*NORMSDIST(($D$5-LN(B22))/$E$5)</f>
        <v>31.9704418444533</v>
      </c>
      <c r="E22" s="16" t="n">
        <f aca="false">D22*$B$4</f>
        <v>341.907890305505</v>
      </c>
    </row>
    <row r="23" customFormat="false" ht="15" hidden="false" customHeight="false" outlineLevel="0" collapsed="false">
      <c r="A23" s="2" t="n">
        <v>15</v>
      </c>
      <c r="B23" s="17" t="n">
        <f aca="false">MAX(1,ROUND($C$5-A23*$B$5,0))</f>
        <v>1723</v>
      </c>
      <c r="C23" s="26" t="n">
        <f aca="false">1-LOGNORMDIST(B23,$D$5,$E$5)</f>
        <v>0.128815298600209</v>
      </c>
      <c r="D23" s="9" t="n">
        <f aca="false">EXP($D$5+$E$5^2/2)*NORMSDIST(($D$5+$E$5^2-LN(B23))/$E$5)-B23*NORMSDIST(($D$5-LN(B23))/$E$5)</f>
        <v>34.0964777841183</v>
      </c>
      <c r="E23" s="16" t="n">
        <f aca="false">D23*$B$4</f>
        <v>364.644781662253</v>
      </c>
    </row>
    <row r="24" customFormat="false" ht="15" hidden="false" customHeight="false" outlineLevel="0" collapsed="false">
      <c r="A24" s="2" t="n">
        <v>16</v>
      </c>
      <c r="B24" s="17" t="n">
        <f aca="false">MAX(1,ROUND($C$5-A24*$B$5,0))</f>
        <v>1706</v>
      </c>
      <c r="C24" s="26" t="n">
        <f aca="false">1-LOGNORMDIST(B24,$D$5,$E$5)</f>
        <v>0.136649706927467</v>
      </c>
      <c r="D24" s="9" t="n">
        <f aca="false">EXP($D$5+$E$5^2/2)*NORMSDIST(($D$5+$E$5^2-LN(B24))/$E$5)-B24*NORMSDIST(($D$5-LN(B24))/$E$5)</f>
        <v>36.3523689668307</v>
      </c>
      <c r="E24" s="16" t="n">
        <f aca="false">D24*$B$4</f>
        <v>388.77040991577</v>
      </c>
    </row>
    <row r="25" customFormat="false" ht="15" hidden="false" customHeight="false" outlineLevel="0" collapsed="false">
      <c r="A25" s="2" t="n">
        <v>17</v>
      </c>
      <c r="B25" s="17" t="n">
        <f aca="false">MAX(1,ROUND($C$5-A25*$B$5,0))</f>
        <v>1689</v>
      </c>
      <c r="C25" s="26" t="n">
        <f aca="false">1-LOGNORMDIST(B25,$D$5,$E$5)</f>
        <v>0.144887093383138</v>
      </c>
      <c r="D25" s="9" t="n">
        <f aca="false">EXP($D$5+$E$5^2/2)*NORMSDIST(($D$5+$E$5^2-LN(B25))/$E$5)-B25*NORMSDIST(($D$5-LN(B25))/$E$5)</f>
        <v>38.7448514102105</v>
      </c>
      <c r="E25" s="16" t="n">
        <f aca="false">D25*$B$4</f>
        <v>414.356813406496</v>
      </c>
    </row>
    <row r="26" customFormat="false" ht="15" hidden="false" customHeight="false" outlineLevel="0" collapsed="false">
      <c r="A26" s="2" t="n">
        <v>18</v>
      </c>
      <c r="B26" s="17" t="n">
        <f aca="false">MAX(1,ROUND($C$5-A26*$B$5,0))</f>
        <v>1672</v>
      </c>
      <c r="C26" s="26" t="n">
        <f aca="false">1-LOGNORMDIST(B26,$D$5,$E$5)</f>
        <v>0.153540722054457</v>
      </c>
      <c r="D26" s="9" t="n">
        <f aca="false">EXP($D$5+$E$5^2/2)*NORMSDIST(($D$5+$E$5^2-LN(B26))/$E$5)-B26*NORMSDIST(($D$5-LN(B26))/$E$5)</f>
        <v>41.2808889139237</v>
      </c>
      <c r="E26" s="16" t="n">
        <f aca="false">D26*$B$4</f>
        <v>441.478466489957</v>
      </c>
    </row>
    <row r="27" customFormat="false" ht="15" hidden="false" customHeight="false" outlineLevel="0" collapsed="false">
      <c r="A27" s="2" t="n">
        <v>19</v>
      </c>
      <c r="B27" s="17" t="n">
        <f aca="false">MAX(1,ROUND($C$5-A27*$B$5,0))</f>
        <v>1655</v>
      </c>
      <c r="C27" s="26" t="n">
        <f aca="false">1-LOGNORMDIST(B27,$D$5,$E$5)</f>
        <v>0.162623505630198</v>
      </c>
      <c r="D27" s="9" t="n">
        <f aca="false">EXP($D$5+$E$5^2/2)*NORMSDIST(($D$5+$E$5^2-LN(B27))/$E$5)-B27*NORMSDIST(($D$5-LN(B27))/$E$5)</f>
        <v>43.9676679240369</v>
      </c>
      <c r="E27" s="16" t="n">
        <f aca="false">D27*$B$4</f>
        <v>470.212224613613</v>
      </c>
    </row>
    <row r="28" customFormat="false" ht="15" hidden="false" customHeight="false" outlineLevel="0" collapsed="false">
      <c r="A28" s="2" t="n">
        <v>20</v>
      </c>
      <c r="B28" s="17" t="n">
        <f aca="false">MAX(1,ROUND($C$5-A28*$B$5,0))</f>
        <v>1637</v>
      </c>
      <c r="C28" s="26" t="n">
        <f aca="false">1-LOGNORMDIST(B28,$D$5,$E$5)</f>
        <v>0.172722167717997</v>
      </c>
      <c r="D28" s="9" t="n">
        <f aca="false">EXP($D$5+$E$5^2/2)*NORMSDIST(($D$5+$E$5^2-LN(B28))/$E$5)-B28*NORMSDIST(($D$5-LN(B28))/$E$5)</f>
        <v>46.9850255741177</v>
      </c>
      <c r="E28" s="16" t="n">
        <f aca="false">D28*$B$4</f>
        <v>502.481356002402</v>
      </c>
    </row>
    <row r="29" customFormat="false" ht="15" hidden="false" customHeight="false" outlineLevel="0" collapsed="false">
      <c r="A29" s="2" t="n">
        <v>21</v>
      </c>
      <c r="B29" s="17" t="n">
        <f aca="false">MAX(1,ROUND($C$5-A29*$B$5,0))</f>
        <v>1620</v>
      </c>
      <c r="C29" s="26" t="n">
        <f aca="false">1-LOGNORMDIST(B29,$D$5,$E$5)</f>
        <v>0.182727086945666</v>
      </c>
      <c r="D29" s="9" t="n">
        <f aca="false">EXP($D$5+$E$5^2/2)*NORMSDIST(($D$5+$E$5^2-LN(B29))/$E$5)-B29*NORMSDIST(($D$5-LN(B29))/$E$5)</f>
        <v>50.0056927363912</v>
      </c>
      <c r="E29" s="16" t="n">
        <f aca="false">D29*$B$4</f>
        <v>534.785880969336</v>
      </c>
    </row>
    <row r="30" customFormat="false" ht="15" hidden="false" customHeight="false" outlineLevel="0" collapsed="false">
      <c r="A30" s="2" t="n">
        <v>22</v>
      </c>
      <c r="B30" s="17" t="n">
        <f aca="false">MAX(1,ROUND($C$5-A30*$B$5,0))</f>
        <v>1603</v>
      </c>
      <c r="C30" s="26" t="n">
        <f aca="false">1-LOGNORMDIST(B30,$D$5,$E$5)</f>
        <v>0.193197320443327</v>
      </c>
      <c r="D30" s="9" t="n">
        <f aca="false">EXP($D$5+$E$5^2/2)*NORMSDIST(($D$5+$E$5^2-LN(B30))/$E$5)-B30*NORMSDIST(($D$5-LN(B30))/$E$5)</f>
        <v>53.2003834690009</v>
      </c>
      <c r="E30" s="16" t="n">
        <f aca="false">D30*$B$4</f>
        <v>568.951501009231</v>
      </c>
    </row>
    <row r="31" customFormat="false" ht="15" hidden="false" customHeight="false" outlineLevel="0" collapsed="false">
      <c r="A31" s="2" t="n">
        <v>23</v>
      </c>
      <c r="B31" s="17" t="n">
        <f aca="false">MAX(1,ROUND($C$5-A31*$B$5,0))</f>
        <v>1586</v>
      </c>
      <c r="C31" s="26" t="n">
        <f aca="false">1-LOGNORMDIST(B31,$D$5,$E$5)</f>
        <v>0.204143173618114</v>
      </c>
      <c r="D31" s="9" t="n">
        <f aca="false">EXP($D$5+$E$5^2/2)*NORMSDIST(($D$5+$E$5^2-LN(B31))/$E$5)-B31*NORMSDIST(($D$5-LN(B31))/$E$5)</f>
        <v>56.5770969943334</v>
      </c>
      <c r="E31" s="16" t="n">
        <f aca="false">D31*$B$4</f>
        <v>605.063763805898</v>
      </c>
    </row>
    <row r="32" customFormat="false" ht="15" hidden="false" customHeight="false" outlineLevel="0" collapsed="false">
      <c r="A32" s="2" t="n">
        <v>24</v>
      </c>
      <c r="B32" s="17" t="n">
        <f aca="false">MAX(1,ROUND($C$5-A32*$B$5,0))</f>
        <v>1569</v>
      </c>
      <c r="C32" s="26" t="n">
        <f aca="false">1-LOGNORMDIST(B32,$D$5,$E$5)</f>
        <v>0.215573973053422</v>
      </c>
      <c r="D32" s="9" t="n">
        <f aca="false">EXP($D$5+$E$5^2/2)*NORMSDIST(($D$5+$E$5^2-LN(B32))/$E$5)-B32*NORMSDIST(($D$5-LN(B32))/$E$5)</f>
        <v>60.1439996139533</v>
      </c>
      <c r="E32" s="16" t="n">
        <f aca="false">D32*$B$4</f>
        <v>643.210003871423</v>
      </c>
    </row>
    <row r="33" customFormat="false" ht="15" hidden="false" customHeight="false" outlineLevel="0" collapsed="false">
      <c r="A33" s="2" t="n">
        <v>25</v>
      </c>
      <c r="B33" s="17" t="n">
        <f aca="false">MAX(1,ROUND($C$5-A33*$B$5,0))</f>
        <v>1551</v>
      </c>
      <c r="C33" s="26" t="n">
        <f aca="false">1-LOGNORMDIST(B33,$D$5,$E$5)</f>
        <v>0.228214836536834</v>
      </c>
      <c r="D33" s="9" t="n">
        <f aca="false">EXP($D$5+$E$5^2/2)*NORMSDIST(($D$5+$E$5^2-LN(B33))/$E$5)-B33*NORMSDIST(($D$5-LN(B33))/$E$5)</f>
        <v>64.137263033484</v>
      </c>
      <c r="E33" s="16" t="n">
        <f aca="false">D33*$B$4</f>
        <v>685.915959511595</v>
      </c>
    </row>
    <row r="34" customFormat="false" ht="15" hidden="false" customHeight="false" outlineLevel="0" collapsed="false">
      <c r="A34" s="2" t="n">
        <v>26</v>
      </c>
      <c r="B34" s="17" t="n">
        <f aca="false">MAX(1,ROUND($C$5-A34*$B$5,0))</f>
        <v>1534</v>
      </c>
      <c r="C34" s="26" t="n">
        <f aca="false">1-LOGNORMDIST(B34,$D$5,$E$5)</f>
        <v>0.240668432615763</v>
      </c>
      <c r="D34" s="9" t="n">
        <f aca="false">EXP($D$5+$E$5^2/2)*NORMSDIST(($D$5+$E$5^2-LN(B34))/$E$5)-B34*NORMSDIST(($D$5-LN(B34))/$E$5)</f>
        <v>68.1220576958834</v>
      </c>
      <c r="E34" s="16" t="n">
        <f aca="false">D34*$B$4</f>
        <v>728.531346028625</v>
      </c>
    </row>
    <row r="35" customFormat="false" ht="15" hidden="false" customHeight="false" outlineLevel="0" collapsed="false">
      <c r="A35" s="2" t="n">
        <v>27</v>
      </c>
      <c r="B35" s="17" t="n">
        <f aca="false">MAX(1,ROUND($C$5-A35*$B$5,0))</f>
        <v>1517</v>
      </c>
      <c r="C35" s="26" t="n">
        <f aca="false">1-LOGNORMDIST(B35,$D$5,$E$5)</f>
        <v>0.253627810164264</v>
      </c>
      <c r="D35" s="9" t="n">
        <f aca="false">EXP($D$5+$E$5^2/2)*NORMSDIST(($D$5+$E$5^2-LN(B35))/$E$5)-B35*NORMSDIST(($D$5-LN(B35))/$E$5)</f>
        <v>72.3228561462992</v>
      </c>
      <c r="E35" s="16" t="n">
        <f aca="false">D35*$B$4</f>
        <v>773.456785056597</v>
      </c>
    </row>
    <row r="36" customFormat="false" ht="15" hidden="false" customHeight="false" outlineLevel="0" collapsed="false">
      <c r="A36" s="2" t="n">
        <v>28</v>
      </c>
      <c r="B36" s="17" t="n">
        <f aca="false">MAX(1,ROUND($C$5-A36*$B$5,0))</f>
        <v>1500</v>
      </c>
      <c r="C36" s="26" t="n">
        <f aca="false">1-LOGNORMDIST(B36,$D$5,$E$5)</f>
        <v>0.267096698693385</v>
      </c>
      <c r="D36" s="9" t="n">
        <f aca="false">EXP($D$5+$E$5^2/2)*NORMSDIST(($D$5+$E$5^2-LN(B36))/$E$5)-B36*NORMSDIST(($D$5-LN(B36))/$E$5)</f>
        <v>76.7482908128725</v>
      </c>
      <c r="E36" s="16" t="n">
        <f aca="false">D36*$B$4</f>
        <v>820.784596098265</v>
      </c>
    </row>
    <row r="38" customFormat="false" ht="15" hidden="false" customHeight="false" outlineLevel="0" collapsed="false">
      <c r="A38" s="4" t="s">
        <v>164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LibreOffice/26.8.0.3$Linux_X86_64 LibreOffice_project/680$Build-3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2026-10-01T20:51:47Z</dcterms:created>
  <dc:creator>Hubricon</dc:creator>
  <dc:description/>
  <dc:language>en-US</dc:language>
  <cp:lastModifiedBy/>
  <dcterms:modified xsi:type="dcterms:W3CDTF">2026-10-01T20:51:47Z</dcterms:modified>
  <cp:revision>0</cp:revision>
  <dc:subject/>
  <dc:title>Capital &amp; Cash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